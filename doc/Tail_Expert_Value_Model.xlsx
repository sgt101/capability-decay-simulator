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Results" sheetId="2" state="visible" r:id="rId4"/>
    <sheet name="Compare" sheetId="3" state="visible" r:id="rId5"/>
    <sheet name="Fit" sheetId="4" state="visible" r:id="rId6"/>
    <sheet name="Grid" sheetId="5" state="visible" r:id="rId7"/>
    <sheet name="Not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<sst xmlns="http://schemas.openxmlformats.org/spreadsheetml/2006/main" count="219" uniqueCount="199">
  <si>
    <t xml:space="preserve">Tail-Expert Value Model — Inputs</t>
  </si>
  <si>
    <t xml:space="preserve">Edit the blue/yellow cells only. Every other sheet recalculates from these.</t>
  </si>
  <si>
    <t xml:space="preserve">DISTRIBUTION</t>
  </si>
  <si>
    <t xml:space="preserve">Distribution (1=Pareto, 2=Lognormal, 3=Weibull, 4=Normal)</t>
  </si>
  <si>
    <t xml:space="preserve">All four are fitted to the same anchors below; the Compare sheet shows all four side by side.</t>
  </si>
  <si>
    <t xml:space="preserve">Fitted shape applies to (1 = value added V, 2 = skill S, so V is proportional to S^2)</t>
  </si>
  <si>
    <t xml:space="preserve">Option 2 squares the fitted variable. For a Pareto this halves the effective exponent.</t>
  </si>
  <si>
    <t xml:space="preserve">FITTING ANCHORS — two upper-tail quantiles</t>
  </si>
  <si>
    <t xml:space="preserve">Anchor 1 — upper-tail probability (0.5 = median)</t>
  </si>
  <si>
    <t xml:space="preserve">Anchor 1 — skill value (bp per month)</t>
  </si>
  <si>
    <t xml:space="preserve">PST (2015) report 42 bp/month as the MEAN, not the median. See the Notes sheet.</t>
  </si>
  <si>
    <t xml:space="preserve">Anchor 2 — upper-tail probability (0.1 = 90th percentile)</t>
  </si>
  <si>
    <t xml:space="preserve">Anchor 2 — skill value (bp per month)</t>
  </si>
  <si>
    <t xml:space="preserve">PST (2015): 90th percentile of fund skill, 123 bp/month in 2011.</t>
  </si>
  <si>
    <t xml:space="preserve">Target mean for Goal Seek (bp per month)</t>
  </si>
  <si>
    <t xml:space="preserve">Not used in the calculation. The Diagnostics block on Results shows the gap; run Goal Seek on it to solve an anchor.</t>
  </si>
  <si>
    <t xml:space="preserve">POPULATION</t>
  </si>
  <si>
    <t xml:space="preserve">Number of decision-makers (N)</t>
  </si>
  <si>
    <t xml:space="preserve">Rank-1 plotting constant (0.5 = Hazen, 1.0 = Weibull)</t>
  </si>
  <si>
    <t xml:space="preserve">Affects the single best person only; ranks past about 50 are insensitive to it.</t>
  </si>
  <si>
    <t xml:space="preserve">Bands per tier segment (fixed when the Grid was built)</t>
  </si>
  <si>
    <t xml:space="preserve">Read-only — changing this requires rebuilding the Grid sheet.</t>
  </si>
  <si>
    <t xml:space="preserve">TIER BOUNDARIES — upper-tail fraction of the population</t>
  </si>
  <si>
    <t xml:space="preserve">Tier 1 upper edge (top 0.01%)</t>
  </si>
  <si>
    <t xml:space="preserve">Tier 2 upper edge (top 0.1%)</t>
  </si>
  <si>
    <t xml:space="preserve">Tier 3 upper edge (top 1%)</t>
  </si>
  <si>
    <t xml:space="preserve">Tier 4 upper edge (top 10%)</t>
  </si>
  <si>
    <t xml:space="preserve">Tier 5 upper edge (all)</t>
  </si>
  <si>
    <t xml:space="preserve">ALPHA POOL SCENARIOS ($ per year)</t>
  </si>
  <si>
    <t xml:space="preserve">Pool 1 — primary; drives A* and S</t>
  </si>
  <si>
    <t xml:space="preserve">Pool 2</t>
  </si>
  <si>
    <t xml:space="preserve">Pool 3</t>
  </si>
  <si>
    <t xml:space="preserve">Pool 4</t>
  </si>
  <si>
    <t xml:space="preserve">Total gross alpha available to the whole population each year.</t>
  </si>
  <si>
    <t xml:space="preserve">CAPITAL AND COMPARATORS</t>
  </si>
  <si>
    <t xml:space="preserve">Capital run by the top 1% ($)</t>
  </si>
  <si>
    <t xml:space="preserve">An assumption, not a measurement. See the Diagnostics block on the Results sheet for the gross alpha it implies.</t>
  </si>
  <si>
    <t xml:space="preserve">Reference gross alpha for comparison</t>
  </si>
  <si>
    <t xml:space="preserve">Berk &amp; van Binsbergen (2015) Table 8: 6.5 bp/month value-weighted, about 0.80%/yr.</t>
  </si>
  <si>
    <t xml:space="preserve">Average financial services salary ($)</t>
  </si>
  <si>
    <t xml:space="preserve">User-supplied.</t>
  </si>
  <si>
    <t xml:space="preserve">Value added and optimal book size by tier</t>
  </si>
  <si>
    <t xml:space="preserve">Tier</t>
  </si>
  <si>
    <t xml:space="preserve">People</t>
  </si>
  <si>
    <t xml:space="preserve">Share of pool</t>
  </si>
  <si>
    <t xml:space="preserve">V* at Pool 1</t>
  </si>
  <si>
    <t xml:space="preserve">V* at Pool 2</t>
  </si>
  <si>
    <t xml:space="preserve">V* at Pool 3</t>
  </si>
  <si>
    <t xml:space="preserve">V* at Pool 4</t>
  </si>
  <si>
    <t xml:space="preserve">A* (Pool 1)</t>
  </si>
  <si>
    <t xml:space="preserve">S (Pool 1)</t>
  </si>
  <si>
    <t xml:space="preserve">x avg salary</t>
  </si>
  <si>
    <t xml:space="preserve">Single best (rank 1)</t>
  </si>
  <si>
    <t xml:space="preserve">Top 0.01%</t>
  </si>
  <si>
    <t xml:space="preserve">Rest of top 0.1%</t>
  </si>
  <si>
    <t xml:space="preserve">Rest of top 1%</t>
  </si>
  <si>
    <t xml:space="preserve">Top 1% (cumulative)</t>
  </si>
  <si>
    <t xml:space="preserve">Rest of top 10%</t>
  </si>
  <si>
    <t xml:space="preserve">—</t>
  </si>
  <si>
    <t xml:space="preserve">Bottom 90%</t>
  </si>
  <si>
    <t xml:space="preserve">Total</t>
  </si>
  <si>
    <t xml:space="preserve">V* and A* are per person, per year. S is raw alpha on the first dollar; the alpha earned at the optimum is S/2.</t>
  </si>
  <si>
    <t xml:space="preserve">A* and S are shown for Pool 1 only, and are computed on the top 1% (the book-running population). A* scales linearly with the pool.</t>
  </si>
  <si>
    <t xml:space="preserve">DIAGNOSTICS</t>
  </si>
  <si>
    <t xml:space="preserve">Active distribution</t>
  </si>
  <si>
    <t xml:space="preserve">b — decay parameter (per $ of AUM)</t>
  </si>
  <si>
    <t xml:space="preserve">Total A* of the top 1% ($)</t>
  </si>
  <si>
    <t xml:space="preserve">Capital input, top 1% ($)</t>
  </si>
  <si>
    <t xml:space="preserve">Difference (should be zero)</t>
  </si>
  <si>
    <t xml:space="preserve">Top 1% total value added ($/yr)</t>
  </si>
  <si>
    <t xml:space="preserve">Implied gross alpha on top-1% books</t>
  </si>
  <si>
    <t xml:space="preserve">Reference gross alpha (Berk &amp; van Binsbergen 2015)</t>
  </si>
  <si>
    <t xml:space="preserve">Difference (implied minus reference)</t>
  </si>
  <si>
    <t xml:space="preserve">Implied mean skill, finite population (bp/mo)</t>
  </si>
  <si>
    <t xml:space="preserve">Theoretical mean of the fitted distribution (bp/mo)</t>
  </si>
  <si>
    <t xml:space="preserve">Target mean (bp/mo)</t>
  </si>
  <si>
    <t xml:space="preserve">Gap vs target — Goal Seek this cell to zero</t>
  </si>
  <si>
    <t xml:space="preserve">Pareto feasibility flag</t>
  </si>
  <si>
    <t xml:space="preserve">The implied gross alpha above is an OUTPUT. It equals the reference only if the capital input happens to make it so; it is not a test that can pass on its own.</t>
  </si>
  <si>
    <t xml:space="preserve">All four distributions, same anchors — share of the alpha pool by tier</t>
  </si>
  <si>
    <t xml:space="preserve">Independent of the pool size and of the capital assumption. Shape only.</t>
  </si>
  <si>
    <t xml:space="preserve">Pareto</t>
  </si>
  <si>
    <t xml:space="preserve">Lognormal</t>
  </si>
  <si>
    <t xml:space="preserve">Weibull</t>
  </si>
  <si>
    <t xml:space="preserve">Normal</t>
  </si>
  <si>
    <t xml:space="preserve">FITTED PARAMETERS AND IMPLIED MOMENTS</t>
  </si>
  <si>
    <t xml:space="preserve">parameter 1</t>
  </si>
  <si>
    <t xml:space="preserve">parameter 2</t>
  </si>
  <si>
    <t xml:space="preserve">theoretical mean (bp/mo)</t>
  </si>
  <si>
    <t xml:space="preserve">theoretical median (bp/mo)</t>
  </si>
  <si>
    <t xml:space="preserve">Compare each theoretical mean against the target mean on the Inputs sheet. A large gap means that distribution cannot reproduce the source's reported mean.</t>
  </si>
  <si>
    <t xml:space="preserve">Distribution fitting — two upper-tail quantiles, closed form</t>
  </si>
  <si>
    <t xml:space="preserve">p = upper-tail probability, so p=0.5 is the median and p=0.1 the 90th percentile. Every parameter is derived.</t>
  </si>
  <si>
    <t xml:space="preserve">Standard normal deviates</t>
  </si>
  <si>
    <t xml:space="preserve">z1 = -NORMSINV(p1)</t>
  </si>
  <si>
    <t xml:space="preserve">z2 = -NORMSINV(p2)</t>
  </si>
  <si>
    <t xml:space="preserve">PARETO</t>
  </si>
  <si>
    <t xml:space="preserve">alpha</t>
  </si>
  <si>
    <t xml:space="preserve">x_min (bp/mo)</t>
  </si>
  <si>
    <t xml:space="preserve">theoretical mean</t>
  </si>
  <si>
    <t xml:space="preserve">-1 means the mean is divergent (alpha &lt;= 1).</t>
  </si>
  <si>
    <t xml:space="preserve">theoretical median</t>
  </si>
  <si>
    <t xml:space="preserve">LOGNORMAL</t>
  </si>
  <si>
    <t xml:space="preserve">sigma</t>
  </si>
  <si>
    <t xml:space="preserve">mu</t>
  </si>
  <si>
    <t xml:space="preserve">WEIBULL</t>
  </si>
  <si>
    <t xml:space="preserve">kappa (shape)</t>
  </si>
  <si>
    <t xml:space="preserve">lambda (scale)</t>
  </si>
  <si>
    <t xml:space="preserve">NORMAL</t>
  </si>
  <si>
    <t xml:space="preserve">s (standard deviation)</t>
  </si>
  <si>
    <t xml:space="preserve">m (mean)</t>
  </si>
  <si>
    <t xml:space="preserve">Quantiles are floored at zero: a normal fitted to these anchors goes negative in the lower tail.</t>
  </si>
  <si>
    <t xml:space="preserve">ACTIVE DISTRIBUTION</t>
  </si>
  <si>
    <t xml:space="preserve">name</t>
  </si>
  <si>
    <t xml:space="preserve">QUANTILE SPOT-CHECKS (active distribution)</t>
  </si>
  <si>
    <t xml:space="preserve">u (upper-tail p)</t>
  </si>
  <si>
    <t xml:space="preserve">bp/month</t>
  </si>
  <si>
    <t xml:space="preserve">% per year</t>
  </si>
  <si>
    <t xml:space="preserve">anchor 1 — should equal the input</t>
  </si>
  <si>
    <t xml:space="preserve">anchor 2 — should equal the input</t>
  </si>
  <si>
    <t xml:space="preserve">99th percentile</t>
  </si>
  <si>
    <t xml:space="preserve">99.9th percentile</t>
  </si>
  <si>
    <t xml:space="preserve">99.99th percentile</t>
  </si>
  <si>
    <t xml:space="preserve">PARETO FEASIBILITY CHECK</t>
  </si>
  <si>
    <t xml:space="preserve">required mean / anchor-2 value</t>
  </si>
  <si>
    <t xml:space="preserve">minimum ratio any Pareto can attain</t>
  </si>
  <si>
    <t xml:space="preserve">feasible?</t>
  </si>
  <si>
    <t xml:space="preserve">smallest attainable Pareto mean (bp/mo)</t>
  </si>
  <si>
    <t xml:space="preserve">Minimum of [a/(a-1)]*10^(-1/a) over a, which occurs at a = 1.77. Valid only when anchor 2 is the 90th percentile; recompute the constant if anchor 2 changes.</t>
  </si>
  <si>
    <t xml:space="preserve">Numerical grid — 301 population bands (row 3 is rank 1; 60 log-spaced bands per tier)</t>
  </si>
  <si>
    <t xml:space="preserve">T = SUM(w*du)</t>
  </si>
  <si>
    <t xml:space="preserve">j</t>
  </si>
  <si>
    <t xml:space="preserve">u_lo</t>
  </si>
  <si>
    <t xml:space="preserve">u_hi</t>
  </si>
  <si>
    <t xml:space="preserve">u_mid</t>
  </si>
  <si>
    <t xml:space="preserve">du</t>
  </si>
  <si>
    <t xml:space="preserve">people</t>
  </si>
  <si>
    <t xml:space="preserve">tier</t>
  </si>
  <si>
    <t xml:space="preserve">x Pareto</t>
  </si>
  <si>
    <t xml:space="preserve">x Lognorm</t>
  </si>
  <si>
    <t xml:space="preserve">x Weibull</t>
  </si>
  <si>
    <t xml:space="preserve">x Normal</t>
  </si>
  <si>
    <t xml:space="preserve">x active</t>
  </si>
  <si>
    <t xml:space="preserve">x*du</t>
  </si>
  <si>
    <t xml:space="preserve">w = x^pwr</t>
  </si>
  <si>
    <t xml:space="preserve">w*du</t>
  </si>
  <si>
    <t xml:space="preserve">V per person</t>
  </si>
  <si>
    <t xml:space="preserve">ppl*SQRT(V)</t>
  </si>
  <si>
    <t xml:space="preserve">A*</t>
  </si>
  <si>
    <t xml:space="preserve">S</t>
  </si>
  <si>
    <t xml:space="preserve">ppl*A*</t>
  </si>
  <si>
    <t xml:space="preserve">ppl*V</t>
  </si>
  <si>
    <t xml:space="preserve">contrib Par</t>
  </si>
  <si>
    <t xml:space="preserve">contrib Logn</t>
  </si>
  <si>
    <t xml:space="preserve">contrib Weib</t>
  </si>
  <si>
    <t xml:space="preserve">contrib Norm</t>
  </si>
  <si>
    <t xml:space="preserve">Mean of x, finite population</t>
  </si>
  <si>
    <t xml:space="preserve">Pool 1 ($)</t>
  </si>
  <si>
    <t xml:space="preserve">N</t>
  </si>
  <si>
    <t xml:space="preserve">SUM people*SQRT(V), top 1%</t>
  </si>
  <si>
    <t xml:space="preserve">b (per $ of AUM)</t>
  </si>
  <si>
    <t xml:space="preserve">power</t>
  </si>
  <si>
    <t xml:space="preserve">Method, sources and limitations</t>
  </si>
  <si>
    <t xml:space="preserve">THE MODEL</t>
  </si>
  <si>
    <t xml:space="preserve">Berk, J.B. and van Binsbergen, J.H. (2015), "Measuring Skill in the Mutual Fund Industry", Journal of Financial Economics 118(1), Section 4, equations 14-16.</t>
  </si>
  <si>
    <t xml:space="preserve">Alpha declines linearly with the size of the book:  alpha(A) = S - b*A.  Dollar value added is V = A*(S - b*A).</t>
  </si>
  <si>
    <t xml:space="preserve">Maximising over A gives the optimal book A* = S/(2b) and the value at that book V* = S^2/(4b). Two identities follow and are used here: the alpha earned at the optimum is S/2, and A* = SQRT(V*/b).</t>
  </si>
  <si>
    <t xml:space="preserve">STEP BY STEP</t>
  </si>
  <si>
    <t xml:space="preserve">1. Fit the chosen distribution to two upper-tail quantiles (Inputs B9:B12). Every distribution has a closed form for this, shown on the Fit sheet.</t>
  </si>
  <si>
    <t xml:space="preserve">2. Decide whether the fitted shape describes value added V or skill S (Inputs B6). If S, then V is proportional to S^2, which for a Pareto halves the effective exponent. An effective exponent below 1 has no finite mean and the result is dominated by the single top person.</t>
  </si>
  <si>
    <t xml:space="preserve">3. Build a grid of population bands in quantile space. Row 3 of the Grid sheet is rank 1 on its own, occupying u from 0 to 1/N and evaluated at the plotting position (Inputs B17). The rest is 60 log-spaced bands within each tier, so band edges land exactly on the tier boundaries.</t>
  </si>
  <si>
    <t xml:space="preserve">4. For each band compute the quantile x(u_mid), the weight w = x^power, and the contribution w*du. The sum of contributions, T, normalises the shares.</t>
  </si>
  <si>
    <t xml:space="preserve">5. Value per person at quantile u is V = w * Pool / (N * T). By construction the population total equals the pool exactly.</t>
  </si>
  <si>
    <t xml:space="preserve">6. Restrict the book-running population to the top 1%. Solve b from the requirement that their optimal books sum to the capital input: b = (SUM over the top 1% of people*SQRT(V) / Capital)^2.</t>
  </si>
  <si>
    <t xml:space="preserve">7. Compute A* = SQRT(V/b) and S = 2*b*A* per band, then average within tiers weighted by headcount.</t>
  </si>
  <si>
    <t xml:space="preserve">WHAT IS MEASURED AND WHAT IS ASSUMED</t>
  </si>
  <si>
    <t xml:space="preserve">Measured, from published papers:</t>
  </si>
  <si>
    <t xml:space="preserve">  - The skill anchors: Pastor, L., Stambaugh, R.F. and Taylor, L.A. (2015), "Scale and Skill in Active Management", Journal of Financial Economics 116(1). Mean fund skill 42 bp/month and 90th percentile 123 bp/month in 2011. Their measure is the fund fixed effect from a panel regression, described as the gross alpha adjusted for fund-level and industry-level returns to scale.</t>
  </si>
  <si>
    <t xml:space="preserve">  - The comparison gross alpha: Berk and van Binsbergen (2015), Table 8. Value-weighted gross alpha 6.5 bp/month, about 0.80% a year, across US active equity mutual funds.</t>
  </si>
  <si>
    <t xml:space="preserve">  - The functional form V* = S^2/(4b).</t>
  </si>
  <si>
    <t xml:space="preserve">Assumed, not measured:</t>
  </si>
  <si>
    <t xml:space="preserve">  - The population of decision-makers.</t>
  </si>
  <si>
    <t xml:space="preserve">  - The size of the alpha pool, in all four scenarios.</t>
  </si>
  <si>
    <t xml:space="preserve">  - The family of distribution.</t>
  </si>
  <si>
    <t xml:space="preserve">  - That the top 1% are the population that runs books.</t>
  </si>
  <si>
    <t xml:space="preserve">  - A decay parameter b common to every individual.</t>
  </si>
  <si>
    <t xml:space="preserve">  - The capital run by the top 1%. This is the single most consequential free parameter.</t>
  </si>
  <si>
    <t xml:space="preserve">KNOWN PROBLEMS</t>
  </si>
  <si>
    <t xml:space="preserve">The capital input is not identified by the data. Setting it so that the implied gross alpha equals 0.80% is one equation in one unknown: it always succeeds and therefore tests nothing. The Diagnostics block reports the implied alpha as an output so the gap is visible. A genuine test needs an independently sourced figure for the capital run by senior investment decision-makers.</t>
  </si>
  <si>
    <t xml:space="preserve">PST report 42 bp/month as the MEAN. Entering it as the median (upper-tail probability 0.5) is a departure from the source. The Compare sheet shows each distribution's implied mean so the size of that departure is visible.</t>
  </si>
  <si>
    <t xml:space="preserve">No Pareto can have a mean of 42 and a 90th percentile of 123. For a Pareto, mean/P90 = [a/(a-1)]*10^(-1/a), whose minimum over a is 0.6259 at a = 1.77. With P90 = 123 the smallest attainable Pareto mean is about 77 bp/month. The Fit sheet flags this. It is a property of the family, not of the estimator.</t>
  </si>
  <si>
    <t xml:space="preserve">Under a common b, S and A* are both proportional to SQRT(V), so book sizes inherit twice the exponent of value. Observed fund and firm sizes are closer to Zipf. Berk and van Binsbergen report a cross-sectional correlation between gross alpha and value added of only 0.23, with R-squared of 5%, indicating that size varies far more than alpha does.</t>
  </si>
  <si>
    <t xml:space="preserve">A Pareto has a hard lower bound and no negative values. Berk and van Binsbergen estimate 57% of funds below zero, but their equation (12) argues value added cannot be negative in theory, since an unskilled manager can index instead of destroying value, and their footnote 10 notes that reverse survivorship bias (Linnainmaa 2012) causes their measure to understate true skill.</t>
  </si>
  <si>
    <t xml:space="preserve">PST's percentiles are computed across roughly 3,000 US active equity funds. The top 1% of a population of 2.26 million is about seven times that entire sample, so the shape out in the tail is extrapolated rather than observed.</t>
  </si>
  <si>
    <t xml:space="preserve">Berk and van Binsbergen state that their unit of observation is the fund, not the individual, and that the paper provides no direct evidence that the value results from human capital alone.</t>
  </si>
  <si>
    <t xml:space="preserve">NUMERICAL ACCURACY</t>
  </si>
  <si>
    <t xml:space="preserve">The 301-band grid reproduces an exact 2,264,400-term discrete calculation to within 0.01 percentage points on every tier share, and exactly on rank 1. The rank-1 plotting constant is a convention: 0.5 (Hazen) and 1.0 (Weibull) differ by a factor of 2^(1/alpha) at rank 1, about 1.57 for a Pareto with alpha = 1.53. Ranks past about 50 are insensitive to it.</t>
  </si>
  <si>
    <t xml:space="preserve">COLOUR CONVENTION</t>
  </si>
  <si>
    <t xml:space="preserve">Blue text on yellow fill: input cells, safe to edit. Black: formulas. Grey fill: read-only.</t>
  </si>
</sst>
</file>

<file path=xl/styles.xml><?xml version="1.0" encoding="utf-8"?>
<styleSheet xmlns="http://schemas.openxmlformats.org/spreadsheetml/2006/main">
  <numFmts count="13">
    <numFmt numFmtId="164" formatCode="General"/>
    <numFmt numFmtId="165" formatCode="0"/>
    <numFmt numFmtId="166" formatCode="0.0000"/>
    <numFmt numFmtId="167" formatCode="0.00"/>
    <numFmt numFmtId="168" formatCode="#,##0"/>
    <numFmt numFmtId="169" formatCode="0.000000"/>
    <numFmt numFmtId="170" formatCode="\$#,##0"/>
    <numFmt numFmtId="171" formatCode="0.000%"/>
    <numFmt numFmtId="172" formatCode="0.00%"/>
    <numFmt numFmtId="173" formatCode="#,##0\x"/>
    <numFmt numFmtId="174" formatCode="0.00E+00"/>
    <numFmt numFmtId="175" formatCode="#,##0.0"/>
    <numFmt numFmtId="176"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color rgb="FFFFFFFF"/>
      <name val="Arial"/>
      <family val="0"/>
      <charset val="1"/>
    </font>
    <font>
      <sz val="10"/>
      <name val="Arial"/>
      <family val="0"/>
      <charset val="1"/>
    </font>
    <font>
      <sz val="10"/>
      <color rgb="FF0000FF"/>
      <name val="Arial"/>
      <family val="0"/>
      <charset val="1"/>
    </font>
    <font>
      <b val="true"/>
      <sz val="9"/>
      <name val="Arial"/>
      <family val="0"/>
      <charset val="1"/>
    </font>
    <font>
      <b val="true"/>
      <sz val="10"/>
      <name val="Arial"/>
      <family val="0"/>
      <charset val="1"/>
    </font>
    <font>
      <sz val="8"/>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tru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73" fontId="10"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18"/>
    <col collapsed="false" customWidth="true" hidden="false" outlineLevel="0" max="3" min="3" style="0" width="9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c r="C4" s="3"/>
    </row>
    <row r="5" customFormat="false" ht="15" hidden="false" customHeight="false" outlineLevel="0" collapsed="false">
      <c r="A5" s="4" t="s">
        <v>3</v>
      </c>
      <c r="B5" s="5" t="n">
        <v>1</v>
      </c>
      <c r="C5" s="2" t="s">
        <v>4</v>
      </c>
    </row>
    <row r="6" customFormat="false" ht="15" hidden="false" customHeight="false" outlineLevel="0" collapsed="false">
      <c r="A6" s="4" t="s">
        <v>5</v>
      </c>
      <c r="B6" s="5" t="n">
        <v>1</v>
      </c>
      <c r="C6" s="2" t="s">
        <v>6</v>
      </c>
    </row>
    <row r="8" customFormat="false" ht="15" hidden="false" customHeight="false" outlineLevel="0" collapsed="false">
      <c r="A8" s="3" t="s">
        <v>7</v>
      </c>
      <c r="B8" s="3"/>
      <c r="C8" s="3"/>
    </row>
    <row r="9" customFormat="false" ht="15" hidden="false" customHeight="false" outlineLevel="0" collapsed="false">
      <c r="A9" s="4" t="s">
        <v>8</v>
      </c>
      <c r="B9" s="6" t="n">
        <v>0.5</v>
      </c>
    </row>
    <row r="10" customFormat="false" ht="15" hidden="false" customHeight="false" outlineLevel="0" collapsed="false">
      <c r="A10" s="4" t="s">
        <v>9</v>
      </c>
      <c r="B10" s="7" t="n">
        <v>43</v>
      </c>
      <c r="C10" s="2" t="s">
        <v>10</v>
      </c>
    </row>
    <row r="11" customFormat="false" ht="15" hidden="false" customHeight="false" outlineLevel="0" collapsed="false">
      <c r="A11" s="4" t="s">
        <v>11</v>
      </c>
      <c r="B11" s="6" t="n">
        <v>0.1</v>
      </c>
    </row>
    <row r="12" customFormat="false" ht="15" hidden="false" customHeight="false" outlineLevel="0" collapsed="false">
      <c r="A12" s="4" t="s">
        <v>12</v>
      </c>
      <c r="B12" s="7" t="n">
        <v>123</v>
      </c>
      <c r="C12" s="2" t="s">
        <v>13</v>
      </c>
    </row>
    <row r="13" customFormat="false" ht="15" hidden="false" customHeight="false" outlineLevel="0" collapsed="false">
      <c r="A13" s="4" t="s">
        <v>14</v>
      </c>
      <c r="B13" s="7" t="n">
        <v>42</v>
      </c>
      <c r="C13" s="2" t="s">
        <v>15</v>
      </c>
    </row>
    <row r="15" customFormat="false" ht="15" hidden="false" customHeight="false" outlineLevel="0" collapsed="false">
      <c r="A15" s="3" t="s">
        <v>16</v>
      </c>
      <c r="B15" s="3"/>
      <c r="C15" s="3"/>
    </row>
    <row r="16" customFormat="false" ht="15" hidden="false" customHeight="false" outlineLevel="0" collapsed="false">
      <c r="A16" s="4" t="s">
        <v>17</v>
      </c>
      <c r="B16" s="8" t="n">
        <v>2264400</v>
      </c>
    </row>
    <row r="17" customFormat="false" ht="15" hidden="false" customHeight="false" outlineLevel="0" collapsed="false">
      <c r="A17" s="4" t="s">
        <v>18</v>
      </c>
      <c r="B17" s="7" t="n">
        <v>0.5</v>
      </c>
      <c r="C17" s="2" t="s">
        <v>19</v>
      </c>
    </row>
    <row r="18" customFormat="false" ht="15" hidden="false" customHeight="false" outlineLevel="0" collapsed="false">
      <c r="A18" s="4" t="s">
        <v>20</v>
      </c>
      <c r="B18" s="9" t="n">
        <v>60</v>
      </c>
      <c r="C18" s="2" t="s">
        <v>21</v>
      </c>
    </row>
    <row r="20" customFormat="false" ht="15" hidden="false" customHeight="false" outlineLevel="0" collapsed="false">
      <c r="A20" s="3" t="s">
        <v>22</v>
      </c>
      <c r="B20" s="3"/>
      <c r="C20" s="3"/>
    </row>
    <row r="21" customFormat="false" ht="15" hidden="false" customHeight="false" outlineLevel="0" collapsed="false">
      <c r="A21" s="4" t="s">
        <v>23</v>
      </c>
      <c r="B21" s="10" t="n">
        <v>0.0001</v>
      </c>
    </row>
    <row r="22" customFormat="false" ht="15" hidden="false" customHeight="false" outlineLevel="0" collapsed="false">
      <c r="A22" s="4" t="s">
        <v>24</v>
      </c>
      <c r="B22" s="10" t="n">
        <v>0.001</v>
      </c>
    </row>
    <row r="23" customFormat="false" ht="15" hidden="false" customHeight="false" outlineLevel="0" collapsed="false">
      <c r="A23" s="4" t="s">
        <v>25</v>
      </c>
      <c r="B23" s="10" t="n">
        <v>0.01</v>
      </c>
    </row>
    <row r="24" customFormat="false" ht="15" hidden="false" customHeight="false" outlineLevel="0" collapsed="false">
      <c r="A24" s="4" t="s">
        <v>26</v>
      </c>
      <c r="B24" s="10" t="n">
        <v>0.1</v>
      </c>
    </row>
    <row r="25" customFormat="false" ht="15" hidden="false" customHeight="false" outlineLevel="0" collapsed="false">
      <c r="A25" s="4" t="s">
        <v>27</v>
      </c>
      <c r="B25" s="10" t="n">
        <v>1</v>
      </c>
    </row>
    <row r="27" customFormat="false" ht="15" hidden="false" customHeight="false" outlineLevel="0" collapsed="false">
      <c r="A27" s="3" t="s">
        <v>28</v>
      </c>
      <c r="B27" s="3"/>
      <c r="C27" s="3"/>
    </row>
    <row r="28" customFormat="false" ht="15" hidden="false" customHeight="false" outlineLevel="0" collapsed="false">
      <c r="A28" s="4" t="s">
        <v>29</v>
      </c>
      <c r="B28" s="11" t="n">
        <v>1200000000000</v>
      </c>
    </row>
    <row r="29" customFormat="false" ht="15" hidden="false" customHeight="false" outlineLevel="0" collapsed="false">
      <c r="A29" s="4" t="s">
        <v>30</v>
      </c>
      <c r="B29" s="11" t="n">
        <v>840000000000</v>
      </c>
    </row>
    <row r="30" customFormat="false" ht="15" hidden="false" customHeight="false" outlineLevel="0" collapsed="false">
      <c r="A30" s="4" t="s">
        <v>31</v>
      </c>
      <c r="B30" s="11" t="n">
        <v>600000000000</v>
      </c>
    </row>
    <row r="31" customFormat="false" ht="15" hidden="false" customHeight="false" outlineLevel="0" collapsed="false">
      <c r="A31" s="4" t="s">
        <v>32</v>
      </c>
      <c r="B31" s="11" t="n">
        <v>400000000000</v>
      </c>
    </row>
    <row r="32" customFormat="false" ht="15" hidden="false" customHeight="false" outlineLevel="0" collapsed="false">
      <c r="C32" s="2" t="s">
        <v>33</v>
      </c>
    </row>
    <row r="34" customFormat="false" ht="15" hidden="false" customHeight="false" outlineLevel="0" collapsed="false">
      <c r="A34" s="3" t="s">
        <v>34</v>
      </c>
      <c r="B34" s="3"/>
      <c r="C34" s="3"/>
    </row>
    <row r="35" customFormat="false" ht="15" hidden="false" customHeight="false" outlineLevel="0" collapsed="false">
      <c r="A35" s="4" t="s">
        <v>35</v>
      </c>
      <c r="B35" s="11" t="n">
        <v>30000000000000</v>
      </c>
      <c r="C35" s="2" t="s">
        <v>36</v>
      </c>
    </row>
    <row r="36" customFormat="false" ht="15" hidden="false" customHeight="false" outlineLevel="0" collapsed="false">
      <c r="A36" s="4" t="s">
        <v>37</v>
      </c>
      <c r="B36" s="12" t="n">
        <v>0.008</v>
      </c>
      <c r="C36" s="2" t="s">
        <v>38</v>
      </c>
    </row>
    <row r="37" customFormat="false" ht="15" hidden="false" customHeight="false" outlineLevel="0" collapsed="false">
      <c r="A37" s="4" t="s">
        <v>39</v>
      </c>
      <c r="B37" s="11" t="n">
        <v>52804</v>
      </c>
      <c r="C37" s="2"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10" min="2" style="0" width="15"/>
  </cols>
  <sheetData>
    <row r="1" customFormat="false" ht="17.35" hidden="false" customHeight="false" outlineLevel="0" collapsed="false">
      <c r="A1" s="1" t="s">
        <v>41</v>
      </c>
    </row>
    <row r="2" customFormat="false" ht="15" hidden="false" customHeight="false" outlineLevel="0" collapsed="false">
      <c r="A2" s="2" t="str">
        <f aca="false">"Distribution: "&amp;Fit!B33&amp;"   |   shape applied to "&amp;IF(Inputs!B6=1,"value added V","skill S (V proportional to S^2)")&amp;"   |   N = "&amp;TEXT(Inputs!B16,"#,##0")</f>
        <v>Distribution: Pareto   |   shape applied to value added V   |   N = 2,264,400</v>
      </c>
    </row>
    <row r="4" customFormat="false" ht="15" hidden="false" customHeight="false" outlineLevel="0" collapsed="false">
      <c r="A4" s="13" t="s">
        <v>42</v>
      </c>
      <c r="B4" s="13" t="s">
        <v>43</v>
      </c>
      <c r="C4" s="13" t="s">
        <v>44</v>
      </c>
      <c r="D4" s="13" t="s">
        <v>45</v>
      </c>
      <c r="E4" s="13" t="s">
        <v>46</v>
      </c>
      <c r="F4" s="13" t="s">
        <v>47</v>
      </c>
      <c r="G4" s="13" t="s">
        <v>48</v>
      </c>
      <c r="H4" s="13" t="s">
        <v>49</v>
      </c>
      <c r="I4" s="13" t="s">
        <v>50</v>
      </c>
      <c r="J4" s="13" t="s">
        <v>51</v>
      </c>
    </row>
    <row r="5" customFormat="false" ht="15" hidden="false" customHeight="false" outlineLevel="0" collapsed="false">
      <c r="A5" s="4" t="s">
        <v>52</v>
      </c>
      <c r="B5" s="14" t="n">
        <f aca="false">Grid!F3</f>
        <v>1</v>
      </c>
      <c r="C5" s="15" t="n">
        <f aca="false">Grid!O3/Grid!$AB$1</f>
        <v>0.00341248188228962</v>
      </c>
      <c r="D5" s="16" t="n">
        <f aca="false">$C5*Inputs!$B$28/$B5</f>
        <v>4094978258.74754</v>
      </c>
      <c r="E5" s="16" t="n">
        <f aca="false">$C5*Inputs!$B$29/$B5</f>
        <v>2866484781.12328</v>
      </c>
      <c r="F5" s="16" t="n">
        <f aca="false">$C5*Inputs!$B$30/$B5</f>
        <v>2047489129.37377</v>
      </c>
      <c r="G5" s="16" t="n">
        <f aca="false">$C5*Inputs!$B$31/$B5</f>
        <v>1364992752.91585</v>
      </c>
      <c r="H5" s="16" t="n">
        <f aca="false">Grid!R3</f>
        <v>29566732391.431</v>
      </c>
      <c r="I5" s="17" t="n">
        <f aca="false">Grid!S3</f>
        <v>0.27699904098529</v>
      </c>
      <c r="J5" s="18" t="n">
        <f aca="false">D5/Inputs!$B$37</f>
        <v>77550.5313754174</v>
      </c>
    </row>
    <row r="6" customFormat="false" ht="15" hidden="false" customHeight="false" outlineLevel="0" collapsed="false">
      <c r="A6" s="4" t="s">
        <v>53</v>
      </c>
      <c r="B6" s="14" t="n">
        <f aca="false">SUMIF(Grid!$G$3:$G$303,1,Grid!$F$3:$F$303)</f>
        <v>226.44</v>
      </c>
      <c r="C6" s="15" t="n">
        <f aca="false">SUMIF(Grid!$G$3:$G$303,1,Grid!$O$3:$O$303)/Grid!$AB$1</f>
        <v>0.038195879012661</v>
      </c>
      <c r="D6" s="16" t="n">
        <f aca="false">$C6*Inputs!$B$28/$B6</f>
        <v>202415893.018871</v>
      </c>
      <c r="E6" s="16" t="n">
        <f aca="false">$C6*Inputs!$B$29/$B6</f>
        <v>141691125.11321</v>
      </c>
      <c r="F6" s="16" t="n">
        <f aca="false">$C6*Inputs!$B$30/$B6</f>
        <v>101207946.509436</v>
      </c>
      <c r="G6" s="16" t="n">
        <f aca="false">$C6*Inputs!$B$31/$B6</f>
        <v>67471964.3396238</v>
      </c>
      <c r="H6" s="16" t="n">
        <f aca="false">SUMIF(Grid!$G$3:$G$303,1,Grid!$T$3:$T$303)/B6</f>
        <v>5935489959.57919</v>
      </c>
      <c r="I6" s="17" t="n">
        <f aca="false">2*Grid!$AB$6*H6</f>
        <v>0.0556072617296646</v>
      </c>
      <c r="J6" s="18" t="n">
        <f aca="false">D6/Inputs!$B$37</f>
        <v>3833.34393263524</v>
      </c>
    </row>
    <row r="7" customFormat="false" ht="15" hidden="false" customHeight="false" outlineLevel="0" collapsed="false">
      <c r="A7" s="4" t="s">
        <v>54</v>
      </c>
      <c r="B7" s="14" t="n">
        <f aca="false">SUMIF(Grid!$G$3:$G$303,2,Grid!$F$3:$F$303)</f>
        <v>2037.96</v>
      </c>
      <c r="C7" s="15" t="n">
        <f aca="false">SUMIF(Grid!$G$3:$G$303,2,Grid!$O$3:$O$303)/Grid!$AB$1</f>
        <v>0.0502113792792291</v>
      </c>
      <c r="D7" s="16" t="n">
        <f aca="false">$C7*Inputs!$B$28/$B7</f>
        <v>29565671.1294995</v>
      </c>
      <c r="E7" s="16" t="n">
        <f aca="false">$C7*Inputs!$B$29/$B7</f>
        <v>20695969.7906497</v>
      </c>
      <c r="F7" s="16" t="n">
        <f aca="false">$C7*Inputs!$B$30/$B7</f>
        <v>14782835.5647498</v>
      </c>
      <c r="G7" s="16" t="n">
        <f aca="false">$C7*Inputs!$B$31/$B7</f>
        <v>9855223.70983318</v>
      </c>
      <c r="H7" s="16" t="n">
        <f aca="false">SUMIF(Grid!$G$3:$G$303,2,Grid!$T$3:$T$303)/B7</f>
        <v>2460331021.43632</v>
      </c>
      <c r="I7" s="17" t="n">
        <f aca="false">2*Grid!$AB$6*H7</f>
        <v>0.0230498698476986</v>
      </c>
      <c r="J7" s="18" t="n">
        <f aca="false">D7/Inputs!$B$37</f>
        <v>559.913474916664</v>
      </c>
    </row>
    <row r="8" customFormat="false" ht="15" hidden="false" customHeight="false" outlineLevel="0" collapsed="false">
      <c r="A8" s="4" t="s">
        <v>55</v>
      </c>
      <c r="B8" s="14" t="n">
        <f aca="false">SUMIF(Grid!$G$3:$G$303,3,Grid!$F$3:$F$303)</f>
        <v>20379.6</v>
      </c>
      <c r="C8" s="15" t="n">
        <f aca="false">SUMIF(Grid!$G$3:$G$303,3,Grid!$O$3:$O$303)/Grid!$AB$1</f>
        <v>0.111632057051005</v>
      </c>
      <c r="D8" s="16" t="n">
        <f aca="false">$C8*Inputs!$B$28/$B8</f>
        <v>6573164.7559916</v>
      </c>
      <c r="E8" s="16" t="n">
        <f aca="false">$C8*Inputs!$B$29/$B8</f>
        <v>4601215.32919412</v>
      </c>
      <c r="F8" s="16" t="n">
        <f aca="false">$C8*Inputs!$B$30/$B8</f>
        <v>3286582.3779958</v>
      </c>
      <c r="G8" s="16" t="n">
        <f aca="false">$C8*Inputs!$B$31/$B8</f>
        <v>2191054.91866387</v>
      </c>
      <c r="H8" s="16" t="n">
        <f aca="false">SUMIF(Grid!$G$3:$G$303,3,Grid!$T$3:$T$303)/B8</f>
        <v>1160077305.00631</v>
      </c>
      <c r="I8" s="17" t="n">
        <f aca="false">2*Grid!$AB$6*H8</f>
        <v>0.01086830619973</v>
      </c>
      <c r="J8" s="18" t="n">
        <f aca="false">D8/Inputs!$B$37</f>
        <v>124.482326263003</v>
      </c>
    </row>
    <row r="9" customFormat="false" ht="15" hidden="false" customHeight="false" outlineLevel="0" collapsed="false">
      <c r="A9" s="19" t="s">
        <v>56</v>
      </c>
      <c r="B9" s="20" t="n">
        <f aca="false">SUMIF(Grid!$G$3:$G$303,"&lt;=3",Grid!$F$3:$F$303)</f>
        <v>22644</v>
      </c>
      <c r="C9" s="21" t="n">
        <f aca="false">SUMIF(Grid!$G$3:$G$303,"&lt;=3",Grid!$O$3:$O$303)/Grid!$AB$1</f>
        <v>0.200039315342896</v>
      </c>
      <c r="D9" s="22" t="n">
        <f aca="false">$C9*Inputs!$B$28/$B9</f>
        <v>10600917.6122361</v>
      </c>
      <c r="E9" s="22" t="n">
        <f aca="false">$C9*Inputs!$B$29/$B9</f>
        <v>7420642.32856528</v>
      </c>
      <c r="F9" s="22" t="n">
        <f aca="false">$C9*Inputs!$B$30/$B9</f>
        <v>5300458.80611806</v>
      </c>
      <c r="G9" s="22" t="n">
        <f aca="false">$C9*Inputs!$B$31/$B9</f>
        <v>3533639.20407871</v>
      </c>
      <c r="H9" s="22" t="n">
        <f aca="false">Grid!$AB$8/B9</f>
        <v>1324854266.03074</v>
      </c>
      <c r="I9" s="23" t="n">
        <f aca="false">2*Grid!$AB$6*H9</f>
        <v>0.0124120364833465</v>
      </c>
      <c r="J9" s="24" t="n">
        <f aca="false">D9/Inputs!$B$37</f>
        <v>200.759745705555</v>
      </c>
    </row>
    <row r="10" customFormat="false" ht="15" hidden="false" customHeight="false" outlineLevel="0" collapsed="false">
      <c r="A10" s="4" t="s">
        <v>57</v>
      </c>
      <c r="B10" s="14" t="n">
        <f aca="false">SUMIF(Grid!$G$3:$G$303,4,Grid!$F$3:$F$303)</f>
        <v>203796</v>
      </c>
      <c r="C10" s="15" t="n">
        <f aca="false">SUMIF(Grid!$G$3:$G$303,4,Grid!$O$3:$O$303)/Grid!$AB$1</f>
        <v>0.248185099479909</v>
      </c>
      <c r="D10" s="16" t="n">
        <f aca="false">$C10*Inputs!$B$28/$B10</f>
        <v>1461373.72360543</v>
      </c>
      <c r="E10" s="16" t="n">
        <f aca="false">$C10*Inputs!$B$29/$B10</f>
        <v>1022961.6065238</v>
      </c>
      <c r="F10" s="16" t="n">
        <f aca="false">$C10*Inputs!$B$30/$B10</f>
        <v>730686.861802713</v>
      </c>
      <c r="G10" s="16" t="n">
        <f aca="false">$C10*Inputs!$B$31/$B10</f>
        <v>487124.574535142</v>
      </c>
      <c r="H10" s="16" t="s">
        <v>58</v>
      </c>
      <c r="I10" s="17" t="s">
        <v>58</v>
      </c>
      <c r="J10" s="18" t="n">
        <f aca="false">D10/Inputs!$B$37</f>
        <v>27.6754360201012</v>
      </c>
    </row>
    <row r="11" customFormat="false" ht="15" hidden="false" customHeight="false" outlineLevel="0" collapsed="false">
      <c r="A11" s="4" t="s">
        <v>59</v>
      </c>
      <c r="B11" s="14" t="n">
        <f aca="false">SUMIF(Grid!$G$3:$G$303,5,Grid!$F$3:$F$303)</f>
        <v>2037960</v>
      </c>
      <c r="C11" s="15" t="n">
        <f aca="false">SUMIF(Grid!$G$3:$G$303,5,Grid!$O$3:$O$303)/Grid!$AB$1</f>
        <v>0.551775585177195</v>
      </c>
      <c r="D11" s="16" t="n">
        <f aca="false">$C11*Inputs!$B$28/$B11</f>
        <v>324898.77240605</v>
      </c>
      <c r="E11" s="16" t="n">
        <f aca="false">$C11*Inputs!$B$29/$B11</f>
        <v>227429.140684235</v>
      </c>
      <c r="F11" s="16" t="n">
        <f aca="false">$C11*Inputs!$B$30/$B11</f>
        <v>162449.386203025</v>
      </c>
      <c r="G11" s="16" t="n">
        <f aca="false">$C11*Inputs!$B$31/$B11</f>
        <v>108299.590802017</v>
      </c>
      <c r="H11" s="16" t="s">
        <v>58</v>
      </c>
      <c r="I11" s="17" t="s">
        <v>58</v>
      </c>
      <c r="J11" s="18" t="n">
        <f aca="false">D11/Inputs!$B$37</f>
        <v>6.15291971074256</v>
      </c>
    </row>
    <row r="12" customFormat="false" ht="15" hidden="false" customHeight="false" outlineLevel="0" collapsed="false">
      <c r="A12" s="19" t="s">
        <v>60</v>
      </c>
      <c r="B12" s="20" t="n">
        <f aca="false">SUM(Grid!$F$3:$F$303)</f>
        <v>2264400</v>
      </c>
      <c r="C12" s="21" t="n">
        <f aca="false">SUM(Grid!$O$3:$O$303)/Grid!$AB$1</f>
        <v>1</v>
      </c>
      <c r="D12" s="22" t="n">
        <f aca="false">$C12*Inputs!$B$28/$B12</f>
        <v>529941.706412295</v>
      </c>
      <c r="E12" s="22" t="n">
        <f aca="false">$C12*Inputs!$B$29/$B12</f>
        <v>370959.194488606</v>
      </c>
      <c r="F12" s="22" t="n">
        <f aca="false">$C12*Inputs!$B$30/$B12</f>
        <v>264970.853206147</v>
      </c>
      <c r="G12" s="22" t="n">
        <f aca="false">$C12*Inputs!$B$31/$B12</f>
        <v>176647.235470765</v>
      </c>
      <c r="H12" s="22"/>
      <c r="I12" s="23"/>
      <c r="J12" s="24" t="n">
        <f aca="false">D12/Inputs!$B$37</f>
        <v>10.036014438533</v>
      </c>
    </row>
    <row r="13" customFormat="false" ht="15" hidden="false" customHeight="false" outlineLevel="0" collapsed="false">
      <c r="A13" s="2" t="s">
        <v>61</v>
      </c>
    </row>
    <row r="14" customFormat="false" ht="15" hidden="false" customHeight="false" outlineLevel="0" collapsed="false">
      <c r="A14" s="2" t="s">
        <v>62</v>
      </c>
    </row>
    <row r="16" customFormat="false" ht="15" hidden="false" customHeight="false" outlineLevel="0" collapsed="false">
      <c r="A16" s="3" t="s">
        <v>63</v>
      </c>
      <c r="B16" s="3"/>
      <c r="C16" s="3"/>
      <c r="D16" s="3"/>
      <c r="E16" s="3"/>
      <c r="F16" s="3"/>
      <c r="G16" s="3"/>
      <c r="H16" s="3"/>
      <c r="I16" s="3"/>
      <c r="J16" s="3"/>
    </row>
    <row r="17" customFormat="false" ht="15" hidden="false" customHeight="false" outlineLevel="0" collapsed="false">
      <c r="A17" s="4" t="s">
        <v>64</v>
      </c>
      <c r="B17" s="25" t="str">
        <f aca="false">Fit!B33</f>
        <v>Pareto</v>
      </c>
    </row>
    <row r="18" customFormat="false" ht="15" hidden="false" customHeight="false" outlineLevel="0" collapsed="false">
      <c r="A18" s="4" t="s">
        <v>65</v>
      </c>
      <c r="B18" s="26" t="n">
        <f aca="false">Grid!$AB$6</f>
        <v>4.68430256881497E-012</v>
      </c>
    </row>
    <row r="19" customFormat="false" ht="15" hidden="false" customHeight="false" outlineLevel="0" collapsed="false">
      <c r="A19" s="4" t="s">
        <v>66</v>
      </c>
      <c r="B19" s="16" t="n">
        <f aca="false">Grid!$AB$8</f>
        <v>30000000000000</v>
      </c>
    </row>
    <row r="20" customFormat="false" ht="15" hidden="false" customHeight="false" outlineLevel="0" collapsed="false">
      <c r="A20" s="4" t="s">
        <v>67</v>
      </c>
      <c r="B20" s="16" t="n">
        <f aca="false">Inputs!$B$35</f>
        <v>30000000000000</v>
      </c>
    </row>
    <row r="21" customFormat="false" ht="15" hidden="false" customHeight="false" outlineLevel="0" collapsed="false">
      <c r="A21" s="19" t="s">
        <v>68</v>
      </c>
      <c r="B21" s="16" t="n">
        <f aca="false">B19-B20</f>
        <v>0</v>
      </c>
    </row>
    <row r="22" customFormat="false" ht="15" hidden="false" customHeight="false" outlineLevel="0" collapsed="false">
      <c r="A22" s="4" t="s">
        <v>69</v>
      </c>
      <c r="B22" s="16" t="n">
        <f aca="false">C9*Inputs!$B$28</f>
        <v>240047178411.475</v>
      </c>
    </row>
    <row r="23" customFormat="false" ht="15" hidden="false" customHeight="false" outlineLevel="0" collapsed="false">
      <c r="A23" s="4" t="s">
        <v>70</v>
      </c>
      <c r="B23" s="15" t="n">
        <f aca="false">B22/Inputs!$B$35</f>
        <v>0.00800157261371582</v>
      </c>
    </row>
    <row r="24" customFormat="false" ht="15" hidden="false" customHeight="false" outlineLevel="0" collapsed="false">
      <c r="A24" s="4" t="s">
        <v>71</v>
      </c>
      <c r="B24" s="15" t="n">
        <f aca="false">Inputs!$B$36</f>
        <v>0.008</v>
      </c>
    </row>
    <row r="25" customFormat="false" ht="15" hidden="false" customHeight="false" outlineLevel="0" collapsed="false">
      <c r="A25" s="19" t="s">
        <v>72</v>
      </c>
      <c r="B25" s="15" t="n">
        <f aca="false">B23-B24</f>
        <v>1.57261371581952E-006</v>
      </c>
    </row>
    <row r="26" customFormat="false" ht="15" hidden="false" customHeight="false" outlineLevel="0" collapsed="false">
      <c r="A26" s="4" t="s">
        <v>73</v>
      </c>
      <c r="B26" s="27" t="n">
        <f aca="false">Grid!$AB$2</f>
        <v>78.5802481770173</v>
      </c>
    </row>
    <row r="27" customFormat="false" ht="15" hidden="false" customHeight="false" outlineLevel="0" collapsed="false">
      <c r="A27" s="4" t="s">
        <v>74</v>
      </c>
      <c r="B27" s="27" t="n">
        <f aca="false">Fit!$B$34</f>
        <v>78.8095710417192</v>
      </c>
    </row>
    <row r="28" customFormat="false" ht="15" hidden="false" customHeight="false" outlineLevel="0" collapsed="false">
      <c r="A28" s="4" t="s">
        <v>75</v>
      </c>
      <c r="B28" s="27" t="n">
        <f aca="false">Inputs!$B$13</f>
        <v>42</v>
      </c>
    </row>
    <row r="29" customFormat="false" ht="15" hidden="false" customHeight="false" outlineLevel="0" collapsed="false">
      <c r="A29" s="4" t="s">
        <v>76</v>
      </c>
      <c r="B29" s="27" t="n">
        <f aca="false">B26-B28</f>
        <v>36.5802481770173</v>
      </c>
    </row>
    <row r="30" customFormat="false" ht="15" hidden="false" customHeight="false" outlineLevel="0" collapsed="false">
      <c r="A30" s="4" t="s">
        <v>77</v>
      </c>
      <c r="B30" s="25" t="str">
        <f aca="false">Fit!$B$48</f>
        <v>NO - no Pareto matches this mean with this 90th percentile</v>
      </c>
    </row>
    <row r="32" customFormat="false" ht="15" hidden="false" customHeight="false" outlineLevel="0" collapsed="false">
      <c r="A32" s="2"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22"/>
  </cols>
  <sheetData>
    <row r="1" customFormat="false" ht="17.35" hidden="false" customHeight="false" outlineLevel="0" collapsed="false">
      <c r="A1" s="1" t="s">
        <v>79</v>
      </c>
    </row>
    <row r="2" customFormat="false" ht="15" hidden="false" customHeight="false" outlineLevel="0" collapsed="false">
      <c r="A2" s="2" t="s">
        <v>80</v>
      </c>
    </row>
    <row r="4" customFormat="false" ht="15" hidden="false" customHeight="false" outlineLevel="0" collapsed="false">
      <c r="A4" s="28" t="s">
        <v>42</v>
      </c>
      <c r="B4" s="28" t="s">
        <v>81</v>
      </c>
      <c r="C4" s="28" t="s">
        <v>82</v>
      </c>
      <c r="D4" s="28" t="s">
        <v>83</v>
      </c>
      <c r="E4" s="28" t="s">
        <v>84</v>
      </c>
    </row>
    <row r="5" customFormat="false" ht="15" hidden="false" customHeight="false" outlineLevel="0" collapsed="false">
      <c r="A5" s="4" t="s">
        <v>52</v>
      </c>
      <c r="B5" s="15" t="n">
        <f aca="false">Grid!V3/SUM(Grid!$V$3:$V$303)</f>
        <v>0.00341248188228962</v>
      </c>
      <c r="C5" s="15" t="n">
        <f aca="false">Grid!W3/SUM(Grid!$W$3:$W$303)</f>
        <v>1.98405258368382E-005</v>
      </c>
      <c r="D5" s="15" t="n">
        <f aca="false">Grid!X3/SUM(Grid!$X$3:$X$303)</f>
        <v>5.0517681038828E-006</v>
      </c>
      <c r="E5" s="15" t="n">
        <f aca="false">Grid!Y3/SUM(Grid!$Y$3:$Y$303)</f>
        <v>3.03780681532426E-006</v>
      </c>
    </row>
    <row r="6" customFormat="false" ht="15" hidden="false" customHeight="false" outlineLevel="0" collapsed="false">
      <c r="A6" s="4" t="s">
        <v>53</v>
      </c>
      <c r="B6" s="15" t="n">
        <f aca="false">SUMIF(Grid!$G$3:$G$303,1,Grid!$V$3:$V$303)/SUM(Grid!$V$3:$V$303)</f>
        <v>0.038195879012661</v>
      </c>
      <c r="C6" s="15" t="n">
        <f aca="false">SUMIF(Grid!$G$3:$G$303,1,Grid!$W$3:$W$303)/SUM(Grid!$W$3:$W$303)</f>
        <v>0.00187050181377126</v>
      </c>
      <c r="D6" s="15" t="n">
        <f aca="false">SUMIF(Grid!$G$3:$G$303,1,Grid!$X$3:$X$303)/SUM(Grid!$X$3:$X$303)</f>
        <v>0.000801141877568438</v>
      </c>
      <c r="E6" s="15" t="n">
        <f aca="false">SUMIF(Grid!$G$3:$G$303,1,Grid!$Y$3:$Y$303)/SUM(Grid!$Y$3:$Y$303)</f>
        <v>0.000557000239462331</v>
      </c>
    </row>
    <row r="7" customFormat="false" ht="15" hidden="false" customHeight="false" outlineLevel="0" collapsed="false">
      <c r="A7" s="4" t="s">
        <v>54</v>
      </c>
      <c r="B7" s="15" t="n">
        <f aca="false">SUMIF(Grid!$G$3:$G$303,2,Grid!$V$3:$V$303)/SUM(Grid!$V$3:$V$303)</f>
        <v>0.0502113792792291</v>
      </c>
      <c r="C7" s="15" t="n">
        <f aca="false">SUMIF(Grid!$G$3:$G$303,2,Grid!$W$3:$W$303)/SUM(Grid!$W$3:$W$303)</f>
        <v>0.00972508258401092</v>
      </c>
      <c r="D7" s="15" t="n">
        <f aca="false">SUMIF(Grid!$G$3:$G$303,2,Grid!$X$3:$X$303)/SUM(Grid!$X$3:$X$303)</f>
        <v>0.00560300452429096</v>
      </c>
      <c r="E7" s="15" t="n">
        <f aca="false">SUMIF(Grid!$G$3:$G$303,2,Grid!$Y$3:$Y$303)/SUM(Grid!$Y$3:$Y$303)</f>
        <v>0.00430447634616992</v>
      </c>
    </row>
    <row r="8" customFormat="false" ht="15" hidden="false" customHeight="false" outlineLevel="0" collapsed="false">
      <c r="A8" s="4" t="s">
        <v>55</v>
      </c>
      <c r="B8" s="15" t="n">
        <f aca="false">SUMIF(Grid!$G$3:$G$303,3,Grid!$V$3:$V$303)/SUM(Grid!$V$3:$V$303)</f>
        <v>0.111632057051005</v>
      </c>
      <c r="C8" s="15" t="n">
        <f aca="false">SUMIF(Grid!$G$3:$G$303,3,Grid!$W$3:$W$303)/SUM(Grid!$W$3:$W$303)</f>
        <v>0.0543887175991706</v>
      </c>
      <c r="D8" s="15" t="n">
        <f aca="false">SUMIF(Grid!$G$3:$G$303,3,Grid!$X$3:$X$303)/SUM(Grid!$X$3:$X$303)</f>
        <v>0.0409426200883379</v>
      </c>
      <c r="E8" s="15" t="n">
        <f aca="false">SUMIF(Grid!$G$3:$G$303,3,Grid!$Y$3:$Y$303)/SUM(Grid!$Y$3:$Y$303)</f>
        <v>0.0353407264508325</v>
      </c>
    </row>
    <row r="9" customFormat="false" ht="15" hidden="false" customHeight="false" outlineLevel="0" collapsed="false">
      <c r="A9" s="19" t="s">
        <v>56</v>
      </c>
      <c r="B9" s="21" t="n">
        <f aca="false">SUMIF(Grid!$G$3:$G$303,"&lt;=3",Grid!$V$3:$V$303)/SUM(Grid!$V$3:$V$303)</f>
        <v>0.200039315342896</v>
      </c>
      <c r="C9" s="21" t="n">
        <f aca="false">SUMIF(Grid!$G$3:$G$303,"&lt;=3",Grid!$W$3:$W$303)/SUM(Grid!$W$3:$W$303)</f>
        <v>0.0659843019969527</v>
      </c>
      <c r="D9" s="21" t="n">
        <f aca="false">SUMIF(Grid!$G$3:$G$303,"&lt;=3",Grid!$X$3:$X$303)/SUM(Grid!$X$3:$X$303)</f>
        <v>0.0473467664901973</v>
      </c>
      <c r="E9" s="21" t="n">
        <f aca="false">SUMIF(Grid!$G$3:$G$303,"&lt;=3",Grid!$Y$3:$Y$303)/SUM(Grid!$Y$3:$Y$303)</f>
        <v>0.0402022030364648</v>
      </c>
    </row>
    <row r="10" customFormat="false" ht="15" hidden="false" customHeight="false" outlineLevel="0" collapsed="false">
      <c r="A10" s="4" t="s">
        <v>57</v>
      </c>
      <c r="B10" s="15" t="n">
        <f aca="false">SUMIF(Grid!$G$3:$G$303,4,Grid!$V$3:$V$303)/SUM(Grid!$V$3:$V$303)</f>
        <v>0.248185099479909</v>
      </c>
      <c r="C10" s="15" t="n">
        <f aca="false">SUMIF(Grid!$G$3:$G$303,4,Grid!$W$3:$W$303)/SUM(Grid!$W$3:$W$303)</f>
        <v>0.256173777055587</v>
      </c>
      <c r="D10" s="15" t="n">
        <f aca="false">SUMIF(Grid!$G$3:$G$303,4,Grid!$X$3:$X$303)/SUM(Grid!$X$3:$X$303)</f>
        <v>0.249801424316128</v>
      </c>
      <c r="E10" s="15" t="n">
        <f aca="false">SUMIF(Grid!$G$3:$G$303,4,Grid!$Y$3:$Y$303)/SUM(Grid!$Y$3:$Y$303)</f>
        <v>0.252717052682444</v>
      </c>
    </row>
    <row r="11" customFormat="false" ht="15" hidden="false" customHeight="false" outlineLevel="0" collapsed="false">
      <c r="A11" s="4" t="s">
        <v>59</v>
      </c>
      <c r="B11" s="15" t="n">
        <f aca="false">SUMIF(Grid!$G$3:$G$303,5,Grid!$V$3:$V$303)/SUM(Grid!$V$3:$V$303)</f>
        <v>0.551775585177195</v>
      </c>
      <c r="C11" s="15" t="n">
        <f aca="false">SUMIF(Grid!$G$3:$G$303,5,Grid!$W$3:$W$303)/SUM(Grid!$W$3:$W$303)</f>
        <v>0.67784192094746</v>
      </c>
      <c r="D11" s="15" t="n">
        <f aca="false">SUMIF(Grid!$G$3:$G$303,5,Grid!$X$3:$X$303)/SUM(Grid!$X$3:$X$303)</f>
        <v>0.702851809193674</v>
      </c>
      <c r="E11" s="15" t="n">
        <f aca="false">SUMIF(Grid!$G$3:$G$303,5,Grid!$Y$3:$Y$303)/SUM(Grid!$Y$3:$Y$303)</f>
        <v>0.707080744281091</v>
      </c>
    </row>
    <row r="13" customFormat="false" ht="15" hidden="false" customHeight="false" outlineLevel="0" collapsed="false">
      <c r="A13" s="3" t="s">
        <v>85</v>
      </c>
      <c r="B13" s="3"/>
      <c r="C13" s="3"/>
      <c r="D13" s="3"/>
      <c r="E13" s="3"/>
    </row>
    <row r="14" customFormat="false" ht="15" hidden="false" customHeight="false" outlineLevel="0" collapsed="false">
      <c r="A14" s="4" t="s">
        <v>86</v>
      </c>
      <c r="B14" s="25" t="str">
        <f aca="false">"alpha = "&amp;TEXT(Fit!B9,"0.000")</f>
        <v>alpha = 1.531</v>
      </c>
      <c r="C14" s="25" t="str">
        <f aca="false">"sigma = "&amp;TEXT(Fit!B15,"0.000")</f>
        <v>sigma = 0.820</v>
      </c>
      <c r="D14" s="25" t="str">
        <f aca="false">"kappa = "&amp;TEXT(Fit!B21,"0.000")</f>
        <v>kappa = 1.142</v>
      </c>
      <c r="E14" s="25" t="str">
        <f aca="false">"sd = "&amp;TEXT(Fit!B27,"0.00")</f>
        <v>sd = 62.42</v>
      </c>
    </row>
    <row r="15" customFormat="false" ht="15" hidden="false" customHeight="false" outlineLevel="0" collapsed="false">
      <c r="A15" s="4" t="s">
        <v>87</v>
      </c>
      <c r="B15" s="25" t="str">
        <f aca="false">"x_min = "&amp;TEXT(Fit!B10,"0.00")</f>
        <v>x_min = 27.35</v>
      </c>
      <c r="C15" s="25" t="str">
        <f aca="false">"mu = "&amp;TEXT(Fit!B16,"0.000")</f>
        <v>mu = 3.761</v>
      </c>
      <c r="D15" s="25" t="str">
        <f aca="false">"lambda = "&amp;TEXT(Fit!B22,"0.00")</f>
        <v>lambda = 59.27</v>
      </c>
      <c r="E15" s="25" t="str">
        <f aca="false">"mean = "&amp;TEXT(Fit!B28,"0.00")</f>
        <v>mean = 43.00</v>
      </c>
    </row>
    <row r="16" customFormat="false" ht="15" hidden="false" customHeight="false" outlineLevel="0" collapsed="false">
      <c r="A16" s="4" t="s">
        <v>88</v>
      </c>
      <c r="B16" s="27" t="n">
        <f aca="false">Fit!B11</f>
        <v>78.8095710417192</v>
      </c>
      <c r="C16" s="27" t="n">
        <f aca="false">Fit!B17</f>
        <v>60.1879252193972</v>
      </c>
      <c r="D16" s="27" t="n">
        <f aca="false">Fit!B23</f>
        <v>56.5160235527517</v>
      </c>
      <c r="E16" s="27" t="n">
        <f aca="false">Fit!B29</f>
        <v>43</v>
      </c>
    </row>
    <row r="17" customFormat="false" ht="15" hidden="false" customHeight="false" outlineLevel="0" collapsed="false">
      <c r="A17" s="4" t="s">
        <v>89</v>
      </c>
      <c r="B17" s="27" t="n">
        <f aca="false">Fit!B12</f>
        <v>43</v>
      </c>
      <c r="C17" s="27" t="n">
        <f aca="false">Fit!B18</f>
        <v>43</v>
      </c>
      <c r="D17" s="27" t="n">
        <f aca="false">Fit!B24</f>
        <v>43</v>
      </c>
      <c r="E17" s="27" t="n">
        <f aca="false">Fit!B30</f>
        <v>43</v>
      </c>
    </row>
    <row r="19" customFormat="false" ht="15" hidden="false" customHeight="false" outlineLevel="0" collapsed="false">
      <c r="A19" s="2"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16"/>
    <col collapsed="false" customWidth="true" hidden="false" outlineLevel="0" max="4" min="4" style="0" width="14"/>
    <col collapsed="false" customWidth="true" hidden="false" outlineLevel="0" max="5" min="5" style="0" width="2"/>
  </cols>
  <sheetData>
    <row r="1" customFormat="false" ht="17.35" hidden="false" customHeight="false" outlineLevel="0" collapsed="false">
      <c r="A1" s="1" t="s">
        <v>91</v>
      </c>
    </row>
    <row r="2" customFormat="false" ht="15" hidden="false" customHeight="false" outlineLevel="0" collapsed="false">
      <c r="A2" s="2" t="s">
        <v>92</v>
      </c>
    </row>
    <row r="4" customFormat="false" ht="15" hidden="false" customHeight="false" outlineLevel="0" collapsed="false">
      <c r="A4" s="19" t="s">
        <v>93</v>
      </c>
    </row>
    <row r="5" customFormat="false" ht="15" hidden="false" customHeight="false" outlineLevel="0" collapsed="false">
      <c r="A5" s="4" t="s">
        <v>94</v>
      </c>
      <c r="B5" s="29" t="n">
        <f aca="false">-NORMSINV(Inputs!B9)</f>
        <v>-0</v>
      </c>
    </row>
    <row r="6" customFormat="false" ht="15" hidden="false" customHeight="false" outlineLevel="0" collapsed="false">
      <c r="A6" s="4" t="s">
        <v>95</v>
      </c>
      <c r="B6" s="29" t="n">
        <f aca="false">-NORMSINV(Inputs!B11)</f>
        <v>1.2815515655446</v>
      </c>
    </row>
    <row r="8" customFormat="false" ht="15" hidden="false" customHeight="false" outlineLevel="0" collapsed="false">
      <c r="A8" s="19" t="s">
        <v>96</v>
      </c>
    </row>
    <row r="9" customFormat="false" ht="15" hidden="false" customHeight="false" outlineLevel="0" collapsed="false">
      <c r="A9" s="4" t="s">
        <v>97</v>
      </c>
      <c r="B9" s="29" t="n">
        <f aca="false">LN(Inputs!B9/Inputs!B11)/LN(Inputs!B12/Inputs!B10)</f>
        <v>1.53136255680284</v>
      </c>
    </row>
    <row r="10" customFormat="false" ht="15" hidden="false" customHeight="false" outlineLevel="0" collapsed="false">
      <c r="A10" s="4" t="s">
        <v>98</v>
      </c>
      <c r="B10" s="29" t="n">
        <f aca="false">Inputs!B10*Inputs!B9^(1/B9)</f>
        <v>27.3458789907284</v>
      </c>
    </row>
    <row r="11" customFormat="false" ht="15" hidden="false" customHeight="false" outlineLevel="0" collapsed="false">
      <c r="A11" s="4" t="s">
        <v>99</v>
      </c>
      <c r="B11" s="29" t="n">
        <f aca="false">IF(B9&gt;1,B9*B10/(B9-1),-1)</f>
        <v>78.8095710417192</v>
      </c>
      <c r="C11" s="2" t="s">
        <v>100</v>
      </c>
    </row>
    <row r="12" customFormat="false" ht="15" hidden="false" customHeight="false" outlineLevel="0" collapsed="false">
      <c r="A12" s="4" t="s">
        <v>101</v>
      </c>
      <c r="B12" s="29" t="n">
        <f aca="false">B10*2^(1/B9)</f>
        <v>43</v>
      </c>
    </row>
    <row r="14" customFormat="false" ht="15" hidden="false" customHeight="false" outlineLevel="0" collapsed="false">
      <c r="A14" s="19" t="s">
        <v>102</v>
      </c>
    </row>
    <row r="15" customFormat="false" ht="15" hidden="false" customHeight="false" outlineLevel="0" collapsed="false">
      <c r="A15" s="4" t="s">
        <v>103</v>
      </c>
      <c r="B15" s="29" t="n">
        <f aca="false">(LN(Inputs!B12)-LN(Inputs!B10))/(B6-B5)</f>
        <v>0.820087359678137</v>
      </c>
    </row>
    <row r="16" customFormat="false" ht="15" hidden="false" customHeight="false" outlineLevel="0" collapsed="false">
      <c r="A16" s="4" t="s">
        <v>104</v>
      </c>
      <c r="B16" s="29" t="n">
        <f aca="false">LN(Inputs!B10)-B15*B5</f>
        <v>3.76120011569356</v>
      </c>
    </row>
    <row r="17" customFormat="false" ht="15" hidden="false" customHeight="false" outlineLevel="0" collapsed="false">
      <c r="A17" s="4" t="s">
        <v>99</v>
      </c>
      <c r="B17" s="29" t="n">
        <f aca="false">EXP(B16+B15^2/2)</f>
        <v>60.1879252193972</v>
      </c>
    </row>
    <row r="18" customFormat="false" ht="15" hidden="false" customHeight="false" outlineLevel="0" collapsed="false">
      <c r="A18" s="4" t="s">
        <v>101</v>
      </c>
      <c r="B18" s="29" t="n">
        <f aca="false">EXP(B16)</f>
        <v>43</v>
      </c>
    </row>
    <row r="20" customFormat="false" ht="15" hidden="false" customHeight="false" outlineLevel="0" collapsed="false">
      <c r="A20" s="19" t="s">
        <v>105</v>
      </c>
    </row>
    <row r="21" customFormat="false" ht="15" hidden="false" customHeight="false" outlineLevel="0" collapsed="false">
      <c r="A21" s="4" t="s">
        <v>106</v>
      </c>
      <c r="B21" s="29" t="n">
        <f aca="false">LN(LN(1/Inputs!B11)/LN(1/Inputs!B9))/LN(Inputs!B12/Inputs!B10)</f>
        <v>1.14230577443908</v>
      </c>
    </row>
    <row r="22" customFormat="false" ht="15" hidden="false" customHeight="false" outlineLevel="0" collapsed="false">
      <c r="A22" s="4" t="s">
        <v>107</v>
      </c>
      <c r="B22" s="29" t="n">
        <f aca="false">Inputs!B10/LN(1/Inputs!B9)^(1/B21)</f>
        <v>59.2670626739398</v>
      </c>
    </row>
    <row r="23" customFormat="false" ht="15" hidden="false" customHeight="false" outlineLevel="0" collapsed="false">
      <c r="A23" s="4" t="s">
        <v>99</v>
      </c>
      <c r="B23" s="29" t="n">
        <f aca="false">B22*EXP(GAMMALN(1+1/B21))</f>
        <v>56.5160235527517</v>
      </c>
    </row>
    <row r="24" customFormat="false" ht="15" hidden="false" customHeight="false" outlineLevel="0" collapsed="false">
      <c r="A24" s="4" t="s">
        <v>101</v>
      </c>
      <c r="B24" s="29" t="n">
        <f aca="false">B22*LN(2)^(1/B21)</f>
        <v>43</v>
      </c>
    </row>
    <row r="26" customFormat="false" ht="15" hidden="false" customHeight="false" outlineLevel="0" collapsed="false">
      <c r="A26" s="19" t="s">
        <v>108</v>
      </c>
    </row>
    <row r="27" customFormat="false" ht="15" hidden="false" customHeight="false" outlineLevel="0" collapsed="false">
      <c r="A27" s="4" t="s">
        <v>109</v>
      </c>
      <c r="B27" s="29" t="n">
        <f aca="false">(Inputs!B12-Inputs!B10)/(B6-B5)</f>
        <v>62.4243316857903</v>
      </c>
    </row>
    <row r="28" customFormat="false" ht="15" hidden="false" customHeight="false" outlineLevel="0" collapsed="false">
      <c r="A28" s="4" t="s">
        <v>110</v>
      </c>
      <c r="B28" s="29" t="n">
        <f aca="false">Inputs!B10-B27*B5</f>
        <v>43</v>
      </c>
      <c r="C28" s="2" t="s">
        <v>111</v>
      </c>
    </row>
    <row r="29" customFormat="false" ht="15" hidden="false" customHeight="false" outlineLevel="0" collapsed="false">
      <c r="A29" s="4" t="s">
        <v>99</v>
      </c>
      <c r="B29" s="29" t="n">
        <f aca="false">B28</f>
        <v>43</v>
      </c>
    </row>
    <row r="30" customFormat="false" ht="15" hidden="false" customHeight="false" outlineLevel="0" collapsed="false">
      <c r="A30" s="4" t="s">
        <v>101</v>
      </c>
      <c r="B30" s="29" t="n">
        <f aca="false">B28</f>
        <v>43</v>
      </c>
    </row>
    <row r="32" customFormat="false" ht="15" hidden="false" customHeight="false" outlineLevel="0" collapsed="false">
      <c r="A32" s="19" t="s">
        <v>112</v>
      </c>
    </row>
    <row r="33" customFormat="false" ht="15" hidden="false" customHeight="false" outlineLevel="0" collapsed="false">
      <c r="A33" s="4" t="s">
        <v>113</v>
      </c>
      <c r="B33" s="19" t="str">
        <f aca="false">CHOOSE(Inputs!B5,"Pareto","Lognormal","Weibull","Normal")</f>
        <v>Pareto</v>
      </c>
    </row>
    <row r="34" customFormat="false" ht="15" hidden="false" customHeight="false" outlineLevel="0" collapsed="false">
      <c r="A34" s="4" t="s">
        <v>88</v>
      </c>
      <c r="B34" s="30" t="n">
        <f aca="false">CHOOSE(Inputs!B5,B11,B17,B23,B29)</f>
        <v>78.8095710417192</v>
      </c>
    </row>
    <row r="35" customFormat="false" ht="15" hidden="false" customHeight="false" outlineLevel="0" collapsed="false">
      <c r="A35" s="4" t="s">
        <v>89</v>
      </c>
      <c r="B35" s="30" t="n">
        <f aca="false">CHOOSE(Inputs!B5,B12,B18,B24,B30)</f>
        <v>43</v>
      </c>
    </row>
    <row r="37" customFormat="false" ht="15" hidden="false" customHeight="false" outlineLevel="0" collapsed="false">
      <c r="A37" s="19" t="s">
        <v>114</v>
      </c>
    </row>
    <row r="38" customFormat="false" ht="15" hidden="false" customHeight="false" outlineLevel="0" collapsed="false">
      <c r="B38" s="31" t="s">
        <v>115</v>
      </c>
      <c r="C38" s="31" t="s">
        <v>116</v>
      </c>
      <c r="D38" s="31" t="s">
        <v>117</v>
      </c>
    </row>
    <row r="39" customFormat="false" ht="15" hidden="false" customHeight="false" outlineLevel="0" collapsed="false">
      <c r="A39" s="4" t="s">
        <v>118</v>
      </c>
      <c r="B39" s="32" t="n">
        <f aca="false">Inputs!B9</f>
        <v>0.5</v>
      </c>
      <c r="C39" s="33" t="n">
        <f aca="false">CHOOSE(Inputs!$B$5,$B$10*B39^(-1/$B$9),EXP($B$16+$B$15*-NORMSINV(B39)),$B$22*LN(1/B39)^(1/$B$21),MAX(0,$B$28+$B$27*-NORMSINV(B39)))</f>
        <v>43</v>
      </c>
      <c r="D39" s="34" t="n">
        <f aca="false">C39*12/100</f>
        <v>5.16</v>
      </c>
    </row>
    <row r="40" customFormat="false" ht="15" hidden="false" customHeight="false" outlineLevel="0" collapsed="false">
      <c r="A40" s="4" t="s">
        <v>119</v>
      </c>
      <c r="B40" s="32" t="n">
        <f aca="false">Inputs!B11</f>
        <v>0.1</v>
      </c>
      <c r="C40" s="33" t="n">
        <f aca="false">CHOOSE(Inputs!$B$5,$B$10*B40^(-1/$B$9),EXP($B$16+$B$15*-NORMSINV(B40)),$B$22*LN(1/B40)^(1/$B$21),MAX(0,$B$28+$B$27*-NORMSINV(B40)))</f>
        <v>123</v>
      </c>
      <c r="D40" s="34" t="n">
        <f aca="false">C40*12/100</f>
        <v>14.76</v>
      </c>
    </row>
    <row r="41" customFormat="false" ht="15" hidden="false" customHeight="false" outlineLevel="0" collapsed="false">
      <c r="A41" s="4" t="s">
        <v>120</v>
      </c>
      <c r="B41" s="32" t="n">
        <v>0.01</v>
      </c>
      <c r="C41" s="33" t="n">
        <f aca="false">CHOOSE(Inputs!$B$5,$B$10*B41^(-1/$B$9),EXP($B$16+$B$15*-NORMSINV(B41)),$B$22*LN(1/B41)^(1/$B$21),MAX(0,$B$28+$B$27*-NORMSINV(B41)))</f>
        <v>553.246066989818</v>
      </c>
      <c r="D41" s="34" t="n">
        <f aca="false">C41*12/100</f>
        <v>66.3895280387782</v>
      </c>
    </row>
    <row r="42" customFormat="false" ht="15" hidden="false" customHeight="false" outlineLevel="0" collapsed="false">
      <c r="A42" s="4" t="s">
        <v>121</v>
      </c>
      <c r="B42" s="32" t="n">
        <v>0.001</v>
      </c>
      <c r="C42" s="33" t="n">
        <f aca="false">CHOOSE(Inputs!$B$5,$B$10*B42^(-1/$B$9),EXP($B$16+$B$15*-NORMSINV(B42)),$B$22*LN(1/B42)^(1/$B$21),MAX(0,$B$28+$B$27*-NORMSINV(B42)))</f>
        <v>2488.46512715205</v>
      </c>
      <c r="D42" s="34" t="n">
        <f aca="false">C42*12/100</f>
        <v>298.615815258246</v>
      </c>
    </row>
    <row r="43" customFormat="false" ht="15" hidden="false" customHeight="false" outlineLevel="0" collapsed="false">
      <c r="A43" s="4" t="s">
        <v>122</v>
      </c>
      <c r="B43" s="32" t="n">
        <v>0.0001</v>
      </c>
      <c r="C43" s="33" t="n">
        <f aca="false">CHOOSE(Inputs!$B$5,$B$10*B43^(-1/$B$9),EXP($B$16+$B$15*-NORMSINV(B43)),$B$22*LN(1/B43)^(1/$B$21),MAX(0,$B$28+$B$27*-NORMSINV(B43)))</f>
        <v>11192.9556458389</v>
      </c>
      <c r="D43" s="34" t="n">
        <f aca="false">C43*12/100</f>
        <v>1343.15467750067</v>
      </c>
    </row>
    <row r="45" customFormat="false" ht="15" hidden="false" customHeight="false" outlineLevel="0" collapsed="false">
      <c r="A45" s="19" t="s">
        <v>123</v>
      </c>
    </row>
    <row r="46" customFormat="false" ht="15" hidden="false" customHeight="false" outlineLevel="0" collapsed="false">
      <c r="A46" s="4" t="s">
        <v>124</v>
      </c>
      <c r="B46" s="29" t="n">
        <f aca="false">Inputs!B13/Inputs!B12</f>
        <v>0.341463414634146</v>
      </c>
    </row>
    <row r="47" customFormat="false" ht="15" hidden="false" customHeight="false" outlineLevel="0" collapsed="false">
      <c r="A47" s="4" t="s">
        <v>125</v>
      </c>
      <c r="B47" s="6" t="n">
        <v>0.6259</v>
      </c>
    </row>
    <row r="48" customFormat="false" ht="15" hidden="false" customHeight="false" outlineLevel="0" collapsed="false">
      <c r="A48" s="4" t="s">
        <v>126</v>
      </c>
      <c r="B48" s="19" t="str">
        <f aca="false">IF(B46&gt;=B47,"yes","NO - no Pareto matches this mean with this 90th percentile")</f>
        <v>NO - no Pareto matches this mean with this 90th percentile</v>
      </c>
    </row>
    <row r="49" customFormat="false" ht="15" hidden="false" customHeight="false" outlineLevel="0" collapsed="false">
      <c r="A49" s="4" t="s">
        <v>127</v>
      </c>
      <c r="B49" s="30" t="n">
        <f aca="false">B47*Inputs!B12</f>
        <v>76.9857</v>
      </c>
    </row>
    <row r="50" customFormat="false" ht="15" hidden="false" customHeight="false" outlineLevel="0" collapsed="false">
      <c r="A50" s="2"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7" min="27" style="0" width="30"/>
    <col collapsed="false" customWidth="true" hidden="false" outlineLevel="0" max="28" min="28" style="0" width="20"/>
  </cols>
  <sheetData>
    <row r="1" customFormat="false" ht="17.35" hidden="false" customHeight="false" outlineLevel="0" collapsed="false">
      <c r="A1" s="1" t="s">
        <v>129</v>
      </c>
      <c r="AA1" s="31" t="s">
        <v>130</v>
      </c>
      <c r="AB1" s="32" t="n">
        <f aca="false">SUM(O3:O303)</f>
        <v>78.5802481770173</v>
      </c>
    </row>
    <row r="2" customFormat="false" ht="22.35" hidden="false" customHeight="false" outlineLevel="0" collapsed="false">
      <c r="A2" s="13" t="s">
        <v>131</v>
      </c>
      <c r="B2" s="13" t="s">
        <v>132</v>
      </c>
      <c r="C2" s="13" t="s">
        <v>133</v>
      </c>
      <c r="D2" s="13" t="s">
        <v>134</v>
      </c>
      <c r="E2" s="13" t="s">
        <v>135</v>
      </c>
      <c r="F2" s="13" t="s">
        <v>136</v>
      </c>
      <c r="G2" s="13" t="s">
        <v>137</v>
      </c>
      <c r="H2" s="13" t="s">
        <v>138</v>
      </c>
      <c r="I2" s="13" t="s">
        <v>139</v>
      </c>
      <c r="J2" s="13" t="s">
        <v>140</v>
      </c>
      <c r="K2" s="13" t="s">
        <v>141</v>
      </c>
      <c r="L2" s="13" t="s">
        <v>142</v>
      </c>
      <c r="M2" s="13" t="s">
        <v>143</v>
      </c>
      <c r="N2" s="13" t="s">
        <v>144</v>
      </c>
      <c r="O2" s="13" t="s">
        <v>145</v>
      </c>
      <c r="P2" s="13" t="s">
        <v>146</v>
      </c>
      <c r="Q2" s="13" t="s">
        <v>147</v>
      </c>
      <c r="R2" s="13" t="s">
        <v>148</v>
      </c>
      <c r="S2" s="13" t="s">
        <v>149</v>
      </c>
      <c r="T2" s="13" t="s">
        <v>150</v>
      </c>
      <c r="U2" s="13" t="s">
        <v>151</v>
      </c>
      <c r="V2" s="13" t="s">
        <v>152</v>
      </c>
      <c r="W2" s="13" t="s">
        <v>153</v>
      </c>
      <c r="X2" s="13" t="s">
        <v>154</v>
      </c>
      <c r="Y2" s="13" t="s">
        <v>155</v>
      </c>
      <c r="AA2" s="31" t="s">
        <v>156</v>
      </c>
      <c r="AB2" s="30" t="n">
        <f aca="false">SUM(M3:M303)</f>
        <v>78.5802481770173</v>
      </c>
    </row>
    <row r="3" customFormat="false" ht="15" hidden="false" customHeight="false" outlineLevel="0" collapsed="false">
      <c r="A3" s="35" t="n">
        <v>1</v>
      </c>
      <c r="B3" s="35" t="n">
        <v>0</v>
      </c>
      <c r="C3" s="35" t="n">
        <f aca="false">1/Inputs!$B$16</f>
        <v>4.41618088676912E-007</v>
      </c>
      <c r="D3" s="35" t="n">
        <f aca="false">Inputs!$B$17/Inputs!$B$16</f>
        <v>2.20809044338456E-007</v>
      </c>
      <c r="E3" s="35" t="n">
        <f aca="false">C3-B3</f>
        <v>4.41618088676912E-007</v>
      </c>
      <c r="F3" s="35" t="n">
        <f aca="false">Inputs!$B$16*E3</f>
        <v>1</v>
      </c>
      <c r="G3" s="35" t="n">
        <f aca="false">IF(D3&lt;=Inputs!$B$21,1,IF(D3&lt;=Inputs!$B$22,2,IF(D3&lt;=Inputs!$B$23,3,IF(D3&lt;=Inputs!$B$24,4,5))))</f>
        <v>1</v>
      </c>
      <c r="H3" s="35" t="n">
        <f aca="false">Fit!$B$10*D3^(-1/Fit!$B$9)</f>
        <v>607207.177616482</v>
      </c>
      <c r="I3" s="35" t="n">
        <f aca="false">EXP(Fit!$B$16+Fit!$B$15*-NORMSINV(D3))</f>
        <v>2704.60016666697</v>
      </c>
      <c r="J3" s="35" t="n">
        <f aca="false">Fit!$B$22*LN(1/D3)^(1/Fit!$B$21)</f>
        <v>646.492480425581</v>
      </c>
      <c r="K3" s="35" t="n">
        <f aca="false">MAX(0,Fit!$B$28+Fit!$B$27*-NORMSINV(D3))</f>
        <v>358.248057629083</v>
      </c>
      <c r="L3" s="35" t="n">
        <f aca="false">INDEX(H3:K3,1,Inputs!$B$5)</f>
        <v>607207.177616482</v>
      </c>
      <c r="M3" s="35" t="n">
        <f aca="false">L3*E3</f>
        <v>0.268153673209893</v>
      </c>
      <c r="N3" s="35" t="n">
        <f aca="false">L3^$AB$7</f>
        <v>607207.177616482</v>
      </c>
      <c r="O3" s="35" t="n">
        <f aca="false">N3*E3</f>
        <v>0.268153673209893</v>
      </c>
      <c r="P3" s="35" t="n">
        <f aca="false">N3*$AB$3/($AB$4*$AB$1)</f>
        <v>4094978258.74754</v>
      </c>
      <c r="Q3" s="35" t="n">
        <f aca="false">IF(G3&lt;=3,F3*SQRT(P3),0)</f>
        <v>63992.0171486064</v>
      </c>
      <c r="R3" s="35" t="n">
        <f aca="false">SQRT(P3/$AB$6)</f>
        <v>29566732391.431</v>
      </c>
      <c r="S3" s="35" t="n">
        <f aca="false">2*$AB$6*R3</f>
        <v>0.27699904098529</v>
      </c>
      <c r="T3" s="35" t="n">
        <f aca="false">IF(G3&lt;=3,F3*R3,0)</f>
        <v>29566732391.431</v>
      </c>
      <c r="U3" s="35" t="n">
        <f aca="false">F3*P3</f>
        <v>4094978258.74754</v>
      </c>
      <c r="V3" s="35" t="n">
        <f aca="false">H3^$AB$7*E3</f>
        <v>0.268153673209893</v>
      </c>
      <c r="W3" s="35" t="n">
        <f aca="false">I3^$AB$7*E3</f>
        <v>0.00119440035623873</v>
      </c>
      <c r="X3" s="35" t="n">
        <f aca="false">J3^$AB$7*E3</f>
        <v>0.000285502773549541</v>
      </c>
      <c r="Y3" s="35" t="n">
        <f aca="false">K3^$AB$7*E3</f>
        <v>0.000158208822482372</v>
      </c>
      <c r="AA3" s="31" t="s">
        <v>157</v>
      </c>
      <c r="AB3" s="36" t="n">
        <f aca="false">Inputs!$B$28</f>
        <v>1200000000000</v>
      </c>
    </row>
    <row r="4" customFormat="false" ht="15" hidden="false" customHeight="false" outlineLevel="0" collapsed="false">
      <c r="A4" s="35" t="n">
        <v>2</v>
      </c>
      <c r="B4" s="35" t="n">
        <f aca="false">C3</f>
        <v>4.41618088676912E-007</v>
      </c>
      <c r="C4" s="35" t="n">
        <f aca="false">(1/Inputs!$B$16)*(Inputs!$B$21/(1/Inputs!$B$16))^(1/60)</f>
        <v>4.83388231456947E-007</v>
      </c>
      <c r="D4" s="35" t="n">
        <f aca="false">(B4+C4)/2</f>
        <v>4.62503160066929E-007</v>
      </c>
      <c r="E4" s="35" t="n">
        <f aca="false">C4-B4</f>
        <v>4.17701427800343E-008</v>
      </c>
      <c r="F4" s="35" t="n">
        <f aca="false">Inputs!$B$16*E4</f>
        <v>0.0945843113111097</v>
      </c>
      <c r="G4" s="35" t="n">
        <f aca="false">IF(D4&lt;=Inputs!$B$21,1,IF(D4&lt;=Inputs!$B$22,2,IF(D4&lt;=Inputs!$B$23,3,IF(D4&lt;=Inputs!$B$24,4,5))))</f>
        <v>1</v>
      </c>
      <c r="H4" s="35" t="n">
        <f aca="false">Fit!$B$10*D4^(-1/Fit!$B$9)</f>
        <v>374675.897961212</v>
      </c>
      <c r="I4" s="35" t="n">
        <f aca="false">EXP(Fit!$B$16+Fit!$B$15*-NORMSINV(D4))</f>
        <v>2405.06678821098</v>
      </c>
      <c r="J4" s="35" t="n">
        <f aca="false">Fit!$B$22*LN(1/D4)^(1/Fit!$B$21)</f>
        <v>619.106171304048</v>
      </c>
      <c r="K4" s="35" t="n">
        <f aca="false">MAX(0,Fit!$B$28+Fit!$B$27*-NORMSINV(D4))</f>
        <v>349.31346770766</v>
      </c>
      <c r="L4" s="35" t="n">
        <f aca="false">INDEX(H4:K4,1,Inputs!$B$5)</f>
        <v>374675.897961212</v>
      </c>
      <c r="M4" s="35" t="n">
        <f aca="false">L4*E4</f>
        <v>0.0156502657540774</v>
      </c>
      <c r="N4" s="35" t="n">
        <f aca="false">L4^$AB$7</f>
        <v>374675.897961212</v>
      </c>
      <c r="O4" s="35" t="n">
        <f aca="false">N4*E4</f>
        <v>0.0156502657540774</v>
      </c>
      <c r="P4" s="35" t="n">
        <f aca="false">N4*$AB$3/($AB$4*$AB$1)</f>
        <v>2526797628.20088</v>
      </c>
      <c r="Q4" s="35" t="n">
        <f aca="false">IF(G4&lt;=3,F4*SQRT(P4),0)</f>
        <v>4754.49435703526</v>
      </c>
      <c r="R4" s="35" t="n">
        <f aca="false">SQRT(P4/$AB$6)</f>
        <v>23225376376.6246</v>
      </c>
      <c r="S4" s="35" t="n">
        <f aca="false">2*$AB$6*R4</f>
        <v>0.217589380445434</v>
      </c>
      <c r="T4" s="35" t="n">
        <f aca="false">IF(G4&lt;=3,F4*R4,0)</f>
        <v>2196756229.52435</v>
      </c>
      <c r="U4" s="35" t="n">
        <f aca="false">F4*P4</f>
        <v>238995413.485925</v>
      </c>
      <c r="V4" s="35" t="n">
        <f aca="false">H4^$AB$7*E4</f>
        <v>0.0156502657540774</v>
      </c>
      <c r="W4" s="35" t="n">
        <f aca="false">I4^$AB$7*E4</f>
        <v>0.000100459983139091</v>
      </c>
      <c r="X4" s="35" t="n">
        <f aca="false">J4^$AB$7*E4</f>
        <v>2.58601531713704E-005</v>
      </c>
      <c r="Y4" s="35" t="n">
        <f aca="false">K4^$AB$7*E4</f>
        <v>1.45908734211378E-005</v>
      </c>
      <c r="AA4" s="31" t="s">
        <v>158</v>
      </c>
      <c r="AB4" s="37" t="n">
        <f aca="false">Inputs!$B$16</f>
        <v>2264400</v>
      </c>
    </row>
    <row r="5" customFormat="false" ht="15" hidden="false" customHeight="false" outlineLevel="0" collapsed="false">
      <c r="A5" s="35" t="n">
        <v>3</v>
      </c>
      <c r="B5" s="35" t="n">
        <f aca="false">C4</f>
        <v>4.83388231456947E-007</v>
      </c>
      <c r="C5" s="35" t="n">
        <f aca="false">(1/Inputs!$B$16)*(Inputs!$B$21/(1/Inputs!$B$16))^(2/60)</f>
        <v>5.29109174425197E-007</v>
      </c>
      <c r="D5" s="35" t="n">
        <f aca="false">(B5+C5)/2</f>
        <v>5.06248702941072E-007</v>
      </c>
      <c r="E5" s="35" t="n">
        <f aca="false">C5-B5</f>
        <v>4.57209429682508E-008</v>
      </c>
      <c r="F5" s="35" t="n">
        <f aca="false">Inputs!$B$16*E5</f>
        <v>0.103530503257307</v>
      </c>
      <c r="G5" s="35" t="n">
        <f aca="false">IF(D5&lt;=Inputs!$B$21,1,IF(D5&lt;=Inputs!$B$22,2,IF(D5&lt;=Inputs!$B$23,3,IF(D5&lt;=Inputs!$B$24,4,5))))</f>
        <v>1</v>
      </c>
      <c r="H5" s="35" t="n">
        <f aca="false">Fit!$B$10*D5^(-1/Fit!$B$9)</f>
        <v>353203.90602879</v>
      </c>
      <c r="I5" s="35" t="n">
        <f aca="false">EXP(Fit!$B$16+Fit!$B$15*-NORMSINV(D5))</f>
        <v>2370.28673597444</v>
      </c>
      <c r="J5" s="35" t="n">
        <f aca="false">Fit!$B$22*LN(1/D5)^(1/Fit!$B$21)</f>
        <v>615.746916176024</v>
      </c>
      <c r="K5" s="35" t="n">
        <f aca="false">MAX(0,Fit!$B$28+Fit!$B$27*-NORMSINV(D5))</f>
        <v>348.204660194399</v>
      </c>
      <c r="L5" s="35" t="n">
        <f aca="false">INDEX(H5:K5,1,Inputs!$B$5)</f>
        <v>353203.90602879</v>
      </c>
      <c r="M5" s="35" t="n">
        <f aca="false">L5*E5</f>
        <v>0.0161488156437057</v>
      </c>
      <c r="N5" s="35" t="n">
        <f aca="false">L5^$AB$7</f>
        <v>353203.90602879</v>
      </c>
      <c r="O5" s="35" t="n">
        <f aca="false">N5*E5</f>
        <v>0.0161488156437057</v>
      </c>
      <c r="P5" s="35" t="n">
        <f aca="false">N5*$AB$3/($AB$4*$AB$1)</f>
        <v>2381991467.50887</v>
      </c>
      <c r="Q5" s="35" t="n">
        <f aca="false">IF(G5&lt;=3,F5*SQRT(P5),0)</f>
        <v>5052.87350161872</v>
      </c>
      <c r="R5" s="35" t="n">
        <f aca="false">SQRT(P5/$AB$6)</f>
        <v>22550056330.4929</v>
      </c>
      <c r="S5" s="35" t="n">
        <f aca="false">2*$AB$6*R5</f>
        <v>0.2112625735917</v>
      </c>
      <c r="T5" s="35" t="n">
        <f aca="false">IF(G5&lt;=3,F5*R5,0)</f>
        <v>2334618680.37655</v>
      </c>
      <c r="U5" s="35" t="n">
        <f aca="false">F5*P5</f>
        <v>246608775.385805</v>
      </c>
      <c r="V5" s="35" t="n">
        <f aca="false">H5^$AB$7*E5</f>
        <v>0.0161488156437057</v>
      </c>
      <c r="W5" s="35" t="n">
        <f aca="false">I5^$AB$7*E5</f>
        <v>0.000108371744673889</v>
      </c>
      <c r="X5" s="35" t="n">
        <f aca="false">J5^$AB$7*E5</f>
        <v>2.81525296373603E-005</v>
      </c>
      <c r="Y5" s="35" t="n">
        <f aca="false">K5^$AB$7*E5</f>
        <v>1.59202454100272E-005</v>
      </c>
      <c r="AA5" s="31" t="s">
        <v>159</v>
      </c>
      <c r="AB5" s="37" t="n">
        <f aca="false">SUM(Q3:Q303)</f>
        <v>64929749.0518289</v>
      </c>
    </row>
    <row r="6" customFormat="false" ht="15" hidden="false" customHeight="false" outlineLevel="0" collapsed="false">
      <c r="A6" s="35" t="n">
        <v>4</v>
      </c>
      <c r="B6" s="35" t="n">
        <f aca="false">C5</f>
        <v>5.29109174425197E-007</v>
      </c>
      <c r="C6" s="35" t="n">
        <f aca="false">(1/Inputs!$B$16)*(Inputs!$B$21/(1/Inputs!$B$16))^(3/60)</f>
        <v>5.79154601296594E-007</v>
      </c>
      <c r="D6" s="35" t="n">
        <f aca="false">(B6+C6)/2</f>
        <v>5.54131887860896E-007</v>
      </c>
      <c r="E6" s="35" t="n">
        <f aca="false">C6-B6</f>
        <v>5.00454268713971E-008</v>
      </c>
      <c r="F6" s="35" t="n">
        <f aca="false">Inputs!$B$16*E6</f>
        <v>0.113322864607592</v>
      </c>
      <c r="G6" s="35" t="n">
        <f aca="false">IF(D6&lt;=Inputs!$B$21,1,IF(D6&lt;=Inputs!$B$22,2,IF(D6&lt;=Inputs!$B$23,3,IF(D6&lt;=Inputs!$B$24,4,5))))</f>
        <v>1</v>
      </c>
      <c r="H6" s="35" t="n">
        <f aca="false">Fit!$B$10*D6^(-1/Fit!$B$9)</f>
        <v>332962.434767847</v>
      </c>
      <c r="I6" s="35" t="n">
        <f aca="false">EXP(Fit!$B$16+Fit!$B$15*-NORMSINV(D6))</f>
        <v>2335.89429863784</v>
      </c>
      <c r="J6" s="35" t="n">
        <f aca="false">Fit!$B$22*LN(1/D6)^(1/Fit!$B$21)</f>
        <v>612.385051013816</v>
      </c>
      <c r="K6" s="35" t="n">
        <f aca="false">MAX(0,Fit!$B$28+Fit!$B$27*-NORMSINV(D6))</f>
        <v>347.092094060762</v>
      </c>
      <c r="L6" s="35" t="n">
        <f aca="false">INDEX(H6:K6,1,Inputs!$B$5)</f>
        <v>332962.434767847</v>
      </c>
      <c r="M6" s="35" t="n">
        <f aca="false">L6*E6</f>
        <v>0.0166632471800966</v>
      </c>
      <c r="N6" s="35" t="n">
        <f aca="false">L6^$AB$7</f>
        <v>332962.434767847</v>
      </c>
      <c r="O6" s="35" t="n">
        <f aca="false">N6*E6</f>
        <v>0.0166632471800966</v>
      </c>
      <c r="P6" s="35" t="n">
        <f aca="false">N6*$AB$3/($AB$4*$AB$1)</f>
        <v>2245483883.61634</v>
      </c>
      <c r="Q6" s="35" t="n">
        <f aca="false">IF(G6&lt;=3,F6*SQRT(P6),0)</f>
        <v>5369.97811041277</v>
      </c>
      <c r="R6" s="35" t="n">
        <f aca="false">SQRT(P6/$AB$6)</f>
        <v>21894372442.5579</v>
      </c>
      <c r="S6" s="35" t="n">
        <f aca="false">2*$AB$6*R6</f>
        <v>0.205119730150531</v>
      </c>
      <c r="T6" s="35" t="n">
        <f aca="false">IF(G6&lt;=3,F6*R6,0)</f>
        <v>2481133003.97617</v>
      </c>
      <c r="U6" s="35" t="n">
        <f aca="false">F6*P6</f>
        <v>254464666.121584</v>
      </c>
      <c r="V6" s="35" t="n">
        <f aca="false">H6^$AB$7*E6</f>
        <v>0.0166632471800966</v>
      </c>
      <c r="W6" s="35" t="n">
        <f aca="false">I6^$AB$7*E6</f>
        <v>0.000116900827301794</v>
      </c>
      <c r="X6" s="35" t="n">
        <f aca="false">J6^$AB$7*E6</f>
        <v>3.06470712876487E-005</v>
      </c>
      <c r="Y6" s="35" t="n">
        <f aca="false">K6^$AB$7*E6</f>
        <v>1.73703720109579E-005</v>
      </c>
      <c r="AA6" s="31" t="s">
        <v>160</v>
      </c>
      <c r="AB6" s="38" t="n">
        <f aca="false">($AB$5/Inputs!$B$35)^2</f>
        <v>4.68430256881497E-012</v>
      </c>
    </row>
    <row r="7" customFormat="false" ht="15" hidden="false" customHeight="false" outlineLevel="0" collapsed="false">
      <c r="A7" s="35" t="n">
        <v>5</v>
      </c>
      <c r="B7" s="35" t="n">
        <f aca="false">C6</f>
        <v>5.79154601296594E-007</v>
      </c>
      <c r="C7" s="35" t="n">
        <f aca="false">(1/Inputs!$B$16)*(Inputs!$B$21/(1/Inputs!$B$16))^(4/60)</f>
        <v>6.33933540402893E-007</v>
      </c>
      <c r="D7" s="35" t="n">
        <f aca="false">(B7+C7)/2</f>
        <v>6.06544070849744E-007</v>
      </c>
      <c r="E7" s="35" t="n">
        <f aca="false">C7-B7</f>
        <v>5.47789391062988E-008</v>
      </c>
      <c r="F7" s="35" t="n">
        <f aca="false">Inputs!$B$16*E7</f>
        <v>0.124041429712303</v>
      </c>
      <c r="G7" s="35" t="n">
        <f aca="false">IF(D7&lt;=Inputs!$B$21,1,IF(D7&lt;=Inputs!$B$22,2,IF(D7&lt;=Inputs!$B$23,3,IF(D7&lt;=Inputs!$B$24,4,5))))</f>
        <v>1</v>
      </c>
      <c r="H7" s="35" t="n">
        <f aca="false">Fit!$B$10*D7^(-1/Fit!$B$9)</f>
        <v>313880.965284387</v>
      </c>
      <c r="I7" s="35" t="n">
        <f aca="false">EXP(Fit!$B$16+Fit!$B$15*-NORMSINV(D7))</f>
        <v>2301.88608434359</v>
      </c>
      <c r="J7" s="35" t="n">
        <f aca="false">Fit!$B$22*LN(1/D7)^(1/Fit!$B$21)</f>
        <v>609.020557396201</v>
      </c>
      <c r="K7" s="35" t="n">
        <f aca="false">MAX(0,Fit!$B$28+Fit!$B$27*-NORMSINV(D7))</f>
        <v>345.975731629595</v>
      </c>
      <c r="L7" s="35" t="n">
        <f aca="false">INDEX(H7:K7,1,Inputs!$B$5)</f>
        <v>313880.965284387</v>
      </c>
      <c r="M7" s="35" t="n">
        <f aca="false">L7*E7</f>
        <v>0.0171940662839397</v>
      </c>
      <c r="N7" s="35" t="n">
        <f aca="false">L7^$AB$7</f>
        <v>313880.965284387</v>
      </c>
      <c r="O7" s="35" t="n">
        <f aca="false">N7*E7</f>
        <v>0.0171940662839397</v>
      </c>
      <c r="P7" s="35" t="n">
        <f aca="false">N7*$AB$3/($AB$4*$AB$1)</f>
        <v>2116799300.23173</v>
      </c>
      <c r="Q7" s="35" t="n">
        <f aca="false">IF(G7&lt;=3,F7*SQRT(P7),0)</f>
        <v>5706.98334266124</v>
      </c>
      <c r="R7" s="35" t="n">
        <f aca="false">SQRT(P7/$AB$6)</f>
        <v>21257753755.8177</v>
      </c>
      <c r="S7" s="35" t="n">
        <f aca="false">2*$AB$6*R7</f>
        <v>0.199155501051226</v>
      </c>
      <c r="T7" s="35" t="n">
        <f aca="false">IF(G7&lt;=3,F7*R7,0)</f>
        <v>2636842168.34371</v>
      </c>
      <c r="U7" s="35" t="n">
        <f aca="false">F7*P7</f>
        <v>262570811.614747</v>
      </c>
      <c r="V7" s="35" t="n">
        <f aca="false">H7^$AB$7*E7</f>
        <v>0.0171940662839397</v>
      </c>
      <c r="W7" s="35" t="n">
        <f aca="false">I7^$AB$7*E7</f>
        <v>0.000126094877643894</v>
      </c>
      <c r="X7" s="35" t="n">
        <f aca="false">J7^$AB$7*E7</f>
        <v>3.33615000280906E-005</v>
      </c>
      <c r="Y7" s="35" t="n">
        <f aca="false">K7^$AB$7*E7</f>
        <v>1.89521835351947E-005</v>
      </c>
      <c r="AA7" s="31" t="s">
        <v>161</v>
      </c>
      <c r="AB7" s="39" t="n">
        <f aca="false">Inputs!$B$6</f>
        <v>1</v>
      </c>
    </row>
    <row r="8" customFormat="false" ht="15" hidden="false" customHeight="false" outlineLevel="0" collapsed="false">
      <c r="A8" s="35" t="n">
        <v>6</v>
      </c>
      <c r="B8" s="35" t="n">
        <f aca="false">C7</f>
        <v>6.33933540402893E-007</v>
      </c>
      <c r="C8" s="35" t="n">
        <f aca="false">(1/Inputs!$B$16)*(Inputs!$B$21/(1/Inputs!$B$16))^(5/60)</f>
        <v>6.93893707738914E-007</v>
      </c>
      <c r="D8" s="35" t="n">
        <f aca="false">(B8+C8)/2</f>
        <v>6.63913624070904E-007</v>
      </c>
      <c r="E8" s="35" t="n">
        <f aca="false">C8-B8</f>
        <v>5.99601673360212E-008</v>
      </c>
      <c r="F8" s="35" t="n">
        <f aca="false">Inputs!$B$16*E8</f>
        <v>0.135773802915687</v>
      </c>
      <c r="G8" s="35" t="n">
        <f aca="false">IF(D8&lt;=Inputs!$B$21,1,IF(D8&lt;=Inputs!$B$22,2,IF(D8&lt;=Inputs!$B$23,3,IF(D8&lt;=Inputs!$B$24,4,5))))</f>
        <v>1</v>
      </c>
      <c r="H8" s="35" t="n">
        <f aca="false">Fit!$B$10*D8^(-1/Fit!$B$9)</f>
        <v>295893.019993535</v>
      </c>
      <c r="I8" s="35" t="n">
        <f aca="false">EXP(Fit!$B$16+Fit!$B$15*-NORMSINV(D8))</f>
        <v>2268.2587252126</v>
      </c>
      <c r="J8" s="35" t="n">
        <f aca="false">Fit!$B$22*LN(1/D8)^(1/Fit!$B$21)</f>
        <v>605.653416654778</v>
      </c>
      <c r="K8" s="35" t="n">
        <f aca="false">MAX(0,Fit!$B$28+Fit!$B$27*-NORMSINV(D8))</f>
        <v>344.855534597322</v>
      </c>
      <c r="L8" s="35" t="n">
        <f aca="false">INDEX(H8:K8,1,Inputs!$B$5)</f>
        <v>295893.019993535</v>
      </c>
      <c r="M8" s="35" t="n">
        <f aca="false">L8*E8</f>
        <v>0.017741794992373</v>
      </c>
      <c r="N8" s="35" t="n">
        <f aca="false">L8^$AB$7</f>
        <v>295893.019993535</v>
      </c>
      <c r="O8" s="35" t="n">
        <f aca="false">N8*E8</f>
        <v>0.017741794992373</v>
      </c>
      <c r="P8" s="35" t="n">
        <f aca="false">N8*$AB$3/($AB$4*$AB$1)</f>
        <v>1995489395.47283</v>
      </c>
      <c r="Q8" s="35" t="n">
        <f aca="false">IF(G8&lt;=3,F8*SQRT(P8),0)</f>
        <v>6065.1381074083</v>
      </c>
      <c r="R8" s="35" t="n">
        <f aca="false">SQRT(P8/$AB$6)</f>
        <v>20639645914.8838</v>
      </c>
      <c r="S8" s="35" t="n">
        <f aca="false">2*$AB$6*R8</f>
        <v>0.193364692757043</v>
      </c>
      <c r="T8" s="35" t="n">
        <f aca="false">IF(G8&lt;=3,F8*R8,0)</f>
        <v>2802323216.69698</v>
      </c>
      <c r="U8" s="35" t="n">
        <f aca="false">F8*P8</f>
        <v>270935183.90127</v>
      </c>
      <c r="V8" s="35" t="n">
        <f aca="false">H8^$AB$7*E8</f>
        <v>0.017741794992373</v>
      </c>
      <c r="W8" s="35" t="n">
        <f aca="false">I8^$AB$7*E8</f>
        <v>0.000136005172725138</v>
      </c>
      <c r="X8" s="35" t="n">
        <f aca="false">J8^$AB$7*E8</f>
        <v>3.63150802102535E-005</v>
      </c>
      <c r="Y8" s="35" t="n">
        <f aca="false">K8^$AB$7*E8</f>
        <v>2.06775955612085E-005</v>
      </c>
      <c r="AA8" s="31" t="s">
        <v>66</v>
      </c>
      <c r="AB8" s="36" t="n">
        <f aca="false">SUM(T3:T303)</f>
        <v>30000000000000</v>
      </c>
    </row>
    <row r="9" customFormat="false" ht="15" hidden="false" customHeight="false" outlineLevel="0" collapsed="false">
      <c r="A9" s="35" t="n">
        <v>7</v>
      </c>
      <c r="B9" s="35" t="n">
        <f aca="false">C8</f>
        <v>6.93893707738914E-007</v>
      </c>
      <c r="C9" s="35" t="n">
        <f aca="false">(1/Inputs!$B$16)*(Inputs!$B$21/(1/Inputs!$B$16))^(6/60)</f>
        <v>7.59525166208512E-007</v>
      </c>
      <c r="D9" s="35" t="n">
        <f aca="false">(B9+C9)/2</f>
        <v>7.26709436973713E-007</v>
      </c>
      <c r="E9" s="35" t="n">
        <f aca="false">C9-B9</f>
        <v>6.56314584695978E-008</v>
      </c>
      <c r="F9" s="35" t="n">
        <f aca="false">Inputs!$B$16*E9</f>
        <v>0.148615874558557</v>
      </c>
      <c r="G9" s="35" t="n">
        <f aca="false">IF(D9&lt;=Inputs!$B$21,1,IF(D9&lt;=Inputs!$B$22,2,IF(D9&lt;=Inputs!$B$23,3,IF(D9&lt;=Inputs!$B$24,4,5))))</f>
        <v>1</v>
      </c>
      <c r="H9" s="35" t="n">
        <f aca="false">Fit!$B$10*D9^(-1/Fit!$B$9)</f>
        <v>278935.931019483</v>
      </c>
      <c r="I9" s="35" t="n">
        <f aca="false">EXP(Fit!$B$16+Fit!$B$15*-NORMSINV(D9))</f>
        <v>2235.00887720269</v>
      </c>
      <c r="J9" s="35" t="n">
        <f aca="false">Fit!$B$22*LN(1/D9)^(1/Fit!$B$21)</f>
        <v>602.283609869056</v>
      </c>
      <c r="K9" s="35" t="n">
        <f aca="false">MAX(0,Fit!$B$28+Fit!$B$27*-NORMSINV(D9))</f>
        <v>343.731464019382</v>
      </c>
      <c r="L9" s="35" t="n">
        <f aca="false">INDEX(H9:K9,1,Inputs!$B$5)</f>
        <v>278935.931019483</v>
      </c>
      <c r="M9" s="35" t="n">
        <f aca="false">L9*E9</f>
        <v>0.0183069719723838</v>
      </c>
      <c r="N9" s="35" t="n">
        <f aca="false">L9^$AB$7</f>
        <v>278935.931019483</v>
      </c>
      <c r="O9" s="35" t="n">
        <f aca="false">N9*E9</f>
        <v>0.0183069719723838</v>
      </c>
      <c r="P9" s="35" t="n">
        <f aca="false">N9*$AB$3/($AB$4*$AB$1)</f>
        <v>1881131539.9663</v>
      </c>
      <c r="Q9" s="35" t="n">
        <f aca="false">IF(G9&lt;=3,F9*SQRT(P9),0)</f>
        <v>6445.76969183558</v>
      </c>
      <c r="R9" s="35" t="n">
        <f aca="false">SQRT(P9/$AB$6)</f>
        <v>20039510683.258</v>
      </c>
      <c r="S9" s="35" t="n">
        <f aca="false">2*$AB$6*R9</f>
        <v>0.187742262742761</v>
      </c>
      <c r="T9" s="35" t="n">
        <f aca="false">IF(G9&lt;=3,F9*R9,0)</f>
        <v>2978189405.91794</v>
      </c>
      <c r="U9" s="35" t="n">
        <f aca="false">F9*P9</f>
        <v>279566008.971777</v>
      </c>
      <c r="V9" s="35" t="n">
        <f aca="false">H9^$AB$7*E9</f>
        <v>0.0183069719723838</v>
      </c>
      <c r="W9" s="35" t="n">
        <f aca="false">I9^$AB$7*E9</f>
        <v>0.000146686892303311</v>
      </c>
      <c r="X9" s="35" t="n">
        <f aca="false">J9^$AB$7*E9</f>
        <v>3.95287517280403E-005</v>
      </c>
      <c r="Y9" s="35" t="n">
        <f aca="false">K9^$AB$7*E9</f>
        <v>2.25595973054821E-005</v>
      </c>
    </row>
    <row r="10" customFormat="false" ht="15" hidden="false" customHeight="false" outlineLevel="0" collapsed="false">
      <c r="A10" s="35" t="n">
        <v>8</v>
      </c>
      <c r="B10" s="35" t="n">
        <f aca="false">C9</f>
        <v>7.59525166208512E-007</v>
      </c>
      <c r="C10" s="35" t="n">
        <f aca="false">(1/Inputs!$B$16)*(Inputs!$B$21/(1/Inputs!$B$16))^(7/60)</f>
        <v>8.313643309778E-007</v>
      </c>
      <c r="D10" s="35" t="n">
        <f aca="false">(B10+C10)/2</f>
        <v>7.95444748593156E-007</v>
      </c>
      <c r="E10" s="35" t="n">
        <f aca="false">C10-B10</f>
        <v>7.18391647692883E-008</v>
      </c>
      <c r="F10" s="35" t="n">
        <f aca="false">Inputs!$B$16*E10</f>
        <v>0.162672604703576</v>
      </c>
      <c r="G10" s="35" t="n">
        <f aca="false">IF(D10&lt;=Inputs!$B$21,1,IF(D10&lt;=Inputs!$B$22,2,IF(D10&lt;=Inputs!$B$23,3,IF(D10&lt;=Inputs!$B$24,4,5))))</f>
        <v>1</v>
      </c>
      <c r="H10" s="35" t="n">
        <f aca="false">Fit!$B$10*D10^(-1/Fit!$B$9)</f>
        <v>262950.621868017</v>
      </c>
      <c r="I10" s="35" t="n">
        <f aca="false">EXP(Fit!$B$16+Fit!$B$15*-NORMSINV(D10))</f>
        <v>2202.13321996751</v>
      </c>
      <c r="J10" s="35" t="n">
        <f aca="false">Fit!$B$22*LN(1/D10)^(1/Fit!$B$21)</f>
        <v>598.91111786142</v>
      </c>
      <c r="K10" s="35" t="n">
        <f aca="false">MAX(0,Fit!$B$28+Fit!$B$27*-NORMSINV(D10))</f>
        <v>342.603480295222</v>
      </c>
      <c r="L10" s="35" t="n">
        <f aca="false">INDEX(H10:K10,1,Inputs!$B$5)</f>
        <v>262950.621868017</v>
      </c>
      <c r="M10" s="35" t="n">
        <f aca="false">L10*E10</f>
        <v>0.0188901530505633</v>
      </c>
      <c r="N10" s="35" t="n">
        <f aca="false">L10^$AB$7</f>
        <v>262950.621868017</v>
      </c>
      <c r="O10" s="35" t="n">
        <f aca="false">N10*E10</f>
        <v>0.0188901530505633</v>
      </c>
      <c r="P10" s="35" t="n">
        <f aca="false">N10*$AB$3/($AB$4*$AB$1)</f>
        <v>1773327324.45692</v>
      </c>
      <c r="Q10" s="35" t="n">
        <f aca="false">IF(G10&lt;=3,F10*SQRT(P10),0)</f>
        <v>6850.28868006107</v>
      </c>
      <c r="R10" s="35" t="n">
        <f aca="false">SQRT(P10/$AB$6)</f>
        <v>19456825474.6474</v>
      </c>
      <c r="S10" s="35" t="n">
        <f aca="false">2*$AB$6*R10</f>
        <v>0.182283315103751</v>
      </c>
      <c r="T10" s="35" t="n">
        <f aca="false">IF(G10&lt;=3,F10*R10,0)</f>
        <v>3165092479.2238</v>
      </c>
      <c r="U10" s="35" t="n">
        <f aca="false">F10*P10</f>
        <v>288471774.861432</v>
      </c>
      <c r="V10" s="35" t="n">
        <f aca="false">H10^$AB$7*E10</f>
        <v>0.0188901530505633</v>
      </c>
      <c r="W10" s="35" t="n">
        <f aca="false">I10^$AB$7*E10</f>
        <v>0.000158199411233169</v>
      </c>
      <c r="X10" s="35" t="n">
        <f aca="false">J10^$AB$7*E10</f>
        <v>4.30252744782052E-005</v>
      </c>
      <c r="Y10" s="35" t="n">
        <f aca="false">K10^$AB$7*E10</f>
        <v>2.46123478714601E-005</v>
      </c>
    </row>
    <row r="11" customFormat="false" ht="15" hidden="false" customHeight="false" outlineLevel="0" collapsed="false">
      <c r="A11" s="35" t="n">
        <v>9</v>
      </c>
      <c r="B11" s="35" t="n">
        <f aca="false">C10</f>
        <v>8.313643309778E-007</v>
      </c>
      <c r="C11" s="35" t="n">
        <f aca="false">(1/Inputs!$B$16)*(Inputs!$B$21/(1/Inputs!$B$16))^(8/60)</f>
        <v>9.09998353671957E-007</v>
      </c>
      <c r="D11" s="35" t="n">
        <f aca="false">(B11+C11)/2</f>
        <v>8.70681342324879E-007</v>
      </c>
      <c r="E11" s="35" t="n">
        <f aca="false">C11-B11</f>
        <v>7.86340226941569E-008</v>
      </c>
      <c r="F11" s="35" t="n">
        <f aca="false">Inputs!$B$16*E11</f>
        <v>0.178058880988649</v>
      </c>
      <c r="G11" s="35" t="n">
        <f aca="false">IF(D11&lt;=Inputs!$B$21,1,IF(D11&lt;=Inputs!$B$22,2,IF(D11&lt;=Inputs!$B$23,3,IF(D11&lt;=Inputs!$B$24,4,5))))</f>
        <v>1</v>
      </c>
      <c r="H11" s="35" t="n">
        <f aca="false">Fit!$B$10*D11^(-1/Fit!$B$9)</f>
        <v>247881.401610994</v>
      </c>
      <c r="I11" s="35" t="n">
        <f aca="false">EXP(Fit!$B$16+Fit!$B$15*-NORMSINV(D11))</f>
        <v>2169.62845671621</v>
      </c>
      <c r="J11" s="35" t="n">
        <f aca="false">Fit!$B$22*LN(1/D11)^(1/Fit!$B$21)</f>
        <v>595.535921191957</v>
      </c>
      <c r="K11" s="35" t="n">
        <f aca="false">MAX(0,Fit!$B$28+Fit!$B$27*-NORMSINV(D11))</f>
        <v>341.471543152843</v>
      </c>
      <c r="L11" s="35" t="n">
        <f aca="false">INDEX(H11:K11,1,Inputs!$B$5)</f>
        <v>247881.401610994</v>
      </c>
      <c r="M11" s="35" t="n">
        <f aca="false">L11*E11</f>
        <v>0.0194919117597383</v>
      </c>
      <c r="N11" s="35" t="n">
        <f aca="false">L11^$AB$7</f>
        <v>247881.401610994</v>
      </c>
      <c r="O11" s="35" t="n">
        <f aca="false">N11*E11</f>
        <v>0.0194919117597383</v>
      </c>
      <c r="P11" s="35" t="n">
        <f aca="false">N11*$AB$3/($AB$4*$AB$1)</f>
        <v>1671701171.79678</v>
      </c>
      <c r="Q11" s="35" t="n">
        <f aca="false">IF(G11&lt;=3,F11*SQRT(P11),0)</f>
        <v>7280.19418062849</v>
      </c>
      <c r="R11" s="35" t="n">
        <f aca="false">SQRT(P11/$AB$6)</f>
        <v>18891082897.9054</v>
      </c>
      <c r="S11" s="35" t="n">
        <f aca="false">2*$AB$6*R11</f>
        <v>0.17698309629271</v>
      </c>
      <c r="T11" s="35" t="n">
        <f aca="false">IF(G11&lt;=3,F11*R11,0)</f>
        <v>3363725081.46484</v>
      </c>
      <c r="U11" s="35" t="n">
        <f aca="false">F11*P11</f>
        <v>297661239.997547</v>
      </c>
      <c r="V11" s="35" t="n">
        <f aca="false">H11^$AB$7*E11</f>
        <v>0.0194919117597383</v>
      </c>
      <c r="W11" s="35" t="n">
        <f aca="false">I11^$AB$7*E11</f>
        <v>0.000170606613303311</v>
      </c>
      <c r="X11" s="35" t="n">
        <f aca="false">J11^$AB$7*E11</f>
        <v>4.6829385142194E-005</v>
      </c>
      <c r="Y11" s="35" t="n">
        <f aca="false">K11^$AB$7*E11</f>
        <v>2.68512810736895E-005</v>
      </c>
    </row>
    <row r="12" customFormat="false" ht="15" hidden="false" customHeight="false" outlineLevel="0" collapsed="false">
      <c r="A12" s="35" t="n">
        <v>10</v>
      </c>
      <c r="B12" s="35" t="n">
        <f aca="false">C11</f>
        <v>9.09998353671957E-007</v>
      </c>
      <c r="C12" s="35" t="n">
        <f aca="false">(1/Inputs!$B$16)*(Inputs!$B$21/(1/Inputs!$B$16))^(9/60)</f>
        <v>9.96069921248263E-007</v>
      </c>
      <c r="D12" s="35" t="n">
        <f aca="false">(B12+C12)/2</f>
        <v>9.5303413746011E-007</v>
      </c>
      <c r="E12" s="35" t="n">
        <f aca="false">C12-B12</f>
        <v>8.60715675763057E-008</v>
      </c>
      <c r="F12" s="35" t="n">
        <f aca="false">Inputs!$B$16*E12</f>
        <v>0.194900457619787</v>
      </c>
      <c r="G12" s="35" t="n">
        <f aca="false">IF(D12&lt;=Inputs!$B$21,1,IF(D12&lt;=Inputs!$B$22,2,IF(D12&lt;=Inputs!$B$23,3,IF(D12&lt;=Inputs!$B$24,4,5))))</f>
        <v>1</v>
      </c>
      <c r="H12" s="35" t="n">
        <f aca="false">Fit!$B$10*D12^(-1/Fit!$B$9)</f>
        <v>233675.770865726</v>
      </c>
      <c r="I12" s="35" t="n">
        <f aca="false">EXP(Fit!$B$16+Fit!$B$15*-NORMSINV(D12))</f>
        <v>2137.4913140738</v>
      </c>
      <c r="J12" s="35" t="n">
        <f aca="false">Fit!$B$22*LN(1/D12)^(1/Fit!$B$21)</f>
        <v>592.158000153147</v>
      </c>
      <c r="K12" s="35" t="n">
        <f aca="false">MAX(0,Fit!$B$28+Fit!$B$27*-NORMSINV(D12))</f>
        <v>340.335611632882</v>
      </c>
      <c r="L12" s="35" t="n">
        <f aca="false">INDEX(H12:K12,1,Inputs!$B$5)</f>
        <v>233675.770865726</v>
      </c>
      <c r="M12" s="35" t="n">
        <f aca="false">L12*E12</f>
        <v>0.0201128399030146</v>
      </c>
      <c r="N12" s="35" t="n">
        <f aca="false">L12^$AB$7</f>
        <v>233675.770865726</v>
      </c>
      <c r="O12" s="35" t="n">
        <f aca="false">N12*E12</f>
        <v>0.0201128399030146</v>
      </c>
      <c r="P12" s="35" t="n">
        <f aca="false">N12*$AB$3/($AB$4*$AB$1)</f>
        <v>1575899028.47888</v>
      </c>
      <c r="Q12" s="35" t="n">
        <f aca="false">IF(G12&lt;=3,F12*SQRT(P12),0)</f>
        <v>7737.0793820596</v>
      </c>
      <c r="R12" s="35" t="n">
        <f aca="false">SQRT(P12/$AB$6)</f>
        <v>18341790315.2056</v>
      </c>
      <c r="S12" s="35" t="n">
        <f aca="false">2*$AB$6*R12</f>
        <v>0.171836990980367</v>
      </c>
      <c r="T12" s="35" t="n">
        <f aca="false">IF(G12&lt;=3,F12*R12,0)</f>
        <v>3574823325.99975</v>
      </c>
      <c r="U12" s="35" t="n">
        <f aca="false">F12*P12</f>
        <v>307143441.813112</v>
      </c>
      <c r="V12" s="35" t="n">
        <f aca="false">H12^$AB$7*E12</f>
        <v>0.0201128399030146</v>
      </c>
      <c r="W12" s="35" t="n">
        <f aca="false">I12^$AB$7*E12</f>
        <v>0.00018397722808307</v>
      </c>
      <c r="X12" s="35" t="n">
        <f aca="false">J12^$AB$7*E12</f>
        <v>5.09679673260316E-005</v>
      </c>
      <c r="Y12" s="35" t="n">
        <f aca="false">K12^$AB$7*E12</f>
        <v>2.92932195952829E-005</v>
      </c>
    </row>
    <row r="13" customFormat="false" ht="15" hidden="false" customHeight="false" outlineLevel="0" collapsed="false">
      <c r="A13" s="35" t="n">
        <v>11</v>
      </c>
      <c r="B13" s="35" t="n">
        <f aca="false">C12</f>
        <v>9.96069921248263E-007</v>
      </c>
      <c r="C13" s="35" t="n">
        <f aca="false">(1/Inputs!$B$16)*(Inputs!$B$21/(1/Inputs!$B$16))^(10/60)</f>
        <v>1.09028250876724E-006</v>
      </c>
      <c r="D13" s="35" t="n">
        <f aca="false">(B13+C13)/2</f>
        <v>1.04317621500775E-006</v>
      </c>
      <c r="E13" s="35" t="n">
        <f aca="false">C13-B13</f>
        <v>9.42125875189785E-008</v>
      </c>
      <c r="F13" s="35" t="n">
        <f aca="false">Inputs!$B$16*E13</f>
        <v>0.213334983177975</v>
      </c>
      <c r="G13" s="35" t="n">
        <f aca="false">IF(D13&lt;=Inputs!$B$21,1,IF(D13&lt;=Inputs!$B$22,2,IF(D13&lt;=Inputs!$B$23,3,IF(D13&lt;=Inputs!$B$24,4,5))))</f>
        <v>1</v>
      </c>
      <c r="H13" s="35" t="n">
        <f aca="false">Fit!$B$10*D13^(-1/Fit!$B$9)</f>
        <v>220284.238893336</v>
      </c>
      <c r="I13" s="35" t="n">
        <f aca="false">EXP(Fit!$B$16+Fit!$B$15*-NORMSINV(D13))</f>
        <v>2105.71854194215</v>
      </c>
      <c r="J13" s="35" t="n">
        <f aca="false">Fit!$B$22*LN(1/D13)^(1/Fit!$B$21)</f>
        <v>588.777334764407</v>
      </c>
      <c r="K13" s="35" t="n">
        <f aca="false">MAX(0,Fit!$B$28+Fit!$B$27*-NORMSINV(D13))</f>
        <v>339.195644072192</v>
      </c>
      <c r="L13" s="35" t="n">
        <f aca="false">INDEX(H13:K13,1,Inputs!$B$5)</f>
        <v>220284.238893336</v>
      </c>
      <c r="M13" s="35" t="n">
        <f aca="false">L13*E13</f>
        <v>0.02075354813579</v>
      </c>
      <c r="N13" s="35" t="n">
        <f aca="false">L13^$AB$7</f>
        <v>220284.238893336</v>
      </c>
      <c r="O13" s="35" t="n">
        <f aca="false">N13*E13</f>
        <v>0.02075354813579</v>
      </c>
      <c r="P13" s="35" t="n">
        <f aca="false">N13*$AB$3/($AB$4*$AB$1)</f>
        <v>1485587131.15659</v>
      </c>
      <c r="Q13" s="35" t="n">
        <f aca="false">IF(G13&lt;=3,F13*SQRT(P13),0)</f>
        <v>8222.63745705808</v>
      </c>
      <c r="R13" s="35" t="n">
        <f aca="false">SQRT(P13/$AB$6)</f>
        <v>17808469413.0622</v>
      </c>
      <c r="S13" s="35" t="n">
        <f aca="false">2*$AB$6*R13</f>
        <v>0.16684051803654</v>
      </c>
      <c r="T13" s="35" t="n">
        <f aca="false">IF(G13&lt;=3,F13*R13,0)</f>
        <v>3799169522.66111</v>
      </c>
      <c r="U13" s="35" t="n">
        <f aca="false">F13*P13</f>
        <v>316927705.634708</v>
      </c>
      <c r="V13" s="35" t="n">
        <f aca="false">H13^$AB$7*E13</f>
        <v>0.02075354813579</v>
      </c>
      <c r="W13" s="35" t="n">
        <f aca="false">I13^$AB$7*E13</f>
        <v>0.00019838519242306</v>
      </c>
      <c r="X13" s="35" t="n">
        <f aca="false">J13^$AB$7*E13</f>
        <v>5.54702361806825E-005</v>
      </c>
      <c r="Y13" s="35" t="n">
        <f aca="false">K13^$AB$7*E13</f>
        <v>3.19564993032076E-005</v>
      </c>
    </row>
    <row r="14" customFormat="false" ht="15" hidden="false" customHeight="false" outlineLevel="0" collapsed="false">
      <c r="A14" s="35" t="n">
        <v>12</v>
      </c>
      <c r="B14" s="35" t="n">
        <f aca="false">C13</f>
        <v>1.09028250876724E-006</v>
      </c>
      <c r="C14" s="35" t="n">
        <f aca="false">(1/Inputs!$B$16)*(Inputs!$B$21/(1/Inputs!$B$16))^(11/60)</f>
        <v>1.19340612899354E-006</v>
      </c>
      <c r="D14" s="35" t="n">
        <f aca="false">(B14+C14)/2</f>
        <v>1.14184431888039E-006</v>
      </c>
      <c r="E14" s="35" t="n">
        <f aca="false">C14-B14</f>
        <v>1.03123620226298E-007</v>
      </c>
      <c r="F14" s="35" t="n">
        <f aca="false">Inputs!$B$16*E14</f>
        <v>0.23351312564043</v>
      </c>
      <c r="G14" s="35" t="n">
        <f aca="false">IF(D14&lt;=Inputs!$B$21,1,IF(D14&lt;=Inputs!$B$22,2,IF(D14&lt;=Inputs!$B$23,3,IF(D14&lt;=Inputs!$B$24,4,5))))</f>
        <v>1</v>
      </c>
      <c r="H14" s="35" t="n">
        <f aca="false">Fit!$B$10*D14^(-1/Fit!$B$9)</f>
        <v>207660.151178874</v>
      </c>
      <c r="I14" s="35" t="n">
        <f aca="false">EXP(Fit!$B$16+Fit!$B$15*-NORMSINV(D14))</f>
        <v>2074.30691336164</v>
      </c>
      <c r="J14" s="35" t="n">
        <f aca="false">Fit!$B$22*LN(1/D14)^(1/Fit!$B$21)</f>
        <v>585.393904766491</v>
      </c>
      <c r="K14" s="35" t="n">
        <f aca="false">MAX(0,Fit!$B$28+Fit!$B$27*-NORMSINV(D14))</f>
        <v>338.051598086936</v>
      </c>
      <c r="L14" s="35" t="n">
        <f aca="false">INDEX(H14:K14,1,Inputs!$B$5)</f>
        <v>207660.151178874</v>
      </c>
      <c r="M14" s="35" t="n">
        <f aca="false">L14*E14</f>
        <v>0.0214146665663059</v>
      </c>
      <c r="N14" s="35" t="n">
        <f aca="false">L14^$AB$7</f>
        <v>207660.151178874</v>
      </c>
      <c r="O14" s="35" t="n">
        <f aca="false">N14*E14</f>
        <v>0.0214146665663059</v>
      </c>
      <c r="P14" s="35" t="n">
        <f aca="false">N14*$AB$3/($AB$4*$AB$1)</f>
        <v>1400450843.85154</v>
      </c>
      <c r="Q14" s="35" t="n">
        <f aca="false">IF(G14&lt;=3,F14*SQRT(P14),0)</f>
        <v>8738.66783724481</v>
      </c>
      <c r="R14" s="35" t="n">
        <f aca="false">SQRT(P14/$AB$6)</f>
        <v>17290655785.8236</v>
      </c>
      <c r="S14" s="35" t="n">
        <f aca="false">2*$AB$6*R14</f>
        <v>0.161989326628057</v>
      </c>
      <c r="T14" s="35" t="n">
        <f aca="false">IF(G14&lt;=3,F14*R14,0)</f>
        <v>4037595076.92045</v>
      </c>
      <c r="U14" s="35" t="n">
        <f aca="false">F14*P14</f>
        <v>327023653.853551</v>
      </c>
      <c r="V14" s="35" t="n">
        <f aca="false">H14^$AB$7*E14</f>
        <v>0.0214146665663059</v>
      </c>
      <c r="W14" s="35" t="n">
        <f aca="false">I14^$AB$7*E14</f>
        <v>0.000213910038366291</v>
      </c>
      <c r="X14" s="35" t="n">
        <f aca="false">J14^$AB$7*E14</f>
        <v>6.03679387179296E-005</v>
      </c>
      <c r="Y14" s="35" t="n">
        <f aca="false">K14^$AB$7*E14</f>
        <v>3.48611046180105E-005</v>
      </c>
    </row>
    <row r="15" customFormat="false" ht="15" hidden="false" customHeight="false" outlineLevel="0" collapsed="false">
      <c r="A15" s="35" t="n">
        <v>13</v>
      </c>
      <c r="B15" s="35" t="n">
        <f aca="false">C14</f>
        <v>1.19340612899354E-006</v>
      </c>
      <c r="C15" s="35" t="n">
        <f aca="false">(1/Inputs!$B$16)*(Inputs!$B$21/(1/Inputs!$B$16))^(12/60)</f>
        <v>1.30628362581885E-006</v>
      </c>
      <c r="D15" s="35" t="n">
        <f aca="false">(B15+C15)/2</f>
        <v>1.2498448774062E-006</v>
      </c>
      <c r="E15" s="35" t="n">
        <f aca="false">C15-B15</f>
        <v>1.12877496825312E-007</v>
      </c>
      <c r="F15" s="35" t="n">
        <f aca="false">Inputs!$B$16*E15</f>
        <v>0.255599803811235</v>
      </c>
      <c r="G15" s="35" t="n">
        <f aca="false">IF(D15&lt;=Inputs!$B$21,1,IF(D15&lt;=Inputs!$B$22,2,IF(D15&lt;=Inputs!$B$23,3,IF(D15&lt;=Inputs!$B$24,4,5))))</f>
        <v>1</v>
      </c>
      <c r="H15" s="35" t="n">
        <f aca="false">Fit!$B$10*D15^(-1/Fit!$B$9)</f>
        <v>195759.526892494</v>
      </c>
      <c r="I15" s="35" t="n">
        <f aca="false">EXP(Fit!$B$16+Fit!$B$15*-NORMSINV(D15))</f>
        <v>2043.25322437351</v>
      </c>
      <c r="J15" s="35" t="n">
        <f aca="false">Fit!$B$22*LN(1/D15)^(1/Fit!$B$21)</f>
        <v>582.007689615741</v>
      </c>
      <c r="K15" s="35" t="n">
        <f aca="false">MAX(0,Fit!$B$28+Fit!$B$27*-NORMSINV(D15))</f>
        <v>336.903430555148</v>
      </c>
      <c r="L15" s="35" t="n">
        <f aca="false">INDEX(H15:K15,1,Inputs!$B$5)</f>
        <v>195759.526892494</v>
      </c>
      <c r="M15" s="35" t="n">
        <f aca="false">L15*E15</f>
        <v>0.022096845375332</v>
      </c>
      <c r="N15" s="35" t="n">
        <f aca="false">L15^$AB$7</f>
        <v>195759.526892494</v>
      </c>
      <c r="O15" s="35" t="n">
        <f aca="false">N15*E15</f>
        <v>0.022096845375332</v>
      </c>
      <c r="P15" s="35" t="n">
        <f aca="false">N15*$AB$3/($AB$4*$AB$1)</f>
        <v>1320193561.79908</v>
      </c>
      <c r="Q15" s="35" t="n">
        <f aca="false">IF(G15&lt;=3,F15*SQRT(P15),0)</f>
        <v>9287.08288167907</v>
      </c>
      <c r="R15" s="35" t="n">
        <f aca="false">SQRT(P15/$AB$6)</f>
        <v>16787898531.2767</v>
      </c>
      <c r="S15" s="35" t="n">
        <f aca="false">2*$AB$6*R15</f>
        <v>0.157279192430129</v>
      </c>
      <c r="T15" s="35" t="n">
        <f aca="false">IF(G15&lt;=3,F15*R15,0)</f>
        <v>4290983570.99725</v>
      </c>
      <c r="U15" s="35" t="n">
        <f aca="false">F15*P15</f>
        <v>337441215.3887</v>
      </c>
      <c r="V15" s="35" t="n">
        <f aca="false">H15^$AB$7*E15</f>
        <v>0.022096845375332</v>
      </c>
      <c r="W15" s="35" t="n">
        <f aca="false">I15^$AB$7*E15</f>
        <v>0.000230637309347529</v>
      </c>
      <c r="X15" s="35" t="n">
        <f aca="false">J15^$AB$7*E15</f>
        <v>6.56955711369077E-005</v>
      </c>
      <c r="Y15" s="35" t="n">
        <f aca="false">K15^$AB$7*E15</f>
        <v>3.80288159129253E-005</v>
      </c>
    </row>
    <row r="16" customFormat="false" ht="15" hidden="false" customHeight="false" outlineLevel="0" collapsed="false">
      <c r="A16" s="35" t="n">
        <v>14</v>
      </c>
      <c r="B16" s="35" t="n">
        <f aca="false">C15</f>
        <v>1.30628362581885E-006</v>
      </c>
      <c r="C16" s="35" t="n">
        <f aca="false">(1/Inputs!$B$16)*(Inputs!$B$21/(1/Inputs!$B$16))^(13/60)</f>
        <v>1.42983756294391E-006</v>
      </c>
      <c r="D16" s="35" t="n">
        <f aca="false">(B16+C16)/2</f>
        <v>1.36806059438138E-006</v>
      </c>
      <c r="E16" s="35" t="n">
        <f aca="false">C16-B16</f>
        <v>1.23553937125055E-007</v>
      </c>
      <c r="F16" s="35" t="n">
        <f aca="false">Inputs!$B$16*E16</f>
        <v>0.279775535225975</v>
      </c>
      <c r="G16" s="35" t="n">
        <f aca="false">IF(D16&lt;=Inputs!$B$21,1,IF(D16&lt;=Inputs!$B$22,2,IF(D16&lt;=Inputs!$B$23,3,IF(D16&lt;=Inputs!$B$24,4,5))))</f>
        <v>1</v>
      </c>
      <c r="H16" s="35" t="n">
        <f aca="false">Fit!$B$10*D16^(-1/Fit!$B$9)</f>
        <v>184540.905665448</v>
      </c>
      <c r="I16" s="35" t="n">
        <f aca="false">EXP(Fit!$B$16+Fit!$B$15*-NORMSINV(D16))</f>
        <v>2012.55429388287</v>
      </c>
      <c r="J16" s="35" t="n">
        <f aca="false">Fit!$B$22*LN(1/D16)^(1/Fit!$B$21)</f>
        <v>578.618668478169</v>
      </c>
      <c r="K16" s="35" t="n">
        <f aca="false">MAX(0,Fit!$B$28+Fit!$B$27*-NORMSINV(D16))</f>
        <v>335.751097598749</v>
      </c>
      <c r="L16" s="35" t="n">
        <f aca="false">INDEX(H16:K16,1,Inputs!$B$5)</f>
        <v>184540.905665448</v>
      </c>
      <c r="M16" s="35" t="n">
        <f aca="false">L16*E16</f>
        <v>0.0228007554555895</v>
      </c>
      <c r="N16" s="35" t="n">
        <f aca="false">L16^$AB$7</f>
        <v>184540.905665448</v>
      </c>
      <c r="O16" s="35" t="n">
        <f aca="false">N16*E16</f>
        <v>0.0228007554555895</v>
      </c>
      <c r="P16" s="35" t="n">
        <f aca="false">N16*$AB$3/($AB$4*$AB$1)</f>
        <v>1244535678.11231</v>
      </c>
      <c r="Q16" s="35" t="n">
        <f aca="false">IF(G16&lt;=3,F16*SQRT(P16),0)</f>
        <v>9869.91496387734</v>
      </c>
      <c r="R16" s="35" t="n">
        <f aca="false">SQRT(P16/$AB$6)</f>
        <v>16299759858.0104</v>
      </c>
      <c r="S16" s="35" t="n">
        <f aca="false">2*$AB$6*R16</f>
        <v>0.152706013947891</v>
      </c>
      <c r="T16" s="35" t="n">
        <f aca="false">IF(G16&lt;=3,F16*R16,0)</f>
        <v>4560274038.32974</v>
      </c>
      <c r="U16" s="35" t="n">
        <f aca="false">F16*P16</f>
        <v>348190635.451693</v>
      </c>
      <c r="V16" s="35" t="n">
        <f aca="false">H16^$AB$7*E16</f>
        <v>0.0228007554555895</v>
      </c>
      <c r="W16" s="35" t="n">
        <f aca="false">I16^$AB$7*E16</f>
        <v>0.000248659006687164</v>
      </c>
      <c r="X16" s="35" t="n">
        <f aca="false">J16^$AB$7*E16</f>
        <v>7.14906145845349E-005</v>
      </c>
      <c r="Y16" s="35" t="n">
        <f aca="false">K16^$AB$7*E16</f>
        <v>4.14833700023841E-005</v>
      </c>
    </row>
    <row r="17" customFormat="false" ht="15" hidden="false" customHeight="false" outlineLevel="0" collapsed="false">
      <c r="A17" s="35" t="n">
        <v>15</v>
      </c>
      <c r="B17" s="35" t="n">
        <f aca="false">C16</f>
        <v>1.42983756294391E-006</v>
      </c>
      <c r="C17" s="35" t="n">
        <f aca="false">(1/Inputs!$B$16)*(Inputs!$B$21/(1/Inputs!$B$16))^(14/60)</f>
        <v>1.56507776412171E-006</v>
      </c>
      <c r="D17" s="35" t="n">
        <f aca="false">(B17+C17)/2</f>
        <v>1.49745766353281E-006</v>
      </c>
      <c r="E17" s="35" t="n">
        <f aca="false">C17-B17</f>
        <v>1.35240201177805E-007</v>
      </c>
      <c r="F17" s="35" t="n">
        <f aca="false">Inputs!$B$16*E17</f>
        <v>0.306237911547022</v>
      </c>
      <c r="G17" s="35" t="n">
        <f aca="false">IF(D17&lt;=Inputs!$B$21,1,IF(D17&lt;=Inputs!$B$22,2,IF(D17&lt;=Inputs!$B$23,3,IF(D17&lt;=Inputs!$B$24,4,5))))</f>
        <v>1</v>
      </c>
      <c r="H17" s="35" t="n">
        <f aca="false">Fit!$B$10*D17^(-1/Fit!$B$9)</f>
        <v>173965.203147052</v>
      </c>
      <c r="I17" s="35" t="n">
        <f aca="false">EXP(Fit!$B$16+Fit!$B$15*-NORMSINV(D17))</f>
        <v>1982.20696352231</v>
      </c>
      <c r="J17" s="35" t="n">
        <f aca="false">Fit!$B$22*LN(1/D17)^(1/Fit!$B$21)</f>
        <v>575.226820223386</v>
      </c>
      <c r="K17" s="35" t="n">
        <f aca="false">MAX(0,Fit!$B$28+Fit!$B$27*-NORMSINV(D17))</f>
        <v>334.594554565007</v>
      </c>
      <c r="L17" s="35" t="n">
        <f aca="false">INDEX(H17:K17,1,Inputs!$B$5)</f>
        <v>173965.203147052</v>
      </c>
      <c r="M17" s="35" t="n">
        <f aca="false">L17*E17</f>
        <v>0.0235270890715451</v>
      </c>
      <c r="N17" s="35" t="n">
        <f aca="false">L17^$AB$7</f>
        <v>173965.203147052</v>
      </c>
      <c r="O17" s="35" t="n">
        <f aca="false">N17*E17</f>
        <v>0.0235270890715451</v>
      </c>
      <c r="P17" s="35" t="n">
        <f aca="false">N17*$AB$3/($AB$4*$AB$1)</f>
        <v>1173213609.66475</v>
      </c>
      <c r="Q17" s="35" t="n">
        <f aca="false">IF(G17&lt;=3,F17*SQRT(P17),0)</f>
        <v>10489.3240035947</v>
      </c>
      <c r="R17" s="35" t="n">
        <f aca="false">SQRT(P17/$AB$6)</f>
        <v>15825814704.1948</v>
      </c>
      <c r="S17" s="35" t="n">
        <f aca="false">2*$AB$6*R17</f>
        <v>0.148265808944898</v>
      </c>
      <c r="T17" s="35" t="n">
        <f aca="false">IF(G17&lt;=3,F17*R17,0)</f>
        <v>4846464443.54275</v>
      </c>
      <c r="U17" s="35" t="n">
        <f aca="false">F17*P17</f>
        <v>359282485.622277</v>
      </c>
      <c r="V17" s="35" t="n">
        <f aca="false">H17^$AB$7*E17</f>
        <v>0.0235270890715451</v>
      </c>
      <c r="W17" s="35" t="n">
        <f aca="false">I17^$AB$7*E17</f>
        <v>0.000268074068522804</v>
      </c>
      <c r="X17" s="35" t="n">
        <f aca="false">J17^$AB$7*E17</f>
        <v>7.77937908898799E-005</v>
      </c>
      <c r="Y17" s="35" t="n">
        <f aca="false">K17^$AB$7*E17</f>
        <v>4.52506348723696E-005</v>
      </c>
    </row>
    <row r="18" customFormat="false" ht="15" hidden="false" customHeight="false" outlineLevel="0" collapsed="false">
      <c r="A18" s="35" t="n">
        <v>16</v>
      </c>
      <c r="B18" s="35" t="n">
        <f aca="false">C17</f>
        <v>1.56507776412171E-006</v>
      </c>
      <c r="C18" s="35" t="n">
        <f aca="false">(1/Inputs!$B$16)*(Inputs!$B$21/(1/Inputs!$B$16))^(15/60)</f>
        <v>1.7131095665895E-006</v>
      </c>
      <c r="D18" s="35" t="n">
        <f aca="false">(B18+C18)/2</f>
        <v>1.6390936653556E-006</v>
      </c>
      <c r="E18" s="35" t="n">
        <f aca="false">C18-B18</f>
        <v>1.48031802467784E-007</v>
      </c>
      <c r="F18" s="35" t="n">
        <f aca="false">Inputs!$B$16*E18</f>
        <v>0.335203213508049</v>
      </c>
      <c r="G18" s="35" t="n">
        <f aca="false">IF(D18&lt;=Inputs!$B$21,1,IF(D18&lt;=Inputs!$B$22,2,IF(D18&lt;=Inputs!$B$23,3,IF(D18&lt;=Inputs!$B$24,4,5))))</f>
        <v>1</v>
      </c>
      <c r="H18" s="35" t="n">
        <f aca="false">Fit!$B$10*D18^(-1/Fit!$B$9)</f>
        <v>163995.574839436</v>
      </c>
      <c r="I18" s="35" t="n">
        <f aca="false">EXP(Fit!$B$16+Fit!$B$15*-NORMSINV(D18))</f>
        <v>1952.20809751619</v>
      </c>
      <c r="J18" s="35" t="n">
        <f aca="false">Fit!$B$22*LN(1/D18)^(1/Fit!$B$21)</f>
        <v>571.832123418359</v>
      </c>
      <c r="K18" s="35" t="n">
        <f aca="false">MAX(0,Fit!$B$28+Fit!$B$27*-NORMSINV(D18))</f>
        <v>333.433756007403</v>
      </c>
      <c r="L18" s="35" t="n">
        <f aca="false">INDEX(H18:K18,1,Inputs!$B$5)</f>
        <v>163995.574839436</v>
      </c>
      <c r="M18" s="35" t="n">
        <f aca="false">L18*E18</f>
        <v>0.024276560540222</v>
      </c>
      <c r="N18" s="35" t="n">
        <f aca="false">L18^$AB$7</f>
        <v>163995.574839436</v>
      </c>
      <c r="O18" s="35" t="n">
        <f aca="false">N18*E18</f>
        <v>0.024276560540222</v>
      </c>
      <c r="P18" s="35" t="n">
        <f aca="false">N18*$AB$3/($AB$4*$AB$1)</f>
        <v>1105978878.79787</v>
      </c>
      <c r="Q18" s="35" t="n">
        <f aca="false">IF(G18&lt;=3,F18*SQRT(P18),0)</f>
        <v>11147.6054712801</v>
      </c>
      <c r="R18" s="35" t="n">
        <f aca="false">SQRT(P18/$AB$6)</f>
        <v>15365650367.4452</v>
      </c>
      <c r="S18" s="35" t="n">
        <f aca="false">2*$AB$6*R18</f>
        <v>0.143954710975473</v>
      </c>
      <c r="T18" s="35" t="n">
        <f aca="false">IF(G18&lt;=3,F18*R18,0)</f>
        <v>5150615380.80877</v>
      </c>
      <c r="U18" s="35" t="n">
        <f aca="false">F18*P18</f>
        <v>370727674.245075</v>
      </c>
      <c r="V18" s="35" t="n">
        <f aca="false">H18^$AB$7*E18</f>
        <v>0.024276560540222</v>
      </c>
      <c r="W18" s="35" t="n">
        <f aca="false">I18^$AB$7*E18</f>
        <v>0.000288988883467524</v>
      </c>
      <c r="X18" s="35" t="n">
        <f aca="false">J18^$AB$7*E18</f>
        <v>8.46493399385997E-005</v>
      </c>
      <c r="Y18" s="35" t="n">
        <f aca="false">K18^$AB$7*E18</f>
        <v>4.9358799905379E-005</v>
      </c>
    </row>
    <row r="19" customFormat="false" ht="15" hidden="false" customHeight="false" outlineLevel="0" collapsed="false">
      <c r="A19" s="35" t="n">
        <v>17</v>
      </c>
      <c r="B19" s="35" t="n">
        <f aca="false">C18</f>
        <v>1.7131095665895E-006</v>
      </c>
      <c r="C19" s="35" t="n">
        <f aca="false">(1/Inputs!$B$16)*(Inputs!$B$21/(1/Inputs!$B$16))^(16/60)</f>
        <v>1.87514285514584E-006</v>
      </c>
      <c r="D19" s="35" t="n">
        <f aca="false">(B19+C19)/2</f>
        <v>1.79412621086767E-006</v>
      </c>
      <c r="E19" s="35" t="n">
        <f aca="false">C19-B19</f>
        <v>1.62033288556341E-007</v>
      </c>
      <c r="F19" s="35" t="n">
        <f aca="false">Inputs!$B$16*E19</f>
        <v>0.366908178606979</v>
      </c>
      <c r="G19" s="35" t="n">
        <f aca="false">IF(D19&lt;=Inputs!$B$21,1,IF(D19&lt;=Inputs!$B$22,2,IF(D19&lt;=Inputs!$B$23,3,IF(D19&lt;=Inputs!$B$24,4,5))))</f>
        <v>1</v>
      </c>
      <c r="H19" s="35" t="n">
        <f aca="false">Fit!$B$10*D19^(-1/Fit!$B$9)</f>
        <v>154597.287735658</v>
      </c>
      <c r="I19" s="35" t="n">
        <f aca="false">EXP(Fit!$B$16+Fit!$B$15*-NORMSINV(D19))</f>
        <v>1922.55458254559</v>
      </c>
      <c r="J19" s="35" t="n">
        <f aca="false">Fit!$B$22*LN(1/D19)^(1/Fit!$B$21)</f>
        <v>568.43455632099</v>
      </c>
      <c r="K19" s="35" t="n">
        <f aca="false">MAX(0,Fit!$B$28+Fit!$B$27*-NORMSINV(D19))</f>
        <v>332.268655665898</v>
      </c>
      <c r="L19" s="35" t="n">
        <f aca="false">INDEX(H19:K19,1,Inputs!$B$5)</f>
        <v>154597.287735658</v>
      </c>
      <c r="M19" s="35" t="n">
        <f aca="false">L19*E19</f>
        <v>0.0250499069336996</v>
      </c>
      <c r="N19" s="35" t="n">
        <f aca="false">L19^$AB$7</f>
        <v>154597.287735658</v>
      </c>
      <c r="O19" s="35" t="n">
        <f aca="false">N19*E19</f>
        <v>0.0250499069336996</v>
      </c>
      <c r="P19" s="35" t="n">
        <f aca="false">N19*$AB$3/($AB$4*$AB$1)</f>
        <v>1042597247.65426</v>
      </c>
      <c r="Q19" s="35" t="n">
        <f aca="false">IF(G19&lt;=3,F19*SQRT(P19),0)</f>
        <v>11847.1988948694</v>
      </c>
      <c r="R19" s="35" t="n">
        <f aca="false">SQRT(P19/$AB$6)</f>
        <v>14918866145.4496</v>
      </c>
      <c r="S19" s="35" t="n">
        <f aca="false">2*$AB$6*R19</f>
        <v>0.139768966017872</v>
      </c>
      <c r="T19" s="35" t="n">
        <f aca="false">IF(G19&lt;=3,F19*R19,0)</f>
        <v>5473854004.30823</v>
      </c>
      <c r="U19" s="35" t="n">
        <f aca="false">F19*P19</f>
        <v>382537457.157476</v>
      </c>
      <c r="V19" s="35" t="n">
        <f aca="false">H19^$AB$7*E19</f>
        <v>0.0250499069336996</v>
      </c>
      <c r="W19" s="35" t="n">
        <f aca="false">I19^$AB$7*E19</f>
        <v>0.000311517841438926</v>
      </c>
      <c r="X19" s="35" t="n">
        <f aca="false">J19^$AB$7*E19</f>
        <v>9.21053204897549E-005</v>
      </c>
      <c r="Y19" s="35" t="n">
        <f aca="false">K19^$AB$7*E19</f>
        <v>5.383858296174E-005</v>
      </c>
    </row>
    <row r="20" customFormat="false" ht="15" hidden="false" customHeight="false" outlineLevel="0" collapsed="false">
      <c r="A20" s="35" t="n">
        <v>18</v>
      </c>
      <c r="B20" s="35" t="n">
        <f aca="false">C19</f>
        <v>1.87514285514584E-006</v>
      </c>
      <c r="C20" s="35" t="n">
        <f aca="false">(1/Inputs!$B$16)*(Inputs!$B$21/(1/Inputs!$B$16))^(17/60)</f>
        <v>2.05250195070975E-006</v>
      </c>
      <c r="D20" s="35" t="n">
        <f aca="false">(B20+C20)/2</f>
        <v>1.9638224029278E-006</v>
      </c>
      <c r="E20" s="35" t="n">
        <f aca="false">C20-B20</f>
        <v>1.77359095563917E-007</v>
      </c>
      <c r="F20" s="35" t="n">
        <f aca="false">Inputs!$B$16*E20</f>
        <v>0.401611935994934</v>
      </c>
      <c r="G20" s="35" t="n">
        <f aca="false">IF(D20&lt;=Inputs!$B$21,1,IF(D20&lt;=Inputs!$B$22,2,IF(D20&lt;=Inputs!$B$23,3,IF(D20&lt;=Inputs!$B$24,4,5))))</f>
        <v>1</v>
      </c>
      <c r="H20" s="35" t="n">
        <f aca="false">Fit!$B$10*D20^(-1/Fit!$B$9)</f>
        <v>145737.599314019</v>
      </c>
      <c r="I20" s="35" t="n">
        <f aca="false">EXP(Fit!$B$16+Fit!$B$15*-NORMSINV(D20))</f>
        <v>1893.24332761389</v>
      </c>
      <c r="J20" s="35" t="n">
        <f aca="false">Fit!$B$22*LN(1/D20)^(1/Fit!$B$21)</f>
        <v>565.034096873522</v>
      </c>
      <c r="K20" s="35" t="n">
        <f aca="false">MAX(0,Fit!$B$28+Fit!$B$27*-NORMSINV(D20))</f>
        <v>331.099206446557</v>
      </c>
      <c r="L20" s="35" t="n">
        <f aca="false">INDEX(H20:K20,1,Inputs!$B$5)</f>
        <v>145737.599314019</v>
      </c>
      <c r="M20" s="35" t="n">
        <f aca="false">L20*E20</f>
        <v>0.0258478888039909</v>
      </c>
      <c r="N20" s="35" t="n">
        <f aca="false">L20^$AB$7</f>
        <v>145737.599314019</v>
      </c>
      <c r="O20" s="35" t="n">
        <f aca="false">N20*E20</f>
        <v>0.0258478888039909</v>
      </c>
      <c r="P20" s="35" t="n">
        <f aca="false">N20*$AB$3/($AB$4*$AB$1)</f>
        <v>982847902.12066</v>
      </c>
      <c r="Q20" s="35" t="n">
        <f aca="false">IF(G20&lt;=3,F20*SQRT(P20),0)</f>
        <v>12590.6969004418</v>
      </c>
      <c r="R20" s="35" t="n">
        <f aca="false">SQRT(P20/$AB$6)</f>
        <v>14485072987.0439</v>
      </c>
      <c r="S20" s="35" t="n">
        <f aca="false">2*$AB$6*R20</f>
        <v>0.135704929205364</v>
      </c>
      <c r="T20" s="35" t="n">
        <f aca="false">IF(G20&lt;=3,F20*R20,0)</f>
        <v>5817378205.35461</v>
      </c>
      <c r="U20" s="35" t="n">
        <f aca="false">F20*P20</f>
        <v>394723448.759238</v>
      </c>
      <c r="V20" s="35" t="n">
        <f aca="false">H20^$AB$7*E20</f>
        <v>0.0258478888039909</v>
      </c>
      <c r="W20" s="35" t="n">
        <f aca="false">I20^$AB$7*E20</f>
        <v>0.00033578392426802</v>
      </c>
      <c r="X20" s="35" t="n">
        <f aca="false">J20^$AB$7*E20</f>
        <v>0.000100213936384263</v>
      </c>
      <c r="Y20" s="35" t="n">
        <f aca="false">K20^$AB$7*E20</f>
        <v>5.87234557972919E-005</v>
      </c>
    </row>
    <row r="21" customFormat="false" ht="15" hidden="false" customHeight="false" outlineLevel="0" collapsed="false">
      <c r="A21" s="35" t="n">
        <v>19</v>
      </c>
      <c r="B21" s="35" t="n">
        <f aca="false">C20</f>
        <v>2.05250195070975E-006</v>
      </c>
      <c r="C21" s="35" t="n">
        <f aca="false">(1/Inputs!$B$16)*(Inputs!$B$21/(1/Inputs!$B$16))^(18/60)</f>
        <v>2.24663643418235E-006</v>
      </c>
      <c r="D21" s="35" t="n">
        <f aca="false">(B21+C21)/2</f>
        <v>2.14956919244605E-006</v>
      </c>
      <c r="E21" s="35" t="n">
        <f aca="false">C21-B21</f>
        <v>1.94134483472592E-007</v>
      </c>
      <c r="F21" s="35" t="n">
        <f aca="false">Inputs!$B$16*E21</f>
        <v>0.439598124375337</v>
      </c>
      <c r="G21" s="35" t="n">
        <f aca="false">IF(D21&lt;=Inputs!$B$21,1,IF(D21&lt;=Inputs!$B$22,2,IF(D21&lt;=Inputs!$B$23,3,IF(D21&lt;=Inputs!$B$24,4,5))))</f>
        <v>1</v>
      </c>
      <c r="H21" s="35" t="n">
        <f aca="false">Fit!$B$10*D21^(-1/Fit!$B$9)</f>
        <v>137385.643466981</v>
      </c>
      <c r="I21" s="35" t="n">
        <f aca="false">EXP(Fit!$B$16+Fit!$B$15*-NORMSINV(D21))</f>
        <v>1864.27126391294</v>
      </c>
      <c r="J21" s="35" t="n">
        <f aca="false">Fit!$B$22*LN(1/D21)^(1/Fit!$B$21)</f>
        <v>561.630722695745</v>
      </c>
      <c r="K21" s="35" t="n">
        <f aca="false">MAX(0,Fit!$B$28+Fit!$B$27*-NORMSINV(D21))</f>
        <v>329.925360400527</v>
      </c>
      <c r="L21" s="35" t="n">
        <f aca="false">INDEX(H21:K21,1,Inputs!$B$5)</f>
        <v>137385.643466981</v>
      </c>
      <c r="M21" s="35" t="n">
        <f aca="false">L21*E21</f>
        <v>0.026671290931012</v>
      </c>
      <c r="N21" s="35" t="n">
        <f aca="false">L21^$AB$7</f>
        <v>137385.643466981</v>
      </c>
      <c r="O21" s="35" t="n">
        <f aca="false">N21*E21</f>
        <v>0.026671290931012</v>
      </c>
      <c r="P21" s="35" t="n">
        <f aca="false">N21*$AB$3/($AB$4*$AB$1)</f>
        <v>926522682.537634</v>
      </c>
      <c r="Q21" s="35" t="n">
        <f aca="false">IF(G21&lt;=3,F21*SQRT(P21),0)</f>
        <v>13380.8548202433</v>
      </c>
      <c r="R21" s="35" t="n">
        <f aca="false">SQRT(P21/$AB$6)</f>
        <v>14063893153.4341</v>
      </c>
      <c r="S21" s="35" t="n">
        <f aca="false">2*$AB$6*R21</f>
        <v>0.131759061652341</v>
      </c>
      <c r="T21" s="35" t="n">
        <f aca="false">IF(G21&lt;=3,F21*R21,0)</f>
        <v>6182461051.66478</v>
      </c>
      <c r="U21" s="35" t="n">
        <f aca="false">F21*P21</f>
        <v>407297633.43475</v>
      </c>
      <c r="V21" s="35" t="n">
        <f aca="false">H21^$AB$7*E21</f>
        <v>0.026671290931012</v>
      </c>
      <c r="W21" s="35" t="n">
        <f aca="false">I21^$AB$7*E21</f>
        <v>0.000361919338872533</v>
      </c>
      <c r="X21" s="35" t="n">
        <f aca="false">J21^$AB$7*E21</f>
        <v>0.000109031890252877</v>
      </c>
      <c r="Y21" s="35" t="n">
        <f aca="false">K21^$AB$7*E21</f>
        <v>6.40498894258649E-005</v>
      </c>
    </row>
    <row r="22" customFormat="false" ht="15" hidden="false" customHeight="false" outlineLevel="0" collapsed="false">
      <c r="A22" s="35" t="n">
        <v>20</v>
      </c>
      <c r="B22" s="35" t="n">
        <f aca="false">C21</f>
        <v>2.24663643418235E-006</v>
      </c>
      <c r="C22" s="35" t="n">
        <f aca="false">(1/Inputs!$B$16)*(Inputs!$B$21/(1/Inputs!$B$16))^(19/60)</f>
        <v>2.45913299407593E-006</v>
      </c>
      <c r="D22" s="35" t="n">
        <f aca="false">(B22+C22)/2</f>
        <v>2.35288471412914E-006</v>
      </c>
      <c r="E22" s="35" t="n">
        <f aca="false">C22-B22</f>
        <v>2.12496559893584E-007</v>
      </c>
      <c r="F22" s="35" t="n">
        <f aca="false">Inputs!$B$16*E22</f>
        <v>0.481177210223032</v>
      </c>
      <c r="G22" s="35" t="n">
        <f aca="false">IF(D22&lt;=Inputs!$B$21,1,IF(D22&lt;=Inputs!$B$22,2,IF(D22&lt;=Inputs!$B$23,3,IF(D22&lt;=Inputs!$B$24,4,5))))</f>
        <v>1</v>
      </c>
      <c r="H22" s="35" t="n">
        <f aca="false">Fit!$B$10*D22^(-1/Fit!$B$9)</f>
        <v>129512.322967302</v>
      </c>
      <c r="I22" s="35" t="n">
        <f aca="false">EXP(Fit!$B$16+Fit!$B$15*-NORMSINV(D22))</f>
        <v>1835.63534468991</v>
      </c>
      <c r="J22" s="35" t="n">
        <f aca="false">Fit!$B$22*LN(1/D22)^(1/Fit!$B$21)</f>
        <v>558.224411078021</v>
      </c>
      <c r="K22" s="35" t="n">
        <f aca="false">MAX(0,Fit!$B$28+Fit!$B$27*-NORMSINV(D22))</f>
        <v>328.747068702325</v>
      </c>
      <c r="L22" s="35" t="n">
        <f aca="false">INDEX(H22:K22,1,Inputs!$B$5)</f>
        <v>129512.322967302</v>
      </c>
      <c r="M22" s="35" t="n">
        <f aca="false">L22*E22</f>
        <v>0.0275209230943786</v>
      </c>
      <c r="N22" s="35" t="n">
        <f aca="false">L22^$AB$7</f>
        <v>129512.322967302</v>
      </c>
      <c r="O22" s="35" t="n">
        <f aca="false">N22*E22</f>
        <v>0.0275209230943786</v>
      </c>
      <c r="P22" s="35" t="n">
        <f aca="false">N22*$AB$3/($AB$4*$AB$1)</f>
        <v>873425358.495954</v>
      </c>
      <c r="Q22" s="35" t="n">
        <f aca="false">IF(G22&lt;=3,F22*SQRT(P22),0)</f>
        <v>14220.6009036836</v>
      </c>
      <c r="R22" s="35" t="n">
        <f aca="false">SQRT(P22/$AB$6)</f>
        <v>13654959889.2685</v>
      </c>
      <c r="S22" s="35" t="n">
        <f aca="false">2*$AB$6*R22</f>
        <v>0.127927927372732</v>
      </c>
      <c r="T22" s="35" t="n">
        <f aca="false">IF(G22&lt;=3,F22*R22,0)</f>
        <v>6570455505.22563</v>
      </c>
      <c r="U22" s="35" t="n">
        <f aca="false">F22*P22</f>
        <v>420272377.339135</v>
      </c>
      <c r="V22" s="35" t="n">
        <f aca="false">H22^$AB$7*E22</f>
        <v>0.0275209230943786</v>
      </c>
      <c r="W22" s="35" t="n">
        <f aca="false">I22^$AB$7*E22</f>
        <v>0.00039006619596568</v>
      </c>
      <c r="X22" s="35" t="n">
        <f aca="false">J22^$AB$7*E22</f>
        <v>0.000118620767002701</v>
      </c>
      <c r="Y22" s="35" t="n">
        <f aca="false">K22^$AB$7*E22</f>
        <v>6.98576211743439E-005</v>
      </c>
    </row>
    <row r="23" customFormat="false" ht="15" hidden="false" customHeight="false" outlineLevel="0" collapsed="false">
      <c r="A23" s="35" t="n">
        <v>21</v>
      </c>
      <c r="B23" s="35" t="n">
        <f aca="false">C22</f>
        <v>2.45913299407593E-006</v>
      </c>
      <c r="C23" s="35" t="n">
        <f aca="false">(1/Inputs!$B$16)*(Inputs!$B$21/(1/Inputs!$B$16))^(20/60)</f>
        <v>2.69172839474303E-006</v>
      </c>
      <c r="D23" s="35" t="n">
        <f aca="false">(B23+C23)/2</f>
        <v>2.57543069440948E-006</v>
      </c>
      <c r="E23" s="35" t="n">
        <f aca="false">C23-B23</f>
        <v>2.32595400667099E-007</v>
      </c>
      <c r="F23" s="35" t="n">
        <f aca="false">Inputs!$B$16*E23</f>
        <v>0.52668902527058</v>
      </c>
      <c r="G23" s="35" t="n">
        <f aca="false">IF(D23&lt;=Inputs!$B$21,1,IF(D23&lt;=Inputs!$B$22,2,IF(D23&lt;=Inputs!$B$23,3,IF(D23&lt;=Inputs!$B$24,4,5))))</f>
        <v>1</v>
      </c>
      <c r="H23" s="35" t="n">
        <f aca="false">Fit!$B$10*D23^(-1/Fit!$B$9)</f>
        <v>122090.208096729</v>
      </c>
      <c r="I23" s="35" t="n">
        <f aca="false">EXP(Fit!$B$16+Fit!$B$15*-NORMSINV(D23))</f>
        <v>1807.33254511478</v>
      </c>
      <c r="J23" s="35" t="n">
        <f aca="false">Fit!$B$22*LN(1/D23)^(1/Fit!$B$21)</f>
        <v>554.815138974102</v>
      </c>
      <c r="K23" s="35" t="n">
        <f aca="false">MAX(0,Fit!$B$28+Fit!$B$27*-NORMSINV(D23))</f>
        <v>327.564281627422</v>
      </c>
      <c r="L23" s="35" t="n">
        <f aca="false">INDEX(H23:K23,1,Inputs!$B$5)</f>
        <v>122090.208096729</v>
      </c>
      <c r="M23" s="35" t="n">
        <f aca="false">L23*E23</f>
        <v>0.0283976208697883</v>
      </c>
      <c r="N23" s="35" t="n">
        <f aca="false">L23^$AB$7</f>
        <v>122090.208096729</v>
      </c>
      <c r="O23" s="35" t="n">
        <f aca="false">N23*E23</f>
        <v>0.0283976208697883</v>
      </c>
      <c r="P23" s="35" t="n">
        <f aca="false">N23*$AB$3/($AB$4*$AB$1)</f>
        <v>823370945.193022</v>
      </c>
      <c r="Q23" s="35" t="n">
        <f aca="false">IF(G23&lt;=3,F23*SQRT(P23),0)</f>
        <v>15113.0471691471</v>
      </c>
      <c r="R23" s="35" t="n">
        <f aca="false">SQRT(P23/$AB$6)</f>
        <v>13257917103.274</v>
      </c>
      <c r="S23" s="35" t="n">
        <f aca="false">2*$AB$6*R23</f>
        <v>0.124208190288004</v>
      </c>
      <c r="T23" s="35" t="n">
        <f aca="false">IF(G23&lt;=3,F23*R23,0)</f>
        <v>6982799436.24152</v>
      </c>
      <c r="U23" s="35" t="n">
        <f aca="false">F23*P23</f>
        <v>433660440.559829</v>
      </c>
      <c r="V23" s="35" t="n">
        <f aca="false">H23^$AB$7*E23</f>
        <v>0.0283976208697883</v>
      </c>
      <c r="W23" s="35" t="n">
        <f aca="false">I23^$AB$7*E23</f>
        <v>0.00042037723746966</v>
      </c>
      <c r="X23" s="35" t="n">
        <f aca="false">J23^$AB$7*E23</f>
        <v>0.000129047449545854</v>
      </c>
      <c r="Y23" s="35" t="n">
        <f aca="false">K23^$AB$7*E23</f>
        <v>7.61899453293607E-005</v>
      </c>
    </row>
    <row r="24" customFormat="false" ht="15" hidden="false" customHeight="false" outlineLevel="0" collapsed="false">
      <c r="A24" s="35" t="n">
        <v>22</v>
      </c>
      <c r="B24" s="35" t="n">
        <f aca="false">C23</f>
        <v>2.69172839474303E-006</v>
      </c>
      <c r="C24" s="35" t="n">
        <f aca="false">(1/Inputs!$B$16)*(Inputs!$B$21/(1/Inputs!$B$16))^(21/60)</f>
        <v>2.94632367119636E-006</v>
      </c>
      <c r="D24" s="35" t="n">
        <f aca="false">(B24+C24)/2</f>
        <v>2.81902603296969E-006</v>
      </c>
      <c r="E24" s="35" t="n">
        <f aca="false">C24-B24</f>
        <v>2.54595276453329E-007</v>
      </c>
      <c r="F24" s="35" t="n">
        <f aca="false">Inputs!$B$16*E24</f>
        <v>0.576505544000917</v>
      </c>
      <c r="G24" s="35" t="n">
        <f aca="false">IF(D24&lt;=Inputs!$B$21,1,IF(D24&lt;=Inputs!$B$22,2,IF(D24&lt;=Inputs!$B$23,3,IF(D24&lt;=Inputs!$B$24,4,5))))</f>
        <v>1</v>
      </c>
      <c r="H24" s="35" t="n">
        <f aca="false">Fit!$B$10*D24^(-1/Fit!$B$9)</f>
        <v>115093.441084104</v>
      </c>
      <c r="I24" s="35" t="n">
        <f aca="false">EXP(Fit!$B$16+Fit!$B$15*-NORMSINV(D24))</f>
        <v>1779.35986214835</v>
      </c>
      <c r="J24" s="35" t="n">
        <f aca="false">Fit!$B$22*LN(1/D24)^(1/Fit!$B$21)</f>
        <v>551.40288299374</v>
      </c>
      <c r="K24" s="35" t="n">
        <f aca="false">MAX(0,Fit!$B$28+Fit!$B$27*-NORMSINV(D24))</f>
        <v>326.37694852908</v>
      </c>
      <c r="L24" s="35" t="n">
        <f aca="false">INDEX(H24:K24,1,Inputs!$B$5)</f>
        <v>115093.441084104</v>
      </c>
      <c r="M24" s="35" t="n">
        <f aca="false">L24*E24</f>
        <v>0.0293022464507724</v>
      </c>
      <c r="N24" s="35" t="n">
        <f aca="false">L24^$AB$7</f>
        <v>115093.441084104</v>
      </c>
      <c r="O24" s="35" t="n">
        <f aca="false">N24*E24</f>
        <v>0.0293022464507724</v>
      </c>
      <c r="P24" s="35" t="n">
        <f aca="false">N24*$AB$3/($AB$4*$AB$1)</f>
        <v>776185058.967681</v>
      </c>
      <c r="Q24" s="35" t="n">
        <f aca="false">IF(G24&lt;=3,F24*SQRT(P24),0)</f>
        <v>16061.5009368347</v>
      </c>
      <c r="R24" s="35" t="n">
        <f aca="false">SQRT(P24/$AB$6)</f>
        <v>12872419058.1786</v>
      </c>
      <c r="S24" s="35" t="n">
        <f aca="false">2*$AB$6*R24</f>
        <v>0.120596611322178</v>
      </c>
      <c r="T24" s="35" t="n">
        <f aca="false">IF(G24&lt;=3,F24*R24,0)</f>
        <v>7421020951.74304</v>
      </c>
      <c r="U24" s="35" t="n">
        <f aca="false">F24*P24</f>
        <v>447474989.665547</v>
      </c>
      <c r="V24" s="35" t="n">
        <f aca="false">H24^$AB$7*E24</f>
        <v>0.0293022464507724</v>
      </c>
      <c r="W24" s="35" t="n">
        <f aca="false">I24^$AB$7*E24</f>
        <v>0.000453016616013616</v>
      </c>
      <c r="X24" s="35" t="n">
        <f aca="false">J24^$AB$7*E24</f>
        <v>0.000140384569432954</v>
      </c>
      <c r="Y24" s="35" t="n">
        <f aca="false">K24^$AB$7*E24</f>
        <v>8.30940294387549E-005</v>
      </c>
    </row>
    <row r="25" customFormat="false" ht="15" hidden="false" customHeight="false" outlineLevel="0" collapsed="false">
      <c r="A25" s="35" t="n">
        <v>23</v>
      </c>
      <c r="B25" s="35" t="n">
        <f aca="false">C24</f>
        <v>2.94632367119636E-006</v>
      </c>
      <c r="C25" s="35" t="n">
        <f aca="false">(1/Inputs!$B$16)*(Inputs!$B$21/(1/Inputs!$B$16))^(22/60)</f>
        <v>3.22499966653609E-006</v>
      </c>
      <c r="D25" s="35" t="n">
        <f aca="false">(B25+C25)/2</f>
        <v>3.08566166886622E-006</v>
      </c>
      <c r="E25" s="35" t="n">
        <f aca="false">C25-B25</f>
        <v>2.78675995339728E-007</v>
      </c>
      <c r="F25" s="35" t="n">
        <f aca="false">Inputs!$B$16*E25</f>
        <v>0.63103392384728</v>
      </c>
      <c r="G25" s="35" t="n">
        <f aca="false">IF(D25&lt;=Inputs!$B$21,1,IF(D25&lt;=Inputs!$B$22,2,IF(D25&lt;=Inputs!$B$23,3,IF(D25&lt;=Inputs!$B$24,4,5))))</f>
        <v>1</v>
      </c>
      <c r="H25" s="35" t="n">
        <f aca="false">Fit!$B$10*D25^(-1/Fit!$B$9)</f>
        <v>108497.646019944</v>
      </c>
      <c r="I25" s="35" t="n">
        <f aca="false">EXP(Fit!$B$16+Fit!$B$15*-NORMSINV(D25))</f>
        <v>1751.71431441099</v>
      </c>
      <c r="J25" s="35" t="n">
        <f aca="false">Fit!$B$22*LN(1/D25)^(1/Fit!$B$21)</f>
        <v>547.987619395081</v>
      </c>
      <c r="K25" s="35" t="n">
        <f aca="false">MAX(0,Fit!$B$28+Fit!$B$27*-NORMSINV(D25))</f>
        <v>325.185017814433</v>
      </c>
      <c r="L25" s="35" t="n">
        <f aca="false">INDEX(H25:K25,1,Inputs!$B$5)</f>
        <v>108497.646019944</v>
      </c>
      <c r="M25" s="35" t="n">
        <f aca="false">L25*E25</f>
        <v>0.0302356894966252</v>
      </c>
      <c r="N25" s="35" t="n">
        <f aca="false">L25^$AB$7</f>
        <v>108497.646019944</v>
      </c>
      <c r="O25" s="35" t="n">
        <f aca="false">N25*E25</f>
        <v>0.0302356894966252</v>
      </c>
      <c r="P25" s="35" t="n">
        <f aca="false">N25*$AB$3/($AB$4*$AB$1)</f>
        <v>731703309.768148</v>
      </c>
      <c r="Q25" s="35" t="n">
        <f aca="false">IF(G25&lt;=3,F25*SQRT(P25),0)</f>
        <v>17069.4770853745</v>
      </c>
      <c r="R25" s="35" t="n">
        <f aca="false">SQRT(P25/$AB$6)</f>
        <v>12498130069.6504</v>
      </c>
      <c r="S25" s="35" t="n">
        <f aca="false">2*$AB$6*R25</f>
        <v>0.117090045581294</v>
      </c>
      <c r="T25" s="35" t="n">
        <f aca="false">IF(G25&lt;=3,F25*R25,0)</f>
        <v>7886744058.60514</v>
      </c>
      <c r="U25" s="35" t="n">
        <f aca="false">F25*P25</f>
        <v>461729610.655036</v>
      </c>
      <c r="V25" s="35" t="n">
        <f aca="false">H25^$AB$7*E25</f>
        <v>0.0302356894966252</v>
      </c>
      <c r="W25" s="35" t="n">
        <f aca="false">I25^$AB$7*E25</f>
        <v>0.000488160730119333</v>
      </c>
      <c r="X25" s="35" t="n">
        <f aca="false">J25^$AB$7*E25</f>
        <v>0.000152710995268772</v>
      </c>
      <c r="Y25" s="35" t="n">
        <f aca="false">K25^$AB$7*E25</f>
        <v>9.06212585090043E-005</v>
      </c>
    </row>
    <row r="26" customFormat="false" ht="15" hidden="false" customHeight="false" outlineLevel="0" collapsed="false">
      <c r="A26" s="35" t="n">
        <v>24</v>
      </c>
      <c r="B26" s="35" t="n">
        <f aca="false">C25</f>
        <v>3.22499966653609E-006</v>
      </c>
      <c r="C26" s="35" t="n">
        <f aca="false">(1/Inputs!$B$16)*(Inputs!$B$21/(1/Inputs!$B$16))^(23/60)</f>
        <v>3.53003403897396E-006</v>
      </c>
      <c r="D26" s="35" t="n">
        <f aca="false">(B26+C26)/2</f>
        <v>3.37751685275502E-006</v>
      </c>
      <c r="E26" s="35" t="n">
        <f aca="false">C26-B26</f>
        <v>3.05034372437876E-007</v>
      </c>
      <c r="F26" s="35" t="n">
        <f aca="false">Inputs!$B$16*E26</f>
        <v>0.690719832948326</v>
      </c>
      <c r="G26" s="35" t="n">
        <f aca="false">IF(D26&lt;=Inputs!$B$21,1,IF(D26&lt;=Inputs!$B$22,2,IF(D26&lt;=Inputs!$B$23,3,IF(D26&lt;=Inputs!$B$24,4,5))))</f>
        <v>1</v>
      </c>
      <c r="H26" s="35" t="n">
        <f aca="false">Fit!$B$10*D26^(-1/Fit!$B$9)</f>
        <v>102279.84393365</v>
      </c>
      <c r="I26" s="35" t="n">
        <f aca="false">EXP(Fit!$B$16+Fit!$B$15*-NORMSINV(D26))</f>
        <v>1724.39294205192</v>
      </c>
      <c r="J26" s="35" t="n">
        <f aca="false">Fit!$B$22*LN(1/D26)^(1/Fit!$B$21)</f>
        <v>544.569324076839</v>
      </c>
      <c r="K26" s="35" t="n">
        <f aca="false">MAX(0,Fit!$B$28+Fit!$B$27*-NORMSINV(D26))</f>
        <v>323.98843691976</v>
      </c>
      <c r="L26" s="35" t="n">
        <f aca="false">INDEX(H26:K26,1,Inputs!$B$5)</f>
        <v>102279.84393365</v>
      </c>
      <c r="M26" s="35" t="n">
        <f aca="false">L26*E26</f>
        <v>0.0311988680073449</v>
      </c>
      <c r="N26" s="35" t="n">
        <f aca="false">L26^$AB$7</f>
        <v>102279.84393365</v>
      </c>
      <c r="O26" s="35" t="n">
        <f aca="false">N26*E26</f>
        <v>0.0311988680073449</v>
      </c>
      <c r="P26" s="35" t="n">
        <f aca="false">N26*$AB$3/($AB$4*$AB$1)</f>
        <v>689770728.436496</v>
      </c>
      <c r="Q26" s="35" t="n">
        <f aca="false">IF(G26&lt;=3,F26*SQRT(P26),0)</f>
        <v>18140.7110776253</v>
      </c>
      <c r="R26" s="35" t="n">
        <f aca="false">SQRT(P26/$AB$6)</f>
        <v>12134724213.9894</v>
      </c>
      <c r="S26" s="35" t="n">
        <f aca="false">2*$AB$6*R26</f>
        <v>0.113685439614903</v>
      </c>
      <c r="T26" s="35" t="n">
        <f aca="false">IF(G26&lt;=3,F26*R26,0)</f>
        <v>8381694681.96074</v>
      </c>
      <c r="U26" s="35" t="n">
        <f aca="false">F26*P26</f>
        <v>476438322.318301</v>
      </c>
      <c r="V26" s="35" t="n">
        <f aca="false">H26^$AB$7*E26</f>
        <v>0.0311988680073449</v>
      </c>
      <c r="W26" s="35" t="n">
        <f aca="false">I26^$AB$7*E26</f>
        <v>0.000525999118915111</v>
      </c>
      <c r="X26" s="35" t="n">
        <f aca="false">J26^$AB$7*E26</f>
        <v>0.000166112362018697</v>
      </c>
      <c r="Y26" s="35" t="n">
        <f aca="false">K26^$AB$7*E26</f>
        <v>9.88276095329471E-005</v>
      </c>
    </row>
    <row r="27" customFormat="false" ht="15" hidden="false" customHeight="false" outlineLevel="0" collapsed="false">
      <c r="A27" s="35" t="n">
        <v>25</v>
      </c>
      <c r="B27" s="35" t="n">
        <f aca="false">C26</f>
        <v>3.53003403897396E-006</v>
      </c>
      <c r="C27" s="35" t="n">
        <f aca="false">(1/Inputs!$B$16)*(Inputs!$B$21/(1/Inputs!$B$16))^(24/60)</f>
        <v>3.86391987745509E-006</v>
      </c>
      <c r="D27" s="35" t="n">
        <f aca="false">(B27+C27)/2</f>
        <v>3.69697695821452E-006</v>
      </c>
      <c r="E27" s="35" t="n">
        <f aca="false">C27-B27</f>
        <v>3.33885838481127E-007</v>
      </c>
      <c r="F27" s="35" t="n">
        <f aca="false">Inputs!$B$16*E27</f>
        <v>0.756051092656665</v>
      </c>
      <c r="G27" s="35" t="n">
        <f aca="false">IF(D27&lt;=Inputs!$B$21,1,IF(D27&lt;=Inputs!$B$22,2,IF(D27&lt;=Inputs!$B$23,3,IF(D27&lt;=Inputs!$B$24,4,5))))</f>
        <v>1</v>
      </c>
      <c r="H27" s="35" t="n">
        <f aca="false">Fit!$B$10*D27^(-1/Fit!$B$9)</f>
        <v>96418.3727374966</v>
      </c>
      <c r="I27" s="35" t="n">
        <f aca="false">EXP(Fit!$B$16+Fit!$B$15*-NORMSINV(D27))</f>
        <v>1697.3928066191</v>
      </c>
      <c r="J27" s="35" t="n">
        <f aca="false">Fit!$B$22*LN(1/D27)^(1/Fit!$B$21)</f>
        <v>541.147972570231</v>
      </c>
      <c r="K27" s="35" t="n">
        <f aca="false">MAX(0,Fit!$B$28+Fit!$B$27*-NORMSINV(D27))</f>
        <v>322.787152284924</v>
      </c>
      <c r="L27" s="35" t="n">
        <f aca="false">INDEX(H27:K27,1,Inputs!$B$5)</f>
        <v>96418.3727374966</v>
      </c>
      <c r="M27" s="35" t="n">
        <f aca="false">L27*E27</f>
        <v>0.0321927292264449</v>
      </c>
      <c r="N27" s="35" t="n">
        <f aca="false">L27^$AB$7</f>
        <v>96418.3727374966</v>
      </c>
      <c r="O27" s="35" t="n">
        <f aca="false">N27*E27</f>
        <v>0.0321927292264449</v>
      </c>
      <c r="P27" s="35" t="n">
        <f aca="false">N27*$AB$3/($AB$4*$AB$1)</f>
        <v>650241226.814424</v>
      </c>
      <c r="Q27" s="35" t="n">
        <f aca="false">IF(G27&lt;=3,F27*SQRT(P27),0)</f>
        <v>19279.1728039427</v>
      </c>
      <c r="R27" s="35" t="n">
        <f aca="false">SQRT(P27/$AB$6)</f>
        <v>11781885044.32</v>
      </c>
      <c r="S27" s="35" t="n">
        <f aca="false">2*$AB$6*R27</f>
        <v>0.110379828757182</v>
      </c>
      <c r="T27" s="35" t="n">
        <f aca="false">IF(G27&lt;=3,F27*R27,0)</f>
        <v>8907707061.31337</v>
      </c>
      <c r="U27" s="35" t="n">
        <f aca="false">F27*P27</f>
        <v>491615590.023455</v>
      </c>
      <c r="V27" s="35" t="n">
        <f aca="false">H27^$AB$7*E27</f>
        <v>0.0321927292264449</v>
      </c>
      <c r="W27" s="35" t="n">
        <f aca="false">I27^$AB$7*E27</f>
        <v>0.000566735420469853</v>
      </c>
      <c r="X27" s="35" t="n">
        <f aca="false">J27^$AB$7*E27</f>
        <v>0.000180681644563974</v>
      </c>
      <c r="Y27" s="35" t="n">
        <f aca="false">K27^$AB$7*E27</f>
        <v>0.000107774058991587</v>
      </c>
    </row>
    <row r="28" customFormat="false" ht="15" hidden="false" customHeight="false" outlineLevel="0" collapsed="false">
      <c r="A28" s="35" t="n">
        <v>26</v>
      </c>
      <c r="B28" s="35" t="n">
        <f aca="false">C27</f>
        <v>3.86391987745509E-006</v>
      </c>
      <c r="C28" s="35" t="n">
        <f aca="false">(1/Inputs!$B$16)*(Inputs!$B$21/(1/Inputs!$B$16))^(25/60)</f>
        <v>4.22938607802549E-006</v>
      </c>
      <c r="D28" s="35" t="n">
        <f aca="false">(B28+C28)/2</f>
        <v>4.04665297774029E-006</v>
      </c>
      <c r="E28" s="35" t="n">
        <f aca="false">C28-B28</f>
        <v>3.65466200570397E-007</v>
      </c>
      <c r="F28" s="35" t="n">
        <f aca="false">Inputs!$B$16*E28</f>
        <v>0.827561664571608</v>
      </c>
      <c r="G28" s="35" t="n">
        <f aca="false">IF(D28&lt;=Inputs!$B$21,1,IF(D28&lt;=Inputs!$B$22,2,IF(D28&lt;=Inputs!$B$23,3,IF(D28&lt;=Inputs!$B$24,4,5))))</f>
        <v>1</v>
      </c>
      <c r="H28" s="35" t="n">
        <f aca="false">Fit!$B$10*D28^(-1/Fit!$B$9)</f>
        <v>90892.8117584685</v>
      </c>
      <c r="I28" s="35" t="n">
        <f aca="false">EXP(Fit!$B$16+Fit!$B$15*-NORMSINV(D28))</f>
        <v>1670.71099092974</v>
      </c>
      <c r="J28" s="35" t="n">
        <f aca="false">Fit!$B$22*LN(1/D28)^(1/Fit!$B$21)</f>
        <v>537.723540030683</v>
      </c>
      <c r="K28" s="35" t="n">
        <f aca="false">MAX(0,Fit!$B$28+Fit!$B$27*-NORMSINV(D28))</f>
        <v>321.581109326959</v>
      </c>
      <c r="L28" s="35" t="n">
        <f aca="false">INDEX(H28:K28,1,Inputs!$B$5)</f>
        <v>90892.8117584685</v>
      </c>
      <c r="M28" s="35" t="n">
        <f aca="false">L28*E28</f>
        <v>0.0332182505725278</v>
      </c>
      <c r="N28" s="35" t="n">
        <f aca="false">L28^$AB$7</f>
        <v>90892.8117584685</v>
      </c>
      <c r="O28" s="35" t="n">
        <f aca="false">N28*E28</f>
        <v>0.0332182505725278</v>
      </c>
      <c r="P28" s="35" t="n">
        <f aca="false">N28*$AB$3/($AB$4*$AB$1)</f>
        <v>612977088.78937</v>
      </c>
      <c r="Q28" s="35" t="n">
        <f aca="false">IF(G28&lt;=3,F28*SQRT(P28),0)</f>
        <v>20489.0812942125</v>
      </c>
      <c r="R28" s="35" t="n">
        <f aca="false">SQRT(P28/$AB$6)</f>
        <v>11439305315.0349</v>
      </c>
      <c r="S28" s="35" t="n">
        <f aca="false">2*$AB$6*R28</f>
        <v>0.107170334545354</v>
      </c>
      <c r="T28" s="35" t="n">
        <f aca="false">IF(G28&lt;=3,F28*R28,0)</f>
        <v>9466730548.05316</v>
      </c>
      <c r="U28" s="35" t="n">
        <f aca="false">F28*P28</f>
        <v>507276339.94279</v>
      </c>
      <c r="V28" s="35" t="n">
        <f aca="false">H28^$AB$7*E28</f>
        <v>0.0332182505725278</v>
      </c>
      <c r="W28" s="35" t="n">
        <f aca="false">I28^$AB$7*E28</f>
        <v>0.000610588398106297</v>
      </c>
      <c r="X28" s="35" t="n">
        <f aca="false">J28^$AB$7*E28</f>
        <v>0.000196519779132278</v>
      </c>
      <c r="Y28" s="35" t="n">
        <f aca="false">K28^$AB$7*E28</f>
        <v>0.000117527026200937</v>
      </c>
    </row>
    <row r="29" customFormat="false" ht="15" hidden="false" customHeight="false" outlineLevel="0" collapsed="false">
      <c r="A29" s="35" t="n">
        <v>27</v>
      </c>
      <c r="B29" s="35" t="n">
        <f aca="false">C28</f>
        <v>4.22938607802549E-006</v>
      </c>
      <c r="C29" s="35" t="n">
        <f aca="false">(1/Inputs!$B$16)*(Inputs!$B$21/(1/Inputs!$B$16))^(26/60)</f>
        <v>4.62941964748432E-006</v>
      </c>
      <c r="D29" s="35" t="n">
        <f aca="false">(B29+C29)/2</f>
        <v>4.4294028627549E-006</v>
      </c>
      <c r="E29" s="35" t="n">
        <f aca="false">C29-B29</f>
        <v>4.00033569458836E-007</v>
      </c>
      <c r="F29" s="35" t="n">
        <f aca="false">Inputs!$B$16*E29</f>
        <v>0.905836014682588</v>
      </c>
      <c r="G29" s="35" t="n">
        <f aca="false">IF(D29&lt;=Inputs!$B$21,1,IF(D29&lt;=Inputs!$B$22,2,IF(D29&lt;=Inputs!$B$23,3,IF(D29&lt;=Inputs!$B$24,4,5))))</f>
        <v>1</v>
      </c>
      <c r="H29" s="35" t="n">
        <f aca="false">Fit!$B$10*D29^(-1/Fit!$B$9)</f>
        <v>85683.9105950554</v>
      </c>
      <c r="I29" s="35" t="n">
        <f aca="false">EXP(Fit!$B$16+Fit!$B$15*-NORMSINV(D29))</f>
        <v>1644.3445989414</v>
      </c>
      <c r="J29" s="35" t="n">
        <f aca="false">Fit!$B$22*LN(1/D29)^(1/Fit!$B$21)</f>
        <v>534.296001229275</v>
      </c>
      <c r="K29" s="35" t="n">
        <f aca="false">MAX(0,Fit!$B$28+Fit!$B$27*-NORMSINV(D29))</f>
        <v>320.370252412735</v>
      </c>
      <c r="L29" s="35" t="n">
        <f aca="false">INDEX(H29:K29,1,Inputs!$B$5)</f>
        <v>85683.9105950554</v>
      </c>
      <c r="M29" s="35" t="n">
        <f aca="false">L29*E29</f>
        <v>0.0342764406005318</v>
      </c>
      <c r="N29" s="35" t="n">
        <f aca="false">L29^$AB$7</f>
        <v>85683.9105950554</v>
      </c>
      <c r="O29" s="35" t="n">
        <f aca="false">N29*E29</f>
        <v>0.0342764406005318</v>
      </c>
      <c r="P29" s="35" t="n">
        <f aca="false">N29*$AB$3/($AB$4*$AB$1)</f>
        <v>577848490.507856</v>
      </c>
      <c r="Q29" s="35" t="n">
        <f aca="false">IF(G29&lt;=3,F29*SQRT(P29),0)</f>
        <v>21774.9203531696</v>
      </c>
      <c r="R29" s="35" t="n">
        <f aca="false">SQRT(P29/$AB$6)</f>
        <v>11106686714.2514</v>
      </c>
      <c r="S29" s="35" t="n">
        <f aca="false">2*$AB$6*R29</f>
        <v>0.104054162213182</v>
      </c>
      <c r="T29" s="35" t="n">
        <f aca="false">IF(G29&lt;=3,F29*R29,0)</f>
        <v>10060836829.5656</v>
      </c>
      <c r="U29" s="35" t="n">
        <f aca="false">F29*P29</f>
        <v>523435973.731986</v>
      </c>
      <c r="V29" s="35" t="n">
        <f aca="false">H29^$AB$7*E29</f>
        <v>0.0342764406005318</v>
      </c>
      <c r="W29" s="35" t="n">
        <f aca="false">I29^$AB$7*E29</f>
        <v>0.000657793039334887</v>
      </c>
      <c r="X29" s="35" t="n">
        <f aca="false">J29^$AB$7*E29</f>
        <v>0.00021373633651933</v>
      </c>
      <c r="Y29" s="35" t="n">
        <f aca="false">K29^$AB$7*E29</f>
        <v>0.000128158855621094</v>
      </c>
    </row>
    <row r="30" customFormat="false" ht="15" hidden="false" customHeight="false" outlineLevel="0" collapsed="false">
      <c r="A30" s="35" t="n">
        <v>28</v>
      </c>
      <c r="B30" s="35" t="n">
        <f aca="false">C29</f>
        <v>4.62941964748432E-006</v>
      </c>
      <c r="C30" s="35" t="n">
        <f aca="false">(1/Inputs!$B$16)*(Inputs!$B$21/(1/Inputs!$B$16))^(27/60)</f>
        <v>5.06729011661175E-006</v>
      </c>
      <c r="D30" s="35" t="n">
        <f aca="false">(B30+C30)/2</f>
        <v>4.84835488204803E-006</v>
      </c>
      <c r="E30" s="35" t="n">
        <f aca="false">C30-B30</f>
        <v>4.37870469127425E-007</v>
      </c>
      <c r="F30" s="35" t="n">
        <f aca="false">Inputs!$B$16*E30</f>
        <v>0.991513890292141</v>
      </c>
      <c r="G30" s="35" t="n">
        <f aca="false">IF(D30&lt;=Inputs!$B$21,1,IF(D30&lt;=Inputs!$B$22,2,IF(D30&lt;=Inputs!$B$23,3,IF(D30&lt;=Inputs!$B$24,4,5))))</f>
        <v>1</v>
      </c>
      <c r="H30" s="35" t="n">
        <f aca="false">Fit!$B$10*D30^(-1/Fit!$B$9)</f>
        <v>80773.5220511255</v>
      </c>
      <c r="I30" s="35" t="n">
        <f aca="false">EXP(Fit!$B$16+Fit!$B$15*-NORMSINV(D30))</f>
        <v>1618.29075562366</v>
      </c>
      <c r="J30" s="35" t="n">
        <f aca="false">Fit!$B$22*LN(1/D30)^(1/Fit!$B$21)</f>
        <v>530.865330543934</v>
      </c>
      <c r="K30" s="35" t="n">
        <f aca="false">MAX(0,Fit!$B$28+Fit!$B$27*-NORMSINV(D30))</f>
        <v>319.154524830697</v>
      </c>
      <c r="L30" s="35" t="n">
        <f aca="false">INDEX(H30:K30,1,Inputs!$B$5)</f>
        <v>80773.5220511255</v>
      </c>
      <c r="M30" s="35" t="n">
        <f aca="false">L30*E30</f>
        <v>0.0353683399936008</v>
      </c>
      <c r="N30" s="35" t="n">
        <f aca="false">L30^$AB$7</f>
        <v>80773.5220511255</v>
      </c>
      <c r="O30" s="35" t="n">
        <f aca="false">N30*E30</f>
        <v>0.0353683399936008</v>
      </c>
      <c r="P30" s="35" t="n">
        <f aca="false">N30*$AB$3/($AB$4*$AB$1)</f>
        <v>544733048.084519</v>
      </c>
      <c r="Q30" s="35" t="n">
        <f aca="false">IF(G30&lt;=3,F30*SQRT(P30),0)</f>
        <v>23141.455176949</v>
      </c>
      <c r="R30" s="35" t="n">
        <f aca="false">SQRT(P30/$AB$6)</f>
        <v>10783739604.0471</v>
      </c>
      <c r="S30" s="35" t="n">
        <f aca="false">2*$AB$6*R30</f>
        <v>0.101028598257339</v>
      </c>
      <c r="T30" s="35" t="n">
        <f aca="false">IF(G30&lt;=3,F30*R30,0)</f>
        <v>10692227606.7062</v>
      </c>
      <c r="U30" s="35" t="n">
        <f aca="false">F30*P30</f>
        <v>540110383.676977</v>
      </c>
      <c r="V30" s="35" t="n">
        <f aca="false">H30^$AB$7*E30</f>
        <v>0.0353683399936008</v>
      </c>
      <c r="W30" s="35" t="n">
        <f aca="false">I30^$AB$7*E30</f>
        <v>0.000708601732349507</v>
      </c>
      <c r="X30" s="35" t="n">
        <f aca="false">J30^$AB$7*E30</f>
        <v>0.000232450251328758</v>
      </c>
      <c r="Y30" s="35" t="n">
        <f aca="false">K30^$AB$7*E30</f>
        <v>0.000139748341511758</v>
      </c>
    </row>
    <row r="31" customFormat="false" ht="15" hidden="false" customHeight="false" outlineLevel="0" collapsed="false">
      <c r="A31" s="35" t="n">
        <v>29</v>
      </c>
      <c r="B31" s="35" t="n">
        <f aca="false">C30</f>
        <v>5.06729011661175E-006</v>
      </c>
      <c r="C31" s="35" t="n">
        <f aca="false">(1/Inputs!$B$16)*(Inputs!$B$21/(1/Inputs!$B$16))^(28/60)</f>
        <v>5.54657626250506E-006</v>
      </c>
      <c r="D31" s="35" t="n">
        <f aca="false">(B31+C31)/2</f>
        <v>5.30693318955841E-006</v>
      </c>
      <c r="E31" s="35" t="n">
        <f aca="false">C31-B31</f>
        <v>4.79286145893316E-007</v>
      </c>
      <c r="F31" s="35" t="n">
        <f aca="false">Inputs!$B$16*E31</f>
        <v>1.08529554876082</v>
      </c>
      <c r="G31" s="35" t="n">
        <f aca="false">IF(D31&lt;=Inputs!$B$21,1,IF(D31&lt;=Inputs!$B$22,2,IF(D31&lt;=Inputs!$B$23,3,IF(D31&lt;=Inputs!$B$24,4,5))))</f>
        <v>1</v>
      </c>
      <c r="H31" s="35" t="n">
        <f aca="false">Fit!$B$10*D31^(-1/Fit!$B$9)</f>
        <v>76144.5389132386</v>
      </c>
      <c r="I31" s="35" t="n">
        <f aca="false">EXP(Fit!$B$16+Fit!$B$15*-NORMSINV(D31))</f>
        <v>1592.54660683038</v>
      </c>
      <c r="J31" s="35" t="n">
        <f aca="false">Fit!$B$22*LN(1/D31)^(1/Fit!$B$21)</f>
        <v>527.431501950357</v>
      </c>
      <c r="K31" s="35" t="n">
        <f aca="false">MAX(0,Fit!$B$28+Fit!$B$27*-NORMSINV(D31))</f>
        <v>317.933868761623</v>
      </c>
      <c r="L31" s="35" t="n">
        <f aca="false">INDEX(H31:K31,1,Inputs!$B$5)</f>
        <v>76144.5389132386</v>
      </c>
      <c r="M31" s="35" t="n">
        <f aca="false">L31*E31</f>
        <v>0.0364950225865497</v>
      </c>
      <c r="N31" s="35" t="n">
        <f aca="false">L31^$AB$7</f>
        <v>76144.5389132386</v>
      </c>
      <c r="O31" s="35" t="n">
        <f aca="false">N31*E31</f>
        <v>0.0364950225865497</v>
      </c>
      <c r="P31" s="35" t="n">
        <f aca="false">N31*$AB$3/($AB$4*$AB$1)</f>
        <v>513515391.231114</v>
      </c>
      <c r="Q31" s="35" t="n">
        <f aca="false">IF(G31&lt;=3,F31*SQRT(P31),0)</f>
        <v>24593.7500124444</v>
      </c>
      <c r="R31" s="35" t="n">
        <f aca="false">SQRT(P31/$AB$6)</f>
        <v>10470182768.2489</v>
      </c>
      <c r="S31" s="35" t="n">
        <f aca="false">2*$AB$6*R31</f>
        <v>0.0980910080745413</v>
      </c>
      <c r="T31" s="35" t="n">
        <f aca="false">IF(G31&lt;=3,F31*R31,0)</f>
        <v>11363242753.0928</v>
      </c>
      <c r="U31" s="35" t="n">
        <f aca="false">F31*P31</f>
        <v>557315968.323301</v>
      </c>
      <c r="V31" s="35" t="n">
        <f aca="false">H31^$AB$7*E31</f>
        <v>0.0364950225865497</v>
      </c>
      <c r="W31" s="35" t="n">
        <f aca="false">I31^$AB$7*E31</f>
        <v>0.000763285525343209</v>
      </c>
      <c r="X31" s="35" t="n">
        <f aca="false">J31^$AB$7*E31</f>
        <v>0.000252790611792509</v>
      </c>
      <c r="Y31" s="35" t="n">
        <f aca="false">K31^$AB$7*E31</f>
        <v>0.000152381298607709</v>
      </c>
    </row>
    <row r="32" customFormat="false" ht="15" hidden="false" customHeight="false" outlineLevel="0" collapsed="false">
      <c r="A32" s="35" t="n">
        <v>30</v>
      </c>
      <c r="B32" s="35" t="n">
        <f aca="false">C31</f>
        <v>5.54657626250506E-006</v>
      </c>
      <c r="C32" s="35" t="n">
        <f aca="false">(1/Inputs!$B$16)*(Inputs!$B$21/(1/Inputs!$B$16))^(29/60)</f>
        <v>6.07119535842865E-006</v>
      </c>
      <c r="D32" s="35" t="n">
        <f aca="false">(B32+C32)/2</f>
        <v>5.80888581046686E-006</v>
      </c>
      <c r="E32" s="35" t="n">
        <f aca="false">C32-B32</f>
        <v>5.24619095923591E-007</v>
      </c>
      <c r="F32" s="35" t="n">
        <f aca="false">Inputs!$B$16*E32</f>
        <v>1.18794748080938</v>
      </c>
      <c r="G32" s="35" t="n">
        <f aca="false">IF(D32&lt;=Inputs!$B$21,1,IF(D32&lt;=Inputs!$B$22,2,IF(D32&lt;=Inputs!$B$23,3,IF(D32&lt;=Inputs!$B$24,4,5))))</f>
        <v>1</v>
      </c>
      <c r="H32" s="35" t="n">
        <f aca="false">Fit!$B$10*D32^(-1/Fit!$B$9)</f>
        <v>71780.8343511365</v>
      </c>
      <c r="I32" s="35" t="n">
        <f aca="false">EXP(Fit!$B$16+Fit!$B$15*-NORMSINV(D32))</f>
        <v>1567.10931917254</v>
      </c>
      <c r="J32" s="35" t="n">
        <f aca="false">Fit!$B$22*LN(1/D32)^(1/Fit!$B$21)</f>
        <v>523.994489012654</v>
      </c>
      <c r="K32" s="35" t="n">
        <f aca="false">MAX(0,Fit!$B$28+Fit!$B$27*-NORMSINV(D32))</f>
        <v>316.70822524835</v>
      </c>
      <c r="L32" s="35" t="n">
        <f aca="false">INDEX(H32:K32,1,Inputs!$B$5)</f>
        <v>71780.8343511365</v>
      </c>
      <c r="M32" s="35" t="n">
        <f aca="false">L32*E32</f>
        <v>0.0376575964219343</v>
      </c>
      <c r="N32" s="35" t="n">
        <f aca="false">L32^$AB$7</f>
        <v>71780.8343511365</v>
      </c>
      <c r="O32" s="35" t="n">
        <f aca="false">N32*E32</f>
        <v>0.0376575964219343</v>
      </c>
      <c r="P32" s="35" t="n">
        <f aca="false">N32*$AB$3/($AB$4*$AB$1)</f>
        <v>484086761.320069</v>
      </c>
      <c r="Q32" s="35" t="n">
        <f aca="false">IF(G32&lt;=3,F32*SQRT(P32),0)</f>
        <v>26137.1869249214</v>
      </c>
      <c r="R32" s="35" t="n">
        <f aca="false">SQRT(P32/$AB$6)</f>
        <v>10165743167.5552</v>
      </c>
      <c r="S32" s="35" t="n">
        <f aca="false">2*$AB$6*R32</f>
        <v>0.0952388336673842</v>
      </c>
      <c r="T32" s="35" t="n">
        <f aca="false">IF(G32&lt;=3,F32*R32,0)</f>
        <v>12076368986.4524</v>
      </c>
      <c r="U32" s="35" t="n">
        <f aca="false">F32*P32</f>
        <v>575069648.603347</v>
      </c>
      <c r="V32" s="35" t="n">
        <f aca="false">H32^$AB$7*E32</f>
        <v>0.0376575964219343</v>
      </c>
      <c r="W32" s="35" t="n">
        <f aca="false">I32^$AB$7*E32</f>
        <v>0.00082213547423773</v>
      </c>
      <c r="X32" s="35" t="n">
        <f aca="false">J32^$AB$7*E32</f>
        <v>0.000274897515094762</v>
      </c>
      <c r="Y32" s="35" t="n">
        <f aca="false">K32^$AB$7*E32</f>
        <v>0.000166151182801355</v>
      </c>
    </row>
    <row r="33" customFormat="false" ht="15" hidden="false" customHeight="false" outlineLevel="0" collapsed="false">
      <c r="A33" s="35" t="n">
        <v>31</v>
      </c>
      <c r="B33" s="35" t="n">
        <f aca="false">C32</f>
        <v>6.07119535842865E-006</v>
      </c>
      <c r="C33" s="35" t="n">
        <f aca="false">(1/Inputs!$B$16)*(Inputs!$B$21/(1/Inputs!$B$16))^(30/60)</f>
        <v>6.64543519024083E-006</v>
      </c>
      <c r="D33" s="35" t="n">
        <f aca="false">(B33+C33)/2</f>
        <v>6.35831527433474E-006</v>
      </c>
      <c r="E33" s="35" t="n">
        <f aca="false">C33-B33</f>
        <v>5.74239831812181E-007</v>
      </c>
      <c r="F33" s="35" t="n">
        <f aca="false">Inputs!$B$16*E33</f>
        <v>1.3003086751555</v>
      </c>
      <c r="G33" s="35" t="n">
        <f aca="false">IF(D33&lt;=Inputs!$B$21,1,IF(D33&lt;=Inputs!$B$22,2,IF(D33&lt;=Inputs!$B$23,3,IF(D33&lt;=Inputs!$B$24,4,5))))</f>
        <v>1</v>
      </c>
      <c r="H33" s="35" t="n">
        <f aca="false">Fit!$B$10*D33^(-1/Fit!$B$9)</f>
        <v>67667.2057337717</v>
      </c>
      <c r="I33" s="35" t="n">
        <f aca="false">EXP(Fit!$B$16+Fit!$B$15*-NORMSINV(D33))</f>
        <v>1541.97607989164</v>
      </c>
      <c r="J33" s="35" t="n">
        <f aca="false">Fit!$B$22*LN(1/D33)^(1/Fit!$B$21)</f>
        <v>520.554264873706</v>
      </c>
      <c r="K33" s="35" t="n">
        <f aca="false">MAX(0,Fit!$B$28+Fit!$B$27*-NORMSINV(D33))</f>
        <v>315.477534164453</v>
      </c>
      <c r="L33" s="35" t="n">
        <f aca="false">INDEX(H33:K33,1,Inputs!$B$5)</f>
        <v>67667.2057337717</v>
      </c>
      <c r="M33" s="35" t="n">
        <f aca="false">L33*E33</f>
        <v>0.0388572048397613</v>
      </c>
      <c r="N33" s="35" t="n">
        <f aca="false">L33^$AB$7</f>
        <v>67667.2057337717</v>
      </c>
      <c r="O33" s="35" t="n">
        <f aca="false">N33*E33</f>
        <v>0.0388572048397613</v>
      </c>
      <c r="P33" s="35" t="n">
        <f aca="false">N33*$AB$3/($AB$4*$AB$1)</f>
        <v>456344632.482273</v>
      </c>
      <c r="Q33" s="35" t="n">
        <f aca="false">IF(G33&lt;=3,F33*SQRT(P33),0)</f>
        <v>27777.4857434351</v>
      </c>
      <c r="R33" s="35" t="n">
        <f aca="false">SQRT(P33/$AB$6)</f>
        <v>9870155701.77853</v>
      </c>
      <c r="S33" s="35" t="n">
        <f aca="false">2*$AB$6*R33</f>
        <v>0.0924695914168898</v>
      </c>
      <c r="T33" s="35" t="n">
        <f aca="false">IF(G33&lt;=3,F33*R33,0)</f>
        <v>12834249084.1582</v>
      </c>
      <c r="U33" s="35" t="n">
        <f aca="false">F33*P33</f>
        <v>593388884.477349</v>
      </c>
      <c r="V33" s="35" t="n">
        <f aca="false">H33^$AB$7*E33</f>
        <v>0.0388572048397613</v>
      </c>
      <c r="W33" s="35" t="n">
        <f aca="false">I33^$AB$7*E33</f>
        <v>0.000885464084775382</v>
      </c>
      <c r="X33" s="35" t="n">
        <f aca="false">J33^$AB$7*E33</f>
        <v>0.00029892299351019</v>
      </c>
      <c r="Y33" s="35" t="n">
        <f aca="false">K33^$AB$7*E33</f>
        <v>0.000181159766159117</v>
      </c>
    </row>
    <row r="34" customFormat="false" ht="15" hidden="false" customHeight="false" outlineLevel="0" collapsed="false">
      <c r="A34" s="35" t="n">
        <v>32</v>
      </c>
      <c r="B34" s="35" t="n">
        <f aca="false">C33</f>
        <v>6.64543519024083E-006</v>
      </c>
      <c r="C34" s="35" t="n">
        <f aca="false">(1/Inputs!$B$16)*(Inputs!$B$21/(1/Inputs!$B$16))^(31/60)</f>
        <v>7.27398910107238E-006</v>
      </c>
      <c r="D34" s="35" t="n">
        <f aca="false">(B34+C34)/2</f>
        <v>6.95971214565661E-006</v>
      </c>
      <c r="E34" s="35" t="n">
        <f aca="false">C34-B34</f>
        <v>6.28553910831545E-007</v>
      </c>
      <c r="F34" s="35" t="n">
        <f aca="false">Inputs!$B$16*E34</f>
        <v>1.42329747568695</v>
      </c>
      <c r="G34" s="35" t="n">
        <f aca="false">IF(D34&lt;=Inputs!$B$21,1,IF(D34&lt;=Inputs!$B$22,2,IF(D34&lt;=Inputs!$B$23,3,IF(D34&lt;=Inputs!$B$24,4,5))))</f>
        <v>1</v>
      </c>
      <c r="H34" s="35" t="n">
        <f aca="false">Fit!$B$10*D34^(-1/Fit!$B$9)</f>
        <v>63789.3216651372</v>
      </c>
      <c r="I34" s="35" t="n">
        <f aca="false">EXP(Fit!$B$16+Fit!$B$15*-NORMSINV(D34))</f>
        <v>1517.14409673368</v>
      </c>
      <c r="J34" s="35" t="n">
        <f aca="false">Fit!$B$22*LN(1/D34)^(1/Fit!$B$21)</f>
        <v>517.110802245217</v>
      </c>
      <c r="K34" s="35" t="n">
        <f aca="false">MAX(0,Fit!$B$28+Fit!$B$27*-NORMSINV(D34))</f>
        <v>314.241734181793</v>
      </c>
      <c r="L34" s="35" t="n">
        <f aca="false">INDEX(H34:K34,1,Inputs!$B$5)</f>
        <v>63789.3216651372</v>
      </c>
      <c r="M34" s="35" t="n">
        <f aca="false">L34*E34</f>
        <v>0.0400950276019134</v>
      </c>
      <c r="N34" s="35" t="n">
        <f aca="false">L34^$AB$7</f>
        <v>63789.3216651372</v>
      </c>
      <c r="O34" s="35" t="n">
        <f aca="false">N34*E34</f>
        <v>0.0400950276019134</v>
      </c>
      <c r="P34" s="35" t="n">
        <f aca="false">N34*$AB$3/($AB$4*$AB$1)</f>
        <v>430192354.419066</v>
      </c>
      <c r="Q34" s="35" t="n">
        <f aca="false">IF(G34&lt;=3,F34*SQRT(P34),0)</f>
        <v>29520.7252579675</v>
      </c>
      <c r="R34" s="35" t="n">
        <f aca="false">SQRT(P34/$AB$6)</f>
        <v>9583162979.00138</v>
      </c>
      <c r="S34" s="35" t="n">
        <f aca="false">2*$AB$6*R34</f>
        <v>0.0897808699198174</v>
      </c>
      <c r="T34" s="35" t="n">
        <f aca="false">IF(G34&lt;=3,F34*R34,0)</f>
        <v>13639691677.1093</v>
      </c>
      <c r="U34" s="35" t="n">
        <f aca="false">F34*P34</f>
        <v>612291692.104483</v>
      </c>
      <c r="V34" s="35" t="n">
        <f aca="false">H34^$AB$7*E34</f>
        <v>0.0400950276019134</v>
      </c>
      <c r="W34" s="35" t="n">
        <f aca="false">I34^$AB$7*E34</f>
        <v>0.000953606855296945</v>
      </c>
      <c r="X34" s="35" t="n">
        <f aca="false">J34^$AB$7*E34</f>
        <v>0.000325032017084469</v>
      </c>
      <c r="Y34" s="35" t="n">
        <f aca="false">K34^$AB$7*E34</f>
        <v>0.000197517870966453</v>
      </c>
    </row>
    <row r="35" customFormat="false" ht="15" hidden="false" customHeight="false" outlineLevel="0" collapsed="false">
      <c r="A35" s="35" t="n">
        <v>33</v>
      </c>
      <c r="B35" s="35" t="n">
        <f aca="false">C34</f>
        <v>7.27398910107238E-006</v>
      </c>
      <c r="C35" s="35" t="n">
        <f aca="false">(1/Inputs!$B$16)*(Inputs!$B$21/(1/Inputs!$B$16))^(32/60)</f>
        <v>7.96199435068182E-006</v>
      </c>
      <c r="D35" s="35" t="n">
        <f aca="false">(B35+C35)/2</f>
        <v>7.6179917258771E-006</v>
      </c>
      <c r="E35" s="35" t="n">
        <f aca="false">C35-B35</f>
        <v>6.88005249609446E-007</v>
      </c>
      <c r="F35" s="35" t="n">
        <f aca="false">Inputs!$B$16*E35</f>
        <v>1.55791908721563</v>
      </c>
      <c r="G35" s="35" t="n">
        <f aca="false">IF(D35&lt;=Inputs!$B$21,1,IF(D35&lt;=Inputs!$B$22,2,IF(D35&lt;=Inputs!$B$23,3,IF(D35&lt;=Inputs!$B$24,4,5))))</f>
        <v>1</v>
      </c>
      <c r="H35" s="35" t="n">
        <f aca="false">Fit!$B$10*D35^(-1/Fit!$B$9)</f>
        <v>60133.6720553769</v>
      </c>
      <c r="I35" s="35" t="n">
        <f aca="false">EXP(Fit!$B$16+Fit!$B$15*-NORMSINV(D35))</f>
        <v>1492.61059782365</v>
      </c>
      <c r="J35" s="35" t="n">
        <f aca="false">Fit!$B$22*LN(1/D35)^(1/Fit!$B$21)</f>
        <v>513.664073397455</v>
      </c>
      <c r="K35" s="35" t="n">
        <f aca="false">MAX(0,Fit!$B$28+Fit!$B$27*-NORMSINV(D35))</f>
        <v>313.000762736919</v>
      </c>
      <c r="L35" s="35" t="n">
        <f aca="false">INDEX(H35:K35,1,Inputs!$B$5)</f>
        <v>60133.6720553769</v>
      </c>
      <c r="M35" s="35" t="n">
        <f aca="false">L35*E35</f>
        <v>0.0413722820523922</v>
      </c>
      <c r="N35" s="35" t="n">
        <f aca="false">L35^$AB$7</f>
        <v>60133.6720553769</v>
      </c>
      <c r="O35" s="35" t="n">
        <f aca="false">N35*E35</f>
        <v>0.0413722820523922</v>
      </c>
      <c r="P35" s="35" t="n">
        <f aca="false">N35*$AB$3/($AB$4*$AB$1)</f>
        <v>405538815.684018</v>
      </c>
      <c r="Q35" s="35" t="n">
        <f aca="false">IF(G35&lt;=3,F35*SQRT(P35),0)</f>
        <v>31373.3657468388</v>
      </c>
      <c r="R35" s="35" t="n">
        <f aca="false">SQRT(P35/$AB$6)</f>
        <v>9304515091.44422</v>
      </c>
      <c r="S35" s="35" t="n">
        <f aca="false">2*$AB$6*R35</f>
        <v>0.0871703278888596</v>
      </c>
      <c r="T35" s="35" t="n">
        <f aca="false">IF(G35&lt;=3,F35*R35,0)</f>
        <v>14495681658.2468</v>
      </c>
      <c r="U35" s="35" t="n">
        <f aca="false">F35*P35</f>
        <v>631796661.560952</v>
      </c>
      <c r="V35" s="35" t="n">
        <f aca="false">H35^$AB$7*E35</f>
        <v>0.0413722820523922</v>
      </c>
      <c r="W35" s="35" t="n">
        <f aca="false">I35^$AB$7*E35</f>
        <v>0.00102692392692536</v>
      </c>
      <c r="X35" s="35" t="n">
        <f aca="false">J35^$AB$7*E35</f>
        <v>0.000353403579033221</v>
      </c>
      <c r="Y35" s="35" t="n">
        <f aca="false">K35^$AB$7*E35</f>
        <v>0.000215346167894761</v>
      </c>
    </row>
    <row r="36" customFormat="false" ht="15" hidden="false" customHeight="false" outlineLevel="0" collapsed="false">
      <c r="A36" s="35" t="n">
        <v>34</v>
      </c>
      <c r="B36" s="35" t="n">
        <f aca="false">C35</f>
        <v>7.96199435068182E-006</v>
      </c>
      <c r="C36" s="35" t="n">
        <f aca="false">(1/Inputs!$B$16)*(Inputs!$B$21/(1/Inputs!$B$16))^(33/60)</f>
        <v>8.71507410300402E-006</v>
      </c>
      <c r="D36" s="35" t="n">
        <f aca="false">(B36+C36)/2</f>
        <v>8.33853422684292E-006</v>
      </c>
      <c r="E36" s="35" t="n">
        <f aca="false">C36-B36</f>
        <v>7.53079752322191E-007</v>
      </c>
      <c r="F36" s="35" t="n">
        <f aca="false">Inputs!$B$16*E36</f>
        <v>1.70527379115837</v>
      </c>
      <c r="G36" s="35" t="n">
        <f aca="false">IF(D36&lt;=Inputs!$B$21,1,IF(D36&lt;=Inputs!$B$22,2,IF(D36&lt;=Inputs!$B$23,3,IF(D36&lt;=Inputs!$B$24,4,5))))</f>
        <v>1</v>
      </c>
      <c r="H36" s="35" t="n">
        <f aca="false">Fit!$B$10*D36^(-1/Fit!$B$9)</f>
        <v>56687.5210532283</v>
      </c>
      <c r="I36" s="35" t="n">
        <f aca="false">EXP(Fit!$B$16+Fit!$B$15*-NORMSINV(D36))</f>
        <v>1468.37283154063</v>
      </c>
      <c r="J36" s="35" t="n">
        <f aca="false">Fit!$B$22*LN(1/D36)^(1/Fit!$B$21)</f>
        <v>510.214050148671</v>
      </c>
      <c r="K36" s="35" t="n">
        <f aca="false">MAX(0,Fit!$B$28+Fit!$B$27*-NORMSINV(D36))</f>
        <v>311.754555996261</v>
      </c>
      <c r="L36" s="35" t="n">
        <f aca="false">INDEX(H36:K36,1,Inputs!$B$5)</f>
        <v>56687.5210532283</v>
      </c>
      <c r="M36" s="35" t="n">
        <f aca="false">L36*E36</f>
        <v>0.0426902243145242</v>
      </c>
      <c r="N36" s="35" t="n">
        <f aca="false">L36^$AB$7</f>
        <v>56687.5210532283</v>
      </c>
      <c r="O36" s="35" t="n">
        <f aca="false">N36*E36</f>
        <v>0.0426902243145242</v>
      </c>
      <c r="P36" s="35" t="n">
        <f aca="false">N36*$AB$3/($AB$4*$AB$1)</f>
        <v>382298126.261415</v>
      </c>
      <c r="Q36" s="35" t="n">
        <f aca="false">IF(G36&lt;=3,F36*SQRT(P36),0)</f>
        <v>33342.2729178811</v>
      </c>
      <c r="R36" s="35" t="n">
        <f aca="false">SQRT(P36/$AB$6)</f>
        <v>9033969397.8506</v>
      </c>
      <c r="S36" s="35" t="n">
        <f aca="false">2*$AB$6*R36</f>
        <v>0.0846356921138948</v>
      </c>
      <c r="T36" s="35" t="n">
        <f aca="false">IF(G36&lt;=3,F36*R36,0)</f>
        <v>15405391244.2814</v>
      </c>
      <c r="U36" s="35" t="n">
        <f aca="false">F36*P36</f>
        <v>651922975.122544</v>
      </c>
      <c r="V36" s="35" t="n">
        <f aca="false">H36^$AB$7*E36</f>
        <v>0.0426902243145242</v>
      </c>
      <c r="W36" s="35" t="n">
        <f aca="false">I36^$AB$7*E36</f>
        <v>0.00110580184829325</v>
      </c>
      <c r="X36" s="35" t="n">
        <f aca="false">J36^$AB$7*E36</f>
        <v>0.000384231870517263</v>
      </c>
      <c r="Y36" s="35" t="n">
        <f aca="false">K36^$AB$7*E36</f>
        <v>0.000234776043814979</v>
      </c>
    </row>
    <row r="37" customFormat="false" ht="15" hidden="false" customHeight="false" outlineLevel="0" collapsed="false">
      <c r="A37" s="35" t="n">
        <v>35</v>
      </c>
      <c r="B37" s="35" t="n">
        <f aca="false">C36</f>
        <v>8.71507410300402E-006</v>
      </c>
      <c r="C37" s="35" t="n">
        <f aca="false">(1/Inputs!$B$16)*(Inputs!$B$21/(1/Inputs!$B$16))^(34/60)</f>
        <v>9.53938338506194E-006</v>
      </c>
      <c r="D37" s="35" t="n">
        <f aca="false">(B37+C37)/2</f>
        <v>9.12722874403298E-006</v>
      </c>
      <c r="E37" s="35" t="n">
        <f aca="false">C37-B37</f>
        <v>8.2430928205792E-007</v>
      </c>
      <c r="F37" s="35" t="n">
        <f aca="false">Inputs!$B$16*E37</f>
        <v>1.86656593829196</v>
      </c>
      <c r="G37" s="35" t="n">
        <f aca="false">IF(D37&lt;=Inputs!$B$21,1,IF(D37&lt;=Inputs!$B$22,2,IF(D37&lt;=Inputs!$B$23,3,IF(D37&lt;=Inputs!$B$24,4,5))))</f>
        <v>1</v>
      </c>
      <c r="H37" s="35" t="n">
        <f aca="false">Fit!$B$10*D37^(-1/Fit!$B$9)</f>
        <v>53438.862675822</v>
      </c>
      <c r="I37" s="35" t="n">
        <f aca="false">EXP(Fit!$B$16+Fit!$B$15*-NORMSINV(D37))</f>
        <v>1444.42806639338</v>
      </c>
      <c r="J37" s="35" t="n">
        <f aca="false">Fit!$B$22*LN(1/D37)^(1/Fit!$B$21)</f>
        <v>506.760703854179</v>
      </c>
      <c r="K37" s="35" t="n">
        <f aca="false">MAX(0,Fit!$B$28+Fit!$B$27*-NORMSINV(D37))</f>
        <v>310.503048820044</v>
      </c>
      <c r="L37" s="35" t="n">
        <f aca="false">INDEX(H37:K37,1,Inputs!$B$5)</f>
        <v>53438.862675822</v>
      </c>
      <c r="M37" s="35" t="n">
        <f aca="false">L37*E37</f>
        <v>0.0440501505262987</v>
      </c>
      <c r="N37" s="35" t="n">
        <f aca="false">L37^$AB$7</f>
        <v>53438.862675822</v>
      </c>
      <c r="O37" s="35" t="n">
        <f aca="false">N37*E37</f>
        <v>0.0440501505262987</v>
      </c>
      <c r="P37" s="35" t="n">
        <f aca="false">N37*$AB$3/($AB$4*$AB$1)</f>
        <v>360389318.335598</v>
      </c>
      <c r="Q37" s="35" t="n">
        <f aca="false">IF(G37&lt;=3,F37*SQRT(P37),0)</f>
        <v>35434.7433520887</v>
      </c>
      <c r="R37" s="35" t="n">
        <f aca="false">SQRT(P37/$AB$6)</f>
        <v>8771290312.19976</v>
      </c>
      <c r="S37" s="35" t="n">
        <f aca="false">2*$AB$6*R37</f>
        <v>0.0821747554825184</v>
      </c>
      <c r="T37" s="35" t="n">
        <f aca="false">IF(G37&lt;=3,F37*R37,0)</f>
        <v>16372191731.6223</v>
      </c>
      <c r="U37" s="35" t="n">
        <f aca="false">F37*P37</f>
        <v>672690426.129484</v>
      </c>
      <c r="V37" s="35" t="n">
        <f aca="false">H37^$AB$7*E37</f>
        <v>0.0440501505262987</v>
      </c>
      <c r="W37" s="35" t="n">
        <f aca="false">I37^$AB$7*E37</f>
        <v>0.00119065546239304</v>
      </c>
      <c r="X37" s="35" t="n">
        <f aca="false">J37^$AB$7*E37</f>
        <v>0.000417727551969205</v>
      </c>
      <c r="Y37" s="35" t="n">
        <f aca="false">K37^$AB$7*E37</f>
        <v>0.000255950545249646</v>
      </c>
    </row>
    <row r="38" customFormat="false" ht="15" hidden="false" customHeight="false" outlineLevel="0" collapsed="false">
      <c r="A38" s="35" t="n">
        <v>36</v>
      </c>
      <c r="B38" s="35" t="n">
        <f aca="false">C37</f>
        <v>9.53938338506194E-006</v>
      </c>
      <c r="C38" s="35" t="n">
        <f aca="false">(1/Inputs!$B$16)*(Inputs!$B$21/(1/Inputs!$B$16))^(35/60)</f>
        <v>1.04416593928707E-005</v>
      </c>
      <c r="D38" s="35" t="n">
        <f aca="false">(B38+C38)/2</f>
        <v>9.9905213889663E-006</v>
      </c>
      <c r="E38" s="35" t="n">
        <f aca="false">C38-B38</f>
        <v>9.0227600780873E-007</v>
      </c>
      <c r="F38" s="35" t="n">
        <f aca="false">Inputs!$B$16*E38</f>
        <v>2.04311379208209</v>
      </c>
      <c r="G38" s="35" t="n">
        <f aca="false">IF(D38&lt;=Inputs!$B$21,1,IF(D38&lt;=Inputs!$B$22,2,IF(D38&lt;=Inputs!$B$23,3,IF(D38&lt;=Inputs!$B$24,4,5))))</f>
        <v>1</v>
      </c>
      <c r="H38" s="35" t="n">
        <f aca="false">Fit!$B$10*D38^(-1/Fit!$B$9)</f>
        <v>50376.3789812561</v>
      </c>
      <c r="I38" s="35" t="n">
        <f aca="false">EXP(Fit!$B$16+Fit!$B$15*-NORMSINV(D38))</f>
        <v>1420.77359089653</v>
      </c>
      <c r="J38" s="35" t="n">
        <f aca="false">Fit!$B$22*LN(1/D38)^(1/Fit!$B$21)</f>
        <v>503.304005395082</v>
      </c>
      <c r="K38" s="35" t="n">
        <f aca="false">MAX(0,Fit!$B$28+Fit!$B$27*-NORMSINV(D38))</f>
        <v>309.246174724905</v>
      </c>
      <c r="L38" s="35" t="n">
        <f aca="false">INDEX(H38:K38,1,Inputs!$B$5)</f>
        <v>50376.3789812561</v>
      </c>
      <c r="M38" s="35" t="n">
        <f aca="false">L38*E38</f>
        <v>0.0454533981150674</v>
      </c>
      <c r="N38" s="35" t="n">
        <f aca="false">L38^$AB$7</f>
        <v>50376.3789812561</v>
      </c>
      <c r="O38" s="35" t="n">
        <f aca="false">N38*E38</f>
        <v>0.0454533981150674</v>
      </c>
      <c r="P38" s="35" t="n">
        <f aca="false">N38*$AB$3/($AB$4*$AB$1)</f>
        <v>339736064.208657</v>
      </c>
      <c r="Q38" s="35" t="n">
        <f aca="false">IF(G38&lt;=3,F38*SQRT(P38),0)</f>
        <v>37658.531544052</v>
      </c>
      <c r="R38" s="35" t="n">
        <f aca="false">SQRT(P38/$AB$6)</f>
        <v>8516249098.56282</v>
      </c>
      <c r="S38" s="35" t="n">
        <f aca="false">2*$AB$6*R38</f>
        <v>0.079785375058132</v>
      </c>
      <c r="T38" s="35" t="n">
        <f aca="false">IF(G38&lt;=3,F38*R38,0)</f>
        <v>17399665990.0804</v>
      </c>
      <c r="U38" s="35" t="n">
        <f aca="false">F38*P38</f>
        <v>694119438.452392</v>
      </c>
      <c r="V38" s="35" t="n">
        <f aca="false">H38^$AB$7*E38</f>
        <v>0.0454533981150674</v>
      </c>
      <c r="W38" s="35" t="n">
        <f aca="false">I38^$AB$7*E38</f>
        <v>0.00128192992359419</v>
      </c>
      <c r="X38" s="35" t="n">
        <f aca="false">J38^$AB$7*E38</f>
        <v>0.000454119128702018</v>
      </c>
      <c r="Y38" s="35" t="n">
        <f aca="false">K38^$AB$7*E38</f>
        <v>0.000279025403960909</v>
      </c>
    </row>
    <row r="39" customFormat="false" ht="15" hidden="false" customHeight="false" outlineLevel="0" collapsed="false">
      <c r="A39" s="35" t="n">
        <v>37</v>
      </c>
      <c r="B39" s="35" t="n">
        <f aca="false">C38</f>
        <v>1.04416593928707E-005</v>
      </c>
      <c r="C39" s="35" t="n">
        <f aca="false">(1/Inputs!$B$16)*(Inputs!$B$21/(1/Inputs!$B$16))^(36/60)</f>
        <v>1.14292765554905E-005</v>
      </c>
      <c r="D39" s="35" t="n">
        <f aca="false">(B39+C39)/2</f>
        <v>1.09354679741806E-005</v>
      </c>
      <c r="E39" s="35" t="n">
        <f aca="false">C39-B39</f>
        <v>9.87617162619848E-007</v>
      </c>
      <c r="F39" s="35" t="n">
        <f aca="false">Inputs!$B$16*E39</f>
        <v>2.23636030303638</v>
      </c>
      <c r="G39" s="35" t="n">
        <f aca="false">IF(D39&lt;=Inputs!$B$21,1,IF(D39&lt;=Inputs!$B$22,2,IF(D39&lt;=Inputs!$B$23,3,IF(D39&lt;=Inputs!$B$24,4,5))))</f>
        <v>1</v>
      </c>
      <c r="H39" s="35" t="n">
        <f aca="false">Fit!$B$10*D39^(-1/Fit!$B$9)</f>
        <v>47489.4006382239</v>
      </c>
      <c r="I39" s="35" t="n">
        <f aca="false">EXP(Fit!$B$16+Fit!$B$15*-NORMSINV(D39))</f>
        <v>1397.40671344717</v>
      </c>
      <c r="J39" s="35" t="n">
        <f aca="false">Fit!$B$22*LN(1/D39)^(1/Fit!$B$21)</f>
        <v>499.843925166639</v>
      </c>
      <c r="K39" s="35" t="n">
        <f aca="false">MAX(0,Fit!$B$28+Fit!$B$27*-NORMSINV(D39))</f>
        <v>307.983865845109</v>
      </c>
      <c r="L39" s="35" t="n">
        <f aca="false">INDEX(H39:K39,1,Inputs!$B$5)</f>
        <v>47489.4006382239</v>
      </c>
      <c r="M39" s="35" t="n">
        <f aca="false">L39*E39</f>
        <v>0.0469013471128399</v>
      </c>
      <c r="N39" s="35" t="n">
        <f aca="false">L39^$AB$7</f>
        <v>47489.4006382239</v>
      </c>
      <c r="O39" s="35" t="n">
        <f aca="false">N39*E39</f>
        <v>0.0469013471128399</v>
      </c>
      <c r="P39" s="35" t="n">
        <f aca="false">N39*$AB$3/($AB$4*$AB$1)</f>
        <v>320266410.38375</v>
      </c>
      <c r="Q39" s="35" t="n">
        <f aca="false">IF(G39&lt;=3,F39*SQRT(P39),0)</f>
        <v>40021.8786393649</v>
      </c>
      <c r="R39" s="35" t="n">
        <f aca="false">SQRT(P39/$AB$6)</f>
        <v>8268623671.92395</v>
      </c>
      <c r="S39" s="35" t="n">
        <f aca="false">2*$AB$6*R39</f>
        <v>0.0774654702139152</v>
      </c>
      <c r="T39" s="35" t="n">
        <f aca="false">IF(G39&lt;=3,F39*R39,0)</f>
        <v>18491621740.6377</v>
      </c>
      <c r="U39" s="35" t="n">
        <f aca="false">F39*P39</f>
        <v>716231086.578177</v>
      </c>
      <c r="V39" s="35" t="n">
        <f aca="false">H39^$AB$7*E39</f>
        <v>0.0469013471128399</v>
      </c>
      <c r="W39" s="35" t="n">
        <f aca="false">I39^$AB$7*E39</f>
        <v>0.00138010285336063</v>
      </c>
      <c r="X39" s="35" t="n">
        <f aca="false">J39^$AB$7*E39</f>
        <v>0.000493654439125844</v>
      </c>
      <c r="Y39" s="35" t="n">
        <f aca="false">K39^$AB$7*E39</f>
        <v>0.000304170151718639</v>
      </c>
    </row>
    <row r="40" customFormat="false" ht="15" hidden="false" customHeight="false" outlineLevel="0" collapsed="false">
      <c r="A40" s="35" t="n">
        <v>38</v>
      </c>
      <c r="B40" s="35" t="n">
        <f aca="false">C39</f>
        <v>1.14292765554905E-005</v>
      </c>
      <c r="C40" s="35" t="n">
        <f aca="false">(1/Inputs!$B$16)*(Inputs!$B$21/(1/Inputs!$B$16))^(37/60)</f>
        <v>1.25103068072758E-005</v>
      </c>
      <c r="D40" s="35" t="n">
        <f aca="false">(B40+C40)/2</f>
        <v>1.19697916813832E-005</v>
      </c>
      <c r="E40" s="35" t="n">
        <f aca="false">C40-B40</f>
        <v>1.08103025178529E-006</v>
      </c>
      <c r="F40" s="35" t="n">
        <f aca="false">Inputs!$B$16*E40</f>
        <v>2.44788490214261</v>
      </c>
      <c r="G40" s="35" t="n">
        <f aca="false">IF(D40&lt;=Inputs!$B$21,1,IF(D40&lt;=Inputs!$B$22,2,IF(D40&lt;=Inputs!$B$23,3,IF(D40&lt;=Inputs!$B$24,4,5))))</f>
        <v>1</v>
      </c>
      <c r="H40" s="35" t="n">
        <f aca="false">Fit!$B$10*D40^(-1/Fit!$B$9)</f>
        <v>44767.8697553245</v>
      </c>
      <c r="I40" s="35" t="n">
        <f aca="false">EXP(Fit!$B$16+Fit!$B$15*-NORMSINV(D40))</f>
        <v>1374.32476220215</v>
      </c>
      <c r="J40" s="35" t="n">
        <f aca="false">Fit!$B$22*LN(1/D40)^(1/Fit!$B$21)</f>
        <v>496.380433066247</v>
      </c>
      <c r="K40" s="35" t="n">
        <f aca="false">MAX(0,Fit!$B$28+Fit!$B$27*-NORMSINV(D40))</f>
        <v>306.716052892338</v>
      </c>
      <c r="L40" s="35" t="n">
        <f aca="false">INDEX(H40:K40,1,Inputs!$B$5)</f>
        <v>44767.8697553245</v>
      </c>
      <c r="M40" s="35" t="n">
        <f aca="false">L40*E40</f>
        <v>0.0483954215134894</v>
      </c>
      <c r="N40" s="35" t="n">
        <f aca="false">L40^$AB$7</f>
        <v>44767.8697553245</v>
      </c>
      <c r="O40" s="35" t="n">
        <f aca="false">N40*E40</f>
        <v>0.0483954215134894</v>
      </c>
      <c r="P40" s="35" t="n">
        <f aca="false">N40*$AB$3/($AB$4*$AB$1)</f>
        <v>301912526.887626</v>
      </c>
      <c r="Q40" s="35" t="n">
        <f aca="false">IF(G40&lt;=3,F40*SQRT(P40),0)</f>
        <v>42533.5429755244</v>
      </c>
      <c r="R40" s="35" t="n">
        <f aca="false">SQRT(P40/$AB$6)</f>
        <v>8028198404.7929</v>
      </c>
      <c r="S40" s="35" t="n">
        <f aca="false">2*$AB$6*R40</f>
        <v>0.0752130208210553</v>
      </c>
      <c r="T40" s="35" t="n">
        <f aca="false">IF(G40&lt;=3,F40*R40,0)</f>
        <v>19652105666.4979</v>
      </c>
      <c r="U40" s="35" t="n">
        <f aca="false">F40*P40</f>
        <v>739047116.335943</v>
      </c>
      <c r="V40" s="35" t="n">
        <f aca="false">H40^$AB$7*E40</f>
        <v>0.0483954215134894</v>
      </c>
      <c r="W40" s="35" t="n">
        <f aca="false">I40^$AB$7*E40</f>
        <v>0.00148568664371814</v>
      </c>
      <c r="X40" s="35" t="n">
        <f aca="false">J40^$AB$7*E40</f>
        <v>0.000536602264538895</v>
      </c>
      <c r="Y40" s="35" t="n">
        <f aca="false">K40^$AB$7*E40</f>
        <v>0.000331569331884794</v>
      </c>
    </row>
    <row r="41" customFormat="false" ht="15" hidden="false" customHeight="false" outlineLevel="0" collapsed="false">
      <c r="A41" s="35" t="n">
        <v>39</v>
      </c>
      <c r="B41" s="35" t="n">
        <f aca="false">C40</f>
        <v>1.25103068072758E-005</v>
      </c>
      <c r="C41" s="35" t="n">
        <f aca="false">(1/Inputs!$B$16)*(Inputs!$B$21/(1/Inputs!$B$16))^(38/60)</f>
        <v>1.36935855609327E-005</v>
      </c>
      <c r="D41" s="35" t="n">
        <f aca="false">(B41+C41)/2</f>
        <v>1.31019461841042E-005</v>
      </c>
      <c r="E41" s="35" t="n">
        <f aca="false">C41-B41</f>
        <v>1.18327875365687E-006</v>
      </c>
      <c r="F41" s="35" t="n">
        <f aca="false">Inputs!$B$16*E41</f>
        <v>2.67941640978061</v>
      </c>
      <c r="G41" s="35" t="n">
        <f aca="false">IF(D41&lt;=Inputs!$B$21,1,IF(D41&lt;=Inputs!$B$22,2,IF(D41&lt;=Inputs!$B$23,3,IF(D41&lt;=Inputs!$B$24,4,5))))</f>
        <v>1</v>
      </c>
      <c r="H41" s="35" t="n">
        <f aca="false">Fit!$B$10*D41^(-1/Fit!$B$9)</f>
        <v>42202.3048405577</v>
      </c>
      <c r="I41" s="35" t="n">
        <f aca="false">EXP(Fit!$B$16+Fit!$B$15*-NORMSINV(D41))</f>
        <v>1351.52508495568</v>
      </c>
      <c r="J41" s="35" t="n">
        <f aca="false">Fit!$B$22*LN(1/D41)^(1/Fit!$B$21)</f>
        <v>492.91349848103</v>
      </c>
      <c r="K41" s="35" t="n">
        <f aca="false">MAX(0,Fit!$B$28+Fit!$B$27*-NORMSINV(D41))</f>
        <v>305.442665113968</v>
      </c>
      <c r="L41" s="35" t="n">
        <f aca="false">INDEX(H41:K41,1,Inputs!$B$5)</f>
        <v>42202.3048405577</v>
      </c>
      <c r="M41" s="35" t="n">
        <f aca="false">L41*E41</f>
        <v>0.0499370906731822</v>
      </c>
      <c r="N41" s="35" t="n">
        <f aca="false">L41^$AB$7</f>
        <v>42202.3048405577</v>
      </c>
      <c r="O41" s="35" t="n">
        <f aca="false">N41*E41</f>
        <v>0.0499370906731822</v>
      </c>
      <c r="P41" s="35" t="n">
        <f aca="false">N41*$AB$3/($AB$4*$AB$1)</f>
        <v>284610470.959013</v>
      </c>
      <c r="Q41" s="35" t="n">
        <f aca="false">IF(G41&lt;=3,F41*SQRT(P41),0)</f>
        <v>45202.8325394838</v>
      </c>
      <c r="R41" s="35" t="n">
        <f aca="false">SQRT(P41/$AB$6)</f>
        <v>7794763939.4408</v>
      </c>
      <c r="S41" s="35" t="n">
        <f aca="false">2*$AB$6*R41</f>
        <v>0.0730260654896577</v>
      </c>
      <c r="T41" s="35" t="n">
        <f aca="false">IF(G41&lt;=3,F41*R41,0)</f>
        <v>20885418409.7038</v>
      </c>
      <c r="U41" s="35" t="n">
        <f aca="false">F41*P41</f>
        <v>762589966.282966</v>
      </c>
      <c r="V41" s="35" t="n">
        <f aca="false">H41^$AB$7*E41</f>
        <v>0.0499370906731822</v>
      </c>
      <c r="W41" s="35" t="n">
        <f aca="false">I41^$AB$7*E41</f>
        <v>0.00159923091806235</v>
      </c>
      <c r="X41" s="35" t="n">
        <f aca="false">J41^$AB$7*E41</f>
        <v>0.000583254070143278</v>
      </c>
      <c r="Y41" s="35" t="n">
        <f aca="false">K41^$AB$7*E41</f>
        <v>0.000361423816089688</v>
      </c>
    </row>
    <row r="42" customFormat="false" ht="15" hidden="false" customHeight="false" outlineLevel="0" collapsed="false">
      <c r="A42" s="35" t="n">
        <v>40</v>
      </c>
      <c r="B42" s="35" t="n">
        <f aca="false">C41</f>
        <v>1.36935855609327E-005</v>
      </c>
      <c r="C42" s="35" t="n">
        <f aca="false">(1/Inputs!$B$16)*(Inputs!$B$21/(1/Inputs!$B$16))^(39/60)</f>
        <v>1.49887839205932E-005</v>
      </c>
      <c r="D42" s="35" t="n">
        <f aca="false">(B42+C42)/2</f>
        <v>1.4341184740763E-005</v>
      </c>
      <c r="E42" s="35" t="n">
        <f aca="false">C42-B42</f>
        <v>1.29519835966058E-006</v>
      </c>
      <c r="F42" s="35" t="n">
        <f aca="false">Inputs!$B$16*E42</f>
        <v>2.93284716561541</v>
      </c>
      <c r="G42" s="35" t="n">
        <f aca="false">IF(D42&lt;=Inputs!$B$21,1,IF(D42&lt;=Inputs!$B$22,2,IF(D42&lt;=Inputs!$B$23,3,IF(D42&lt;=Inputs!$B$24,4,5))))</f>
        <v>1</v>
      </c>
      <c r="H42" s="35" t="n">
        <f aca="false">Fit!$B$10*D42^(-1/Fit!$B$9)</f>
        <v>39783.7677689261</v>
      </c>
      <c r="I42" s="35" t="n">
        <f aca="false">EXP(Fit!$B$16+Fit!$B$15*-NORMSINV(D42))</f>
        <v>1329.00504901762</v>
      </c>
      <c r="J42" s="35" t="n">
        <f aca="false">Fit!$B$22*LN(1/D42)^(1/Fit!$B$21)</f>
        <v>489.443090275014</v>
      </c>
      <c r="K42" s="35" t="n">
        <f aca="false">MAX(0,Fit!$B$28+Fit!$B$27*-NORMSINV(D42))</f>
        <v>304.163630249769</v>
      </c>
      <c r="L42" s="35" t="n">
        <f aca="false">INDEX(H42:K42,1,Inputs!$B$5)</f>
        <v>39783.7677689261</v>
      </c>
      <c r="M42" s="35" t="n">
        <f aca="false">L42*E42</f>
        <v>0.0515278707554304</v>
      </c>
      <c r="N42" s="35" t="n">
        <f aca="false">L42^$AB$7</f>
        <v>39783.7677689261</v>
      </c>
      <c r="O42" s="35" t="n">
        <f aca="false">N42*E42</f>
        <v>0.0515278707554304</v>
      </c>
      <c r="P42" s="35" t="n">
        <f aca="false">N42*$AB$3/($AB$4*$AB$1)</f>
        <v>268299964.279591</v>
      </c>
      <c r="Q42" s="35" t="n">
        <f aca="false">IF(G42&lt;=3,F42*SQRT(P42),0)</f>
        <v>48039.6394621639</v>
      </c>
      <c r="R42" s="35" t="n">
        <f aca="false">SQRT(P42/$AB$6)</f>
        <v>7568117005.59535</v>
      </c>
      <c r="S42" s="35" t="n">
        <f aca="false">2*$AB$6*R42</f>
        <v>0.0709026998608051</v>
      </c>
      <c r="T42" s="35" t="n">
        <f aca="false">IF(G42&lt;=3,F42*R42,0)</f>
        <v>22196130508.9061</v>
      </c>
      <c r="U42" s="35" t="n">
        <f aca="false">F42*P42</f>
        <v>786882789.772114</v>
      </c>
      <c r="V42" s="35" t="n">
        <f aca="false">H42^$AB$7*E42</f>
        <v>0.0515278707554304</v>
      </c>
      <c r="W42" s="35" t="n">
        <f aca="false">I42^$AB$7*E42</f>
        <v>0.00172132515946824</v>
      </c>
      <c r="X42" s="35" t="n">
        <f aca="false">J42^$AB$7*E42</f>
        <v>0.000633925887671402</v>
      </c>
      <c r="Y42" s="35" t="n">
        <f aca="false">K42^$AB$7*E42</f>
        <v>0.000393952234967907</v>
      </c>
    </row>
    <row r="43" customFormat="false" ht="15" hidden="false" customHeight="false" outlineLevel="0" collapsed="false">
      <c r="A43" s="35" t="n">
        <v>41</v>
      </c>
      <c r="B43" s="35" t="n">
        <f aca="false">C42</f>
        <v>1.49887839205932E-005</v>
      </c>
      <c r="C43" s="35" t="n">
        <f aca="false">(1/Inputs!$B$16)*(Inputs!$B$21/(1/Inputs!$B$16))^(40/60)</f>
        <v>1.64064877251136E-005</v>
      </c>
      <c r="D43" s="35" t="n">
        <f aca="false">(B43+C43)/2</f>
        <v>1.56976358228534E-005</v>
      </c>
      <c r="E43" s="35" t="n">
        <f aca="false">C43-B43</f>
        <v>1.41770380452034E-006</v>
      </c>
      <c r="F43" s="35" t="n">
        <f aca="false">Inputs!$B$16*E43</f>
        <v>3.21024849495586</v>
      </c>
      <c r="G43" s="35" t="n">
        <f aca="false">IF(D43&lt;=Inputs!$B$21,1,IF(D43&lt;=Inputs!$B$22,2,IF(D43&lt;=Inputs!$B$23,3,IF(D43&lt;=Inputs!$B$24,4,5))))</f>
        <v>1</v>
      </c>
      <c r="H43" s="35" t="n">
        <f aca="false">Fit!$B$10*D43^(-1/Fit!$B$9)</f>
        <v>37503.8326430639</v>
      </c>
      <c r="I43" s="35" t="n">
        <f aca="false">EXP(Fit!$B$16+Fit!$B$15*-NORMSINV(D43))</f>
        <v>1306.76204109213</v>
      </c>
      <c r="J43" s="35" t="n">
        <f aca="false">Fit!$B$22*LN(1/D43)^(1/Fit!$B$21)</f>
        <v>485.969176775877</v>
      </c>
      <c r="K43" s="35" t="n">
        <f aca="false">MAX(0,Fit!$B$28+Fit!$B$27*-NORMSINV(D43))</f>
        <v>302.878874486956</v>
      </c>
      <c r="L43" s="35" t="n">
        <f aca="false">INDEX(H43:K43,1,Inputs!$B$5)</f>
        <v>37503.8326430639</v>
      </c>
      <c r="M43" s="35" t="n">
        <f aca="false">L43*E43</f>
        <v>0.0531693262221658</v>
      </c>
      <c r="N43" s="35" t="n">
        <f aca="false">L43^$AB$7</f>
        <v>37503.8326430639</v>
      </c>
      <c r="O43" s="35" t="n">
        <f aca="false">N43*E43</f>
        <v>0.0531693262221658</v>
      </c>
      <c r="P43" s="35" t="n">
        <f aca="false">N43*$AB$3/($AB$4*$AB$1)</f>
        <v>252924182.971457</v>
      </c>
      <c r="Q43" s="35" t="n">
        <f aca="false">IF(G43&lt;=3,F43*SQRT(P43),0)</f>
        <v>51054.4766777355</v>
      </c>
      <c r="R43" s="35" t="n">
        <f aca="false">SQRT(P43/$AB$6)</f>
        <v>7348060243.43702</v>
      </c>
      <c r="S43" s="35" t="n">
        <f aca="false">2*$AB$6*R43</f>
        <v>0.0688410749482784</v>
      </c>
      <c r="T43" s="35" t="n">
        <f aca="false">IF(G43&lt;=3,F43*R43,0)</f>
        <v>23589099337.3387</v>
      </c>
      <c r="U43" s="35" t="n">
        <f aca="false">F43*P43</f>
        <v>811949477.722059</v>
      </c>
      <c r="V43" s="35" t="n">
        <f aca="false">H43^$AB$7*E43</f>
        <v>0.0531693262221658</v>
      </c>
      <c r="W43" s="35" t="n">
        <f aca="false">I43^$AB$7*E43</f>
        <v>0.00185260151725907</v>
      </c>
      <c r="X43" s="35" t="n">
        <f aca="false">J43^$AB$7*E43</f>
        <v>0.00068896035079478</v>
      </c>
      <c r="Y43" s="35" t="n">
        <f aca="false">K43^$AB$7*E43</f>
        <v>0.000429392532668997</v>
      </c>
    </row>
    <row r="44" customFormat="false" ht="15" hidden="false" customHeight="false" outlineLevel="0" collapsed="false">
      <c r="A44" s="35" t="n">
        <v>42</v>
      </c>
      <c r="B44" s="35" t="n">
        <f aca="false">C43</f>
        <v>1.64064877251136E-005</v>
      </c>
      <c r="C44" s="35" t="n">
        <f aca="false">(1/Inputs!$B$16)*(Inputs!$B$21/(1/Inputs!$B$16))^(41/60)</f>
        <v>1.79582840676276E-005</v>
      </c>
      <c r="D44" s="35" t="n">
        <f aca="false">(B44+C44)/2</f>
        <v>1.71823858963706E-005</v>
      </c>
      <c r="E44" s="35" t="n">
        <f aca="false">C44-B44</f>
        <v>1.55179634251405E-006</v>
      </c>
      <c r="F44" s="35" t="n">
        <f aca="false">Inputs!$B$16*E44</f>
        <v>3.51388763798882</v>
      </c>
      <c r="G44" s="35" t="n">
        <f aca="false">IF(D44&lt;=Inputs!$B$21,1,IF(D44&lt;=Inputs!$B$22,2,IF(D44&lt;=Inputs!$B$23,3,IF(D44&lt;=Inputs!$B$24,4,5))))</f>
        <v>1</v>
      </c>
      <c r="H44" s="35" t="n">
        <f aca="false">Fit!$B$10*D44^(-1/Fit!$B$9)</f>
        <v>35354.5564384062</v>
      </c>
      <c r="I44" s="35" t="n">
        <f aca="false">EXP(Fit!$B$16+Fit!$B$15*-NORMSINV(D44))</f>
        <v>1284.79346715688</v>
      </c>
      <c r="J44" s="35" t="n">
        <f aca="false">Fit!$B$22*LN(1/D44)^(1/Fit!$B$21)</f>
        <v>482.49172576125</v>
      </c>
      <c r="K44" s="35" t="n">
        <f aca="false">MAX(0,Fit!$B$28+Fit!$B$27*-NORMSINV(D44))</f>
        <v>301.588322413517</v>
      </c>
      <c r="L44" s="35" t="n">
        <f aca="false">INDEX(H44:K44,1,Inputs!$B$5)</f>
        <v>35354.5564384062</v>
      </c>
      <c r="M44" s="35" t="n">
        <f aca="false">L44*E44</f>
        <v>0.0548630713723254</v>
      </c>
      <c r="N44" s="35" t="n">
        <f aca="false">L44^$AB$7</f>
        <v>35354.5564384062</v>
      </c>
      <c r="O44" s="35" t="n">
        <f aca="false">N44*E44</f>
        <v>0.0548630713723254</v>
      </c>
      <c r="P44" s="35" t="n">
        <f aca="false">N44*$AB$3/($AB$4*$AB$1)</f>
        <v>238429559.629445</v>
      </c>
      <c r="Q44" s="35" t="n">
        <f aca="false">IF(G44&lt;=3,F44*SQRT(P44),0)</f>
        <v>54258.5168835502</v>
      </c>
      <c r="R44" s="35" t="n">
        <f aca="false">SQRT(P44/$AB$6)</f>
        <v>7134402031.74189</v>
      </c>
      <c r="S44" s="35" t="n">
        <f aca="false">2*$AB$6*R44</f>
        <v>0.0668393955284945</v>
      </c>
      <c r="T44" s="35" t="n">
        <f aca="false">IF(G44&lt;=3,F44*R44,0)</f>
        <v>25069487103.7801</v>
      </c>
      <c r="U44" s="35" t="n">
        <f aca="false">F44*P44</f>
        <v>837814682.113027</v>
      </c>
      <c r="V44" s="35" t="n">
        <f aca="false">H44^$AB$7*E44</f>
        <v>0.0548630713723254</v>
      </c>
      <c r="W44" s="35" t="n">
        <f aca="false">I44^$AB$7*E44</f>
        <v>0.00199373780322</v>
      </c>
      <c r="X44" s="35" t="n">
        <f aca="false">J44^$AB$7*E44</f>
        <v>0.000748728895329601</v>
      </c>
      <c r="Y44" s="35" t="n">
        <f aca="false">K44^$AB$7*E44</f>
        <v>0.000468003655666244</v>
      </c>
    </row>
    <row r="45" customFormat="false" ht="15" hidden="false" customHeight="false" outlineLevel="0" collapsed="false">
      <c r="A45" s="35" t="n">
        <v>43</v>
      </c>
      <c r="B45" s="35" t="n">
        <f aca="false">C44</f>
        <v>1.79582840676276E-005</v>
      </c>
      <c r="C45" s="35" t="n">
        <f aca="false">(1/Inputs!$B$16)*(Inputs!$B$21/(1/Inputs!$B$16))^(42/60)</f>
        <v>1.96568559984935E-005</v>
      </c>
      <c r="D45" s="35" t="n">
        <f aca="false">(B45+C45)/2</f>
        <v>1.88075700330606E-005</v>
      </c>
      <c r="E45" s="35" t="n">
        <f aca="false">C45-B45</f>
        <v>1.69857193086583E-006</v>
      </c>
      <c r="F45" s="35" t="n">
        <f aca="false">Inputs!$B$16*E45</f>
        <v>3.84624628025258</v>
      </c>
      <c r="G45" s="35" t="n">
        <f aca="false">IF(D45&lt;=Inputs!$B$21,1,IF(D45&lt;=Inputs!$B$22,2,IF(D45&lt;=Inputs!$B$23,3,IF(D45&lt;=Inputs!$B$24,4,5))))</f>
        <v>1</v>
      </c>
      <c r="H45" s="35" t="n">
        <f aca="false">Fit!$B$10*D45^(-1/Fit!$B$9)</f>
        <v>33328.4513306301</v>
      </c>
      <c r="I45" s="35" t="n">
        <f aca="false">EXP(Fit!$B$16+Fit!$B$15*-NORMSINV(D45))</f>
        <v>1263.09675234272</v>
      </c>
      <c r="J45" s="35" t="n">
        <f aca="false">Fit!$B$22*LN(1/D45)^(1/Fit!$B$21)</f>
        <v>479.010704444549</v>
      </c>
      <c r="K45" s="35" t="n">
        <f aca="false">MAX(0,Fit!$B$28+Fit!$B$27*-NORMSINV(D45))</f>
        <v>300.291896969725</v>
      </c>
      <c r="L45" s="35" t="n">
        <f aca="false">INDEX(H45:K45,1,Inputs!$B$5)</f>
        <v>33328.4513306301</v>
      </c>
      <c r="M45" s="35" t="n">
        <f aca="false">L45*E45</f>
        <v>0.0566107719294362</v>
      </c>
      <c r="N45" s="35" t="n">
        <f aca="false">L45^$AB$7</f>
        <v>33328.4513306301</v>
      </c>
      <c r="O45" s="35" t="n">
        <f aca="false">N45*E45</f>
        <v>0.0566107719294362</v>
      </c>
      <c r="P45" s="35" t="n">
        <f aca="false">N45*$AB$3/($AB$4*$AB$1)</f>
        <v>224765596.698624</v>
      </c>
      <c r="Q45" s="35" t="n">
        <f aca="false">IF(G45&lt;=3,F45*SQRT(P45),0)</f>
        <v>57663.6339450777</v>
      </c>
      <c r="R45" s="35" t="n">
        <f aca="false">SQRT(P45/$AB$6)</f>
        <v>6926956321.02148</v>
      </c>
      <c r="S45" s="35" t="n">
        <f aca="false">2*$AB$6*R45</f>
        <v>0.0648959185772601</v>
      </c>
      <c r="T45" s="35" t="n">
        <f aca="false">IF(G45&lt;=3,F45*R45,0)</f>
        <v>26642779983.201</v>
      </c>
      <c r="U45" s="35" t="n">
        <f aca="false">F45*P45</f>
        <v>864503840.230834</v>
      </c>
      <c r="V45" s="35" t="n">
        <f aca="false">H45^$AB$7*E45</f>
        <v>0.0566107719294362</v>
      </c>
      <c r="W45" s="35" t="n">
        <f aca="false">I45^$AB$7*E45</f>
        <v>0.00214546068949713</v>
      </c>
      <c r="X45" s="35" t="n">
        <f aca="false">J45^$AB$7*E45</f>
        <v>0.000813634137153778</v>
      </c>
      <c r="Y45" s="35" t="n">
        <f aca="false">K45^$AB$7*E45</f>
        <v>0.000510067387259228</v>
      </c>
    </row>
    <row r="46" customFormat="false" ht="15" hidden="false" customHeight="false" outlineLevel="0" collapsed="false">
      <c r="A46" s="35" t="n">
        <v>44</v>
      </c>
      <c r="B46" s="35" t="n">
        <f aca="false">C45</f>
        <v>1.96568559984935E-005</v>
      </c>
      <c r="C46" s="35" t="n">
        <f aca="false">(1/Inputs!$B$16)*(Inputs!$B$21/(1/Inputs!$B$16))^(43/60)</f>
        <v>2.15160861856526E-005</v>
      </c>
      <c r="D46" s="35" t="n">
        <f aca="false">(B46+C46)/2</f>
        <v>2.05864710920731E-005</v>
      </c>
      <c r="E46" s="35" t="n">
        <f aca="false">C46-B46</f>
        <v>1.85923018715917E-006</v>
      </c>
      <c r="F46" s="35" t="n">
        <f aca="false">Inputs!$B$16*E46</f>
        <v>4.21004083580322</v>
      </c>
      <c r="G46" s="35" t="n">
        <f aca="false">IF(D46&lt;=Inputs!$B$21,1,IF(D46&lt;=Inputs!$B$22,2,IF(D46&lt;=Inputs!$B$23,3,IF(D46&lt;=Inputs!$B$24,4,5))))</f>
        <v>1</v>
      </c>
      <c r="H46" s="35" t="n">
        <f aca="false">Fit!$B$10*D46^(-1/Fit!$B$9)</f>
        <v>31418.4586089592</v>
      </c>
      <c r="I46" s="35" t="n">
        <f aca="false">EXP(Fit!$B$16+Fit!$B$15*-NORMSINV(D46))</f>
        <v>1241.66934081378</v>
      </c>
      <c r="J46" s="35" t="n">
        <f aca="false">Fit!$B$22*LN(1/D46)^(1/Fit!$B$21)</f>
        <v>475.526079460327</v>
      </c>
      <c r="K46" s="35" t="n">
        <f aca="false">MAX(0,Fit!$B$28+Fit!$B$27*-NORMSINV(D46))</f>
        <v>298.989519397765</v>
      </c>
      <c r="L46" s="35" t="n">
        <f aca="false">INDEX(H46:K46,1,Inputs!$B$5)</f>
        <v>31418.4586089592</v>
      </c>
      <c r="M46" s="35" t="n">
        <f aca="false">L46*E46</f>
        <v>0.0584141466797879</v>
      </c>
      <c r="N46" s="35" t="n">
        <f aca="false">L46^$AB$7</f>
        <v>31418.4586089592</v>
      </c>
      <c r="O46" s="35" t="n">
        <f aca="false">N46*E46</f>
        <v>0.0584141466797879</v>
      </c>
      <c r="P46" s="35" t="n">
        <f aca="false">N46*$AB$3/($AB$4*$AB$1)</f>
        <v>211884690.546773</v>
      </c>
      <c r="Q46" s="35" t="n">
        <f aca="false">IF(G46&lt;=3,F46*SQRT(P46),0)</f>
        <v>61282.4468993191</v>
      </c>
      <c r="R46" s="35" t="n">
        <f aca="false">SQRT(P46/$AB$6)</f>
        <v>6725542471.51452</v>
      </c>
      <c r="S46" s="35" t="n">
        <f aca="false">2*$AB$6*R46</f>
        <v>0.0630089517519793</v>
      </c>
      <c r="T46" s="35" t="n">
        <f aca="false">IF(G46&lt;=3,F46*R46,0)</f>
        <v>28314808448.005</v>
      </c>
      <c r="U46" s="35" t="n">
        <f aca="false">F46*P46</f>
        <v>892043199.683442</v>
      </c>
      <c r="V46" s="35" t="n">
        <f aca="false">H46^$AB$7*E46</f>
        <v>0.0584141466797879</v>
      </c>
      <c r="W46" s="35" t="n">
        <f aca="false">I46^$AB$7*E46</f>
        <v>0.00230854912091101</v>
      </c>
      <c r="X46" s="35" t="n">
        <f aca="false">J46^$AB$7*E46</f>
        <v>0.000884112441714091</v>
      </c>
      <c r="Y46" s="35" t="n">
        <f aca="false">K46^$AB$7*E46</f>
        <v>0.000555890340108537</v>
      </c>
    </row>
    <row r="47" customFormat="false" ht="15" hidden="false" customHeight="false" outlineLevel="0" collapsed="false">
      <c r="A47" s="35" t="n">
        <v>45</v>
      </c>
      <c r="B47" s="35" t="n">
        <f aca="false">C46</f>
        <v>2.15160861856526E-005</v>
      </c>
      <c r="C47" s="35" t="n">
        <f aca="false">(1/Inputs!$B$16)*(Inputs!$B$21/(1/Inputs!$B$16))^(44/60)</f>
        <v>2.35511703796331E-005</v>
      </c>
      <c r="D47" s="35" t="n">
        <f aca="false">(B47+C47)/2</f>
        <v>2.25336282826429E-005</v>
      </c>
      <c r="E47" s="35" t="n">
        <f aca="false">C47-B47</f>
        <v>2.03508419398043E-006</v>
      </c>
      <c r="F47" s="35" t="n">
        <f aca="false">Inputs!$B$16*E47</f>
        <v>4.60824464884928</v>
      </c>
      <c r="G47" s="35" t="n">
        <f aca="false">IF(D47&lt;=Inputs!$B$21,1,IF(D47&lt;=Inputs!$B$22,2,IF(D47&lt;=Inputs!$B$23,3,IF(D47&lt;=Inputs!$B$24,4,5))))</f>
        <v>1</v>
      </c>
      <c r="H47" s="35" t="n">
        <f aca="false">Fit!$B$10*D47^(-1/Fit!$B$9)</f>
        <v>29617.9240844499</v>
      </c>
      <c r="I47" s="35" t="n">
        <f aca="false">EXP(Fit!$B$16+Fit!$B$15*-NORMSINV(D47))</f>
        <v>1220.50869564808</v>
      </c>
      <c r="J47" s="35" t="n">
        <f aca="false">Fit!$B$22*LN(1/D47)^(1/Fit!$B$21)</f>
        <v>472.03781684912</v>
      </c>
      <c r="K47" s="35" t="n">
        <f aca="false">MAX(0,Fit!$B$28+Fit!$B$27*-NORMSINV(D47))</f>
        <v>297.681109189374</v>
      </c>
      <c r="L47" s="35" t="n">
        <f aca="false">INDEX(H47:K47,1,Inputs!$B$5)</f>
        <v>29617.9240844499</v>
      </c>
      <c r="M47" s="35" t="n">
        <f aca="false">L47*E47</f>
        <v>0.0602749691627762</v>
      </c>
      <c r="N47" s="35" t="n">
        <f aca="false">L47^$AB$7</f>
        <v>29617.9240844499</v>
      </c>
      <c r="O47" s="35" t="n">
        <f aca="false">N47*E47</f>
        <v>0.0602749691627762</v>
      </c>
      <c r="P47" s="35" t="n">
        <f aca="false">N47*$AB$3/($AB$4*$AB$1)</f>
        <v>199741965.618961</v>
      </c>
      <c r="Q47" s="35" t="n">
        <f aca="false">IF(G47&lt;=3,F47*SQRT(P47),0)</f>
        <v>65128.3667197388</v>
      </c>
      <c r="R47" s="35" t="n">
        <f aca="false">SQRT(P47/$AB$6)</f>
        <v>6529985095.88917</v>
      </c>
      <c r="S47" s="35" t="n">
        <f aca="false">2*$AB$6*R47</f>
        <v>0.0611768519179942</v>
      </c>
      <c r="T47" s="35" t="n">
        <f aca="false">IF(G47&lt;=3,F47*R47,0)</f>
        <v>30091768875.1968</v>
      </c>
      <c r="U47" s="35" t="n">
        <f aca="false">F47*P47</f>
        <v>920459844.214212</v>
      </c>
      <c r="V47" s="35" t="n">
        <f aca="false">H47^$AB$7*E47</f>
        <v>0.0602749691627762</v>
      </c>
      <c r="W47" s="35" t="n">
        <f aca="false">I47^$AB$7*E47</f>
        <v>0.00248383795512908</v>
      </c>
      <c r="X47" s="35" t="n">
        <f aca="false">J47^$AB$7*E47</f>
        <v>0.000960636700030671</v>
      </c>
      <c r="Y47" s="35" t="n">
        <f aca="false">K47^$AB$7*E47</f>
        <v>0.000605806120157858</v>
      </c>
    </row>
    <row r="48" customFormat="false" ht="15" hidden="false" customHeight="false" outlineLevel="0" collapsed="false">
      <c r="A48" s="35" t="n">
        <v>46</v>
      </c>
      <c r="B48" s="35" t="n">
        <f aca="false">C47</f>
        <v>2.35511703796331E-005</v>
      </c>
      <c r="C48" s="35" t="n">
        <f aca="false">(1/Inputs!$B$16)*(Inputs!$B$21/(1/Inputs!$B$16))^(45/60)</f>
        <v>2.57787416105613E-005</v>
      </c>
      <c r="D48" s="35" t="n">
        <f aca="false">(B48+C48)/2</f>
        <v>2.46649559950972E-005</v>
      </c>
      <c r="E48" s="35" t="n">
        <f aca="false">C48-B48</f>
        <v>2.22757123092821E-006</v>
      </c>
      <c r="F48" s="35" t="n">
        <f aca="false">Inputs!$B$16*E48</f>
        <v>5.04411229531384</v>
      </c>
      <c r="G48" s="35" t="n">
        <f aca="false">IF(D48&lt;=Inputs!$B$21,1,IF(D48&lt;=Inputs!$B$22,2,IF(D48&lt;=Inputs!$B$23,3,IF(D48&lt;=Inputs!$B$24,4,5))))</f>
        <v>1</v>
      </c>
      <c r="H48" s="35" t="n">
        <f aca="false">Fit!$B$10*D48^(-1/Fit!$B$9)</f>
        <v>27920.5749075828</v>
      </c>
      <c r="I48" s="35" t="n">
        <f aca="false">EXP(Fit!$B$16+Fit!$B$15*-NORMSINV(D48))</f>
        <v>1199.61229871855</v>
      </c>
      <c r="J48" s="35" t="n">
        <f aca="false">Fit!$B$22*LN(1/D48)^(1/Fit!$B$21)</f>
        <v>468.545882041755</v>
      </c>
      <c r="K48" s="35" t="n">
        <f aca="false">MAX(0,Fit!$B$28+Fit!$B$27*-NORMSINV(D48))</f>
        <v>296.366584031396</v>
      </c>
      <c r="L48" s="35" t="n">
        <f aca="false">INDEX(H48:K48,1,Inputs!$B$5)</f>
        <v>27920.5749075828</v>
      </c>
      <c r="M48" s="35" t="n">
        <f aca="false">L48*E48</f>
        <v>0.0621950694151076</v>
      </c>
      <c r="N48" s="35" t="n">
        <f aca="false">L48^$AB$7</f>
        <v>27920.5749075828</v>
      </c>
      <c r="O48" s="35" t="n">
        <f aca="false">N48*E48</f>
        <v>0.0621950694151076</v>
      </c>
      <c r="P48" s="35" t="n">
        <f aca="false">N48*$AB$3/($AB$4*$AB$1)</f>
        <v>188295118.096411</v>
      </c>
      <c r="Q48" s="35" t="n">
        <f aca="false">IF(G48&lt;=3,F48*SQRT(P48),0)</f>
        <v>69215.6460160534</v>
      </c>
      <c r="R48" s="35" t="n">
        <f aca="false">SQRT(P48/$AB$6)</f>
        <v>6340113906.5192</v>
      </c>
      <c r="S48" s="35" t="n">
        <f aca="false">2*$AB$6*R48</f>
        <v>0.0593980237177748</v>
      </c>
      <c r="T48" s="35" t="n">
        <f aca="false">IF(G48&lt;=3,F48*R48,0)</f>
        <v>31980246509.5638</v>
      </c>
      <c r="U48" s="35" t="n">
        <f aca="false">F48*P48</f>
        <v>949781720.337678</v>
      </c>
      <c r="V48" s="35" t="n">
        <f aca="false">H48^$AB$7*E48</f>
        <v>0.0621950694151076</v>
      </c>
      <c r="W48" s="35" t="n">
        <f aca="false">I48^$AB$7*E48</f>
        <v>0.0026722218448931</v>
      </c>
      <c r="X48" s="35" t="n">
        <f aca="false">J48^$AB$7*E48</f>
        <v>0.0010437193272061</v>
      </c>
      <c r="Y48" s="35" t="n">
        <f aca="false">K48^$AB$7*E48</f>
        <v>0.000660177676396805</v>
      </c>
    </row>
    <row r="49" customFormat="false" ht="15" hidden="false" customHeight="false" outlineLevel="0" collapsed="false">
      <c r="A49" s="35" t="n">
        <v>47</v>
      </c>
      <c r="B49" s="35" t="n">
        <f aca="false">C48</f>
        <v>2.57787416105613E-005</v>
      </c>
      <c r="C49" s="35" t="n">
        <f aca="false">(1/Inputs!$B$16)*(Inputs!$B$21/(1/Inputs!$B$16))^(46/60)</f>
        <v>2.82170061322633E-005</v>
      </c>
      <c r="D49" s="35" t="n">
        <f aca="false">(B49+C49)/2</f>
        <v>2.69978738714123E-005</v>
      </c>
      <c r="E49" s="35" t="n">
        <f aca="false">C49-B49</f>
        <v>2.43826452170199E-006</v>
      </c>
      <c r="F49" s="35" t="n">
        <f aca="false">Inputs!$B$16*E49</f>
        <v>5.52120618294199</v>
      </c>
      <c r="G49" s="35" t="n">
        <f aca="false">IF(D49&lt;=Inputs!$B$21,1,IF(D49&lt;=Inputs!$B$22,2,IF(D49&lt;=Inputs!$B$23,3,IF(D49&lt;=Inputs!$B$24,4,5))))</f>
        <v>1</v>
      </c>
      <c r="H49" s="35" t="n">
        <f aca="false">Fit!$B$10*D49^(-1/Fit!$B$9)</f>
        <v>26320.4977143969</v>
      </c>
      <c r="I49" s="35" t="n">
        <f aca="false">EXP(Fit!$B$16+Fit!$B$15*-NORMSINV(D49))</f>
        <v>1178.97765057449</v>
      </c>
      <c r="J49" s="35" t="n">
        <f aca="false">Fit!$B$22*LN(1/D49)^(1/Fit!$B$21)</f>
        <v>465.050239843122</v>
      </c>
      <c r="K49" s="35" t="n">
        <f aca="false">MAX(0,Fit!$B$28+Fit!$B$27*-NORMSINV(D49))</f>
        <v>295.045859749158</v>
      </c>
      <c r="L49" s="35" t="n">
        <f aca="false">INDEX(H49:K49,1,Inputs!$B$5)</f>
        <v>26320.4977143969</v>
      </c>
      <c r="M49" s="35" t="n">
        <f aca="false">L49*E49</f>
        <v>0.0641763357705523</v>
      </c>
      <c r="N49" s="35" t="n">
        <f aca="false">L49^$AB$7</f>
        <v>26320.4977143969</v>
      </c>
      <c r="O49" s="35" t="n">
        <f aca="false">N49*E49</f>
        <v>0.0641763357705523</v>
      </c>
      <c r="P49" s="35" t="n">
        <f aca="false">N49*$AB$3/($AB$4*$AB$1)</f>
        <v>177504268.514997</v>
      </c>
      <c r="Q49" s="35" t="n">
        <f aca="false">IF(G49&lt;=3,F49*SQRT(P49),0)</f>
        <v>73559.4318530267</v>
      </c>
      <c r="R49" s="35" t="n">
        <f aca="false">SQRT(P49/$AB$6)</f>
        <v>6155763567.20071</v>
      </c>
      <c r="S49" s="35" t="n">
        <f aca="false">2*$AB$6*R49</f>
        <v>0.0576709181817118</v>
      </c>
      <c r="T49" s="35" t="n">
        <f aca="false">IF(G49&lt;=3,F49*R49,0)</f>
        <v>33987239867.9576</v>
      </c>
      <c r="U49" s="35" t="n">
        <f aca="false">F49*P49</f>
        <v>980037664.823597</v>
      </c>
      <c r="V49" s="35" t="n">
        <f aca="false">H49^$AB$7*E49</f>
        <v>0.0641763357705523</v>
      </c>
      <c r="W49" s="35" t="n">
        <f aca="false">I49^$AB$7*E49</f>
        <v>0.00287465937727536</v>
      </c>
      <c r="X49" s="35" t="n">
        <f aca="false">J49^$AB$7*E49</f>
        <v>0.00113391550061849</v>
      </c>
      <c r="Y49" s="35" t="n">
        <f aca="false">K49^$AB$7*E49</f>
        <v>0.000719399852101435</v>
      </c>
    </row>
    <row r="50" customFormat="false" ht="15" hidden="false" customHeight="false" outlineLevel="0" collapsed="false">
      <c r="A50" s="35" t="n">
        <v>48</v>
      </c>
      <c r="B50" s="35" t="n">
        <f aca="false">C49</f>
        <v>2.82170061322633E-005</v>
      </c>
      <c r="C50" s="35" t="n">
        <f aca="false">(1/Inputs!$B$16)*(Inputs!$B$21/(1/Inputs!$B$16))^(47/60)</f>
        <v>3.08858922245448E-005</v>
      </c>
      <c r="D50" s="35" t="n">
        <f aca="false">(B50+C50)/2</f>
        <v>2.9551449178404E-005</v>
      </c>
      <c r="E50" s="35" t="n">
        <f aca="false">C50-B50</f>
        <v>2.66888609228148E-006</v>
      </c>
      <c r="F50" s="35" t="n">
        <f aca="false">Inputs!$B$16*E50</f>
        <v>6.04342566736218</v>
      </c>
      <c r="G50" s="35" t="n">
        <f aca="false">IF(D50&lt;=Inputs!$B$21,1,IF(D50&lt;=Inputs!$B$22,2,IF(D50&lt;=Inputs!$B$23,3,IF(D50&lt;=Inputs!$B$24,4,5))))</f>
        <v>1</v>
      </c>
      <c r="H50" s="35" t="n">
        <f aca="false">Fit!$B$10*D50^(-1/Fit!$B$9)</f>
        <v>24812.1180250277</v>
      </c>
      <c r="I50" s="35" t="n">
        <f aca="false">EXP(Fit!$B$16+Fit!$B$15*-NORMSINV(D50))</f>
        <v>1158.60227032347</v>
      </c>
      <c r="J50" s="35" t="n">
        <f aca="false">Fit!$B$22*LN(1/D50)^(1/Fit!$B$21)</f>
        <v>461.550854415354</v>
      </c>
      <c r="K50" s="35" t="n">
        <f aca="false">MAX(0,Fit!$B$28+Fit!$B$27*-NORMSINV(D50))</f>
        <v>293.718850247564</v>
      </c>
      <c r="L50" s="35" t="n">
        <f aca="false">INDEX(H50:K50,1,Inputs!$B$5)</f>
        <v>24812.1180250277</v>
      </c>
      <c r="M50" s="35" t="n">
        <f aca="false">L50*E50</f>
        <v>0.0662207167170429</v>
      </c>
      <c r="N50" s="35" t="n">
        <f aca="false">L50^$AB$7</f>
        <v>24812.1180250277</v>
      </c>
      <c r="O50" s="35" t="n">
        <f aca="false">N50*E50</f>
        <v>0.0662207167170429</v>
      </c>
      <c r="P50" s="35" t="n">
        <f aca="false">N50*$AB$3/($AB$4*$AB$1)</f>
        <v>167331822.829902</v>
      </c>
      <c r="Q50" s="35" t="n">
        <f aca="false">IF(G50&lt;=3,F50*SQRT(P50),0)</f>
        <v>78175.8218840445</v>
      </c>
      <c r="R50" s="35" t="n">
        <f aca="false">SQRT(P50/$AB$6)</f>
        <v>5976773549.18052</v>
      </c>
      <c r="S50" s="35" t="n">
        <f aca="false">2*$AB$6*R50</f>
        <v>0.0559940313793034</v>
      </c>
      <c r="T50" s="35" t="n">
        <f aca="false">IF(G50&lt;=3,F50*R50,0)</f>
        <v>36120186675.1289</v>
      </c>
      <c r="U50" s="35" t="n">
        <f aca="false">F50*P50</f>
        <v>1011257433.05673</v>
      </c>
      <c r="V50" s="35" t="n">
        <f aca="false">H50^$AB$7*E50</f>
        <v>0.0662207167170429</v>
      </c>
      <c r="W50" s="35" t="n">
        <f aca="false">I50^$AB$7*E50</f>
        <v>0.00309217748575206</v>
      </c>
      <c r="X50" s="35" t="n">
        <f aca="false">J50^$AB$7*E50</f>
        <v>0.00123182665622977</v>
      </c>
      <c r="Y50" s="35" t="n">
        <f aca="false">K50^$AB$7*E50</f>
        <v>0.00078390215446663</v>
      </c>
    </row>
    <row r="51" customFormat="false" ht="15" hidden="false" customHeight="false" outlineLevel="0" collapsed="false">
      <c r="A51" s="35" t="n">
        <v>49</v>
      </c>
      <c r="B51" s="35" t="n">
        <f aca="false">C50</f>
        <v>3.08858922245448E-005</v>
      </c>
      <c r="C51" s="35" t="n">
        <f aca="false">(1/Inputs!$B$16)*(Inputs!$B$21/(1/Inputs!$B$16))^(48/60)</f>
        <v>3.38072130698325E-005</v>
      </c>
      <c r="D51" s="35" t="n">
        <f aca="false">(B51+C51)/2</f>
        <v>3.23465526471886E-005</v>
      </c>
      <c r="E51" s="35" t="n">
        <f aca="false">C51-B51</f>
        <v>2.92132084528773E-006</v>
      </c>
      <c r="F51" s="35" t="n">
        <f aca="false">Inputs!$B$16*E51</f>
        <v>6.61503892206954</v>
      </c>
      <c r="G51" s="35" t="n">
        <f aca="false">IF(D51&lt;=Inputs!$B$21,1,IF(D51&lt;=Inputs!$B$22,2,IF(D51&lt;=Inputs!$B$23,3,IF(D51&lt;=Inputs!$B$24,4,5))))</f>
        <v>1</v>
      </c>
      <c r="H51" s="35" t="n">
        <f aca="false">Fit!$B$10*D51^(-1/Fit!$B$9)</f>
        <v>23390.1808228785</v>
      </c>
      <c r="I51" s="35" t="n">
        <f aca="false">EXP(Fit!$B$16+Fit!$B$15*-NORMSINV(D51))</f>
        <v>1138.4836955136</v>
      </c>
      <c r="J51" s="35" t="n">
        <f aca="false">Fit!$B$22*LN(1/D51)^(1/Fit!$B$21)</f>
        <v>458.047689260422</v>
      </c>
      <c r="K51" s="35" t="n">
        <f aca="false">MAX(0,Fit!$B$28+Fit!$B$27*-NORMSINV(D51))</f>
        <v>292.385467449772</v>
      </c>
      <c r="L51" s="35" t="n">
        <f aca="false">INDEX(H51:K51,1,Inputs!$B$5)</f>
        <v>23390.1808228785</v>
      </c>
      <c r="M51" s="35" t="n">
        <f aca="false">L51*E51</f>
        <v>0.0683302228129243</v>
      </c>
      <c r="N51" s="35" t="n">
        <f aca="false">L51^$AB$7</f>
        <v>23390.1808228785</v>
      </c>
      <c r="O51" s="35" t="n">
        <f aca="false">N51*E51</f>
        <v>0.0683302228129243</v>
      </c>
      <c r="P51" s="35" t="n">
        <f aca="false">N51*$AB$3/($AB$4*$AB$1)</f>
        <v>157742341.44241</v>
      </c>
      <c r="Q51" s="35" t="n">
        <f aca="false">IF(G51&lt;=3,F51*SQRT(P51),0)</f>
        <v>83081.9240074709</v>
      </c>
      <c r="R51" s="35" t="n">
        <f aca="false">SQRT(P51/$AB$6)</f>
        <v>5802987991.37086</v>
      </c>
      <c r="S51" s="35" t="n">
        <f aca="false">2*$AB$6*R51</f>
        <v>0.0543659031095619</v>
      </c>
      <c r="T51" s="35" t="n">
        <f aca="false">IF(G51&lt;=3,F51*R51,0)</f>
        <v>38386991427.2204</v>
      </c>
      <c r="U51" s="35" t="n">
        <f aca="false">F51*P51</f>
        <v>1043471728.29992</v>
      </c>
      <c r="V51" s="35" t="n">
        <f aca="false">H51^$AB$7*E51</f>
        <v>0.0683302228129243</v>
      </c>
      <c r="W51" s="35" t="n">
        <f aca="false">I51^$AB$7*E51</f>
        <v>0.00332587615172409</v>
      </c>
      <c r="X51" s="35" t="n">
        <f aca="false">J51^$AB$7*E51</f>
        <v>0.00133810426277235</v>
      </c>
      <c r="Y51" s="35" t="n">
        <f aca="false">K51^$AB$7*E51</f>
        <v>0.000854151760920216</v>
      </c>
    </row>
    <row r="52" customFormat="false" ht="15" hidden="false" customHeight="false" outlineLevel="0" collapsed="false">
      <c r="A52" s="35" t="n">
        <v>50</v>
      </c>
      <c r="B52" s="35" t="n">
        <f aca="false">C51</f>
        <v>3.38072130698325E-005</v>
      </c>
      <c r="C52" s="35" t="n">
        <f aca="false">(1/Inputs!$B$16)*(Inputs!$B$21/(1/Inputs!$B$16))^(49/60)</f>
        <v>3.70048450353905E-005</v>
      </c>
      <c r="D52" s="35" t="n">
        <f aca="false">(B52+C52)/2</f>
        <v>3.54060290526115E-005</v>
      </c>
      <c r="E52" s="35" t="n">
        <f aca="false">C52-B52</f>
        <v>3.19763196555805E-006</v>
      </c>
      <c r="F52" s="35" t="n">
        <f aca="false">Inputs!$B$16*E52</f>
        <v>7.24071782280964</v>
      </c>
      <c r="G52" s="35" t="n">
        <f aca="false">IF(D52&lt;=Inputs!$B$21,1,IF(D52&lt;=Inputs!$B$22,2,IF(D52&lt;=Inputs!$B$23,3,IF(D52&lt;=Inputs!$B$24,4,5))))</f>
        <v>1</v>
      </c>
      <c r="H52" s="35" t="n">
        <f aca="false">Fit!$B$10*D52^(-1/Fit!$B$9)</f>
        <v>22049.7322467634</v>
      </c>
      <c r="I52" s="35" t="n">
        <f aca="false">EXP(Fit!$B$16+Fit!$B$15*-NORMSINV(D52))</f>
        <v>1118.61948201625</v>
      </c>
      <c r="J52" s="35" t="n">
        <f aca="false">Fit!$B$22*LN(1/D52)^(1/Fit!$B$21)</f>
        <v>454.540707202087</v>
      </c>
      <c r="K52" s="35" t="n">
        <f aca="false">MAX(0,Fit!$B$28+Fit!$B$27*-NORMSINV(D52))</f>
        <v>291.045621233361</v>
      </c>
      <c r="L52" s="35" t="n">
        <f aca="false">INDEX(H52:K52,1,Inputs!$B$5)</f>
        <v>22049.7322467634</v>
      </c>
      <c r="M52" s="35" t="n">
        <f aca="false">L52*E52</f>
        <v>0.0705069286642468</v>
      </c>
      <c r="N52" s="35" t="n">
        <f aca="false">L52^$AB$7</f>
        <v>22049.7322467634</v>
      </c>
      <c r="O52" s="35" t="n">
        <f aca="false">N52*E52</f>
        <v>0.0705069286642468</v>
      </c>
      <c r="P52" s="35" t="n">
        <f aca="false">N52*$AB$3/($AB$4*$AB$1)</f>
        <v>148702415.732528</v>
      </c>
      <c r="Q52" s="35" t="n">
        <f aca="false">IF(G52&lt;=3,F52*SQRT(P52),0)</f>
        <v>88295.9197668751</v>
      </c>
      <c r="R52" s="35" t="n">
        <f aca="false">SQRT(P52/$AB$6)</f>
        <v>5634255564.62844</v>
      </c>
      <c r="S52" s="35" t="n">
        <f aca="false">2*$AB$6*R52</f>
        <v>0.0527851156294981</v>
      </c>
      <c r="T52" s="35" t="n">
        <f aca="false">IF(G52&lt;=3,F52*R52,0)</f>
        <v>40796054685.0695</v>
      </c>
      <c r="U52" s="35" t="n">
        <f aca="false">F52*P52</f>
        <v>1076712231.88936</v>
      </c>
      <c r="V52" s="35" t="n">
        <f aca="false">H52^$AB$7*E52</f>
        <v>0.0705069286642468</v>
      </c>
      <c r="W52" s="35" t="n">
        <f aca="false">I52^$AB$7*E52</f>
        <v>0.00357693341299114</v>
      </c>
      <c r="X52" s="35" t="n">
        <f aca="false">J52^$AB$7*E52</f>
        <v>0.00145345389499675</v>
      </c>
      <c r="Y52" s="35" t="n">
        <f aca="false">K52^$AB$7*E52</f>
        <v>0.000930656781891494</v>
      </c>
    </row>
    <row r="53" customFormat="false" ht="15" hidden="false" customHeight="false" outlineLevel="0" collapsed="false">
      <c r="A53" s="35" t="n">
        <v>51</v>
      </c>
      <c r="B53" s="35" t="n">
        <f aca="false">C52</f>
        <v>3.70048450353905E-005</v>
      </c>
      <c r="C53" s="35" t="n">
        <f aca="false">(1/Inputs!$B$16)*(Inputs!$B$21/(1/Inputs!$B$16))^(50/60)</f>
        <v>4.05049228182373E-005</v>
      </c>
      <c r="D53" s="35" t="n">
        <f aca="false">(B53+C53)/2</f>
        <v>3.87548839268139E-005</v>
      </c>
      <c r="E53" s="35" t="n">
        <f aca="false">C53-B53</f>
        <v>3.50007778284676E-006</v>
      </c>
      <c r="F53" s="35" t="n">
        <f aca="false">Inputs!$B$16*E53</f>
        <v>7.92557613147821</v>
      </c>
      <c r="G53" s="35" t="n">
        <f aca="false">IF(D53&lt;=Inputs!$B$21,1,IF(D53&lt;=Inputs!$B$22,2,IF(D53&lt;=Inputs!$B$23,3,IF(D53&lt;=Inputs!$B$24,4,5))))</f>
        <v>1</v>
      </c>
      <c r="H53" s="35" t="n">
        <f aca="false">Fit!$B$10*D53^(-1/Fit!$B$9)</f>
        <v>20786.1023322404</v>
      </c>
      <c r="I53" s="35" t="n">
        <f aca="false">EXP(Fit!$B$16+Fit!$B$15*-NORMSINV(D53))</f>
        <v>1099.00720390909</v>
      </c>
      <c r="J53" s="35" t="n">
        <f aca="false">Fit!$B$22*LN(1/D53)^(1/Fit!$B$21)</f>
        <v>451.029870367203</v>
      </c>
      <c r="K53" s="35" t="n">
        <f aca="false">MAX(0,Fit!$B$28+Fit!$B$27*-NORMSINV(D53))</f>
        <v>289.69921936384</v>
      </c>
      <c r="L53" s="35" t="n">
        <f aca="false">INDEX(H53:K53,1,Inputs!$B$5)</f>
        <v>20786.1023322404</v>
      </c>
      <c r="M53" s="35" t="n">
        <f aca="false">L53*E53</f>
        <v>0.0727529749650539</v>
      </c>
      <c r="N53" s="35" t="n">
        <f aca="false">L53^$AB$7</f>
        <v>20786.1023322404</v>
      </c>
      <c r="O53" s="35" t="n">
        <f aca="false">N53*E53</f>
        <v>0.0727529749650539</v>
      </c>
      <c r="P53" s="35" t="n">
        <f aca="false">N53*$AB$3/($AB$4*$AB$1)</f>
        <v>140180551.667305</v>
      </c>
      <c r="Q53" s="35" t="n">
        <f aca="false">IF(G53&lt;=3,F53*SQRT(P53),0)</f>
        <v>93837.1317300918</v>
      </c>
      <c r="R53" s="35" t="n">
        <f aca="false">SQRT(P53/$AB$6)</f>
        <v>5470429339.97996</v>
      </c>
      <c r="S53" s="35" t="n">
        <f aca="false">2*$AB$6*R53</f>
        <v>0.0512502924195778</v>
      </c>
      <c r="T53" s="35" t="n">
        <f aca="false">IF(G53&lt;=3,F53*R53,0)</f>
        <v>43356304205.8833</v>
      </c>
      <c r="U53" s="35" t="n">
        <f aca="false">F53*P53</f>
        <v>1111011634.39184</v>
      </c>
      <c r="V53" s="35" t="n">
        <f aca="false">H53^$AB$7*E53</f>
        <v>0.0727529749650539</v>
      </c>
      <c r="W53" s="35" t="n">
        <f aca="false">I53^$AB$7*E53</f>
        <v>0.00384661069759076</v>
      </c>
      <c r="X53" s="35" t="n">
        <f aca="false">J53^$AB$7*E53</f>
        <v>0.0015786396286725</v>
      </c>
      <c r="Y53" s="35" t="n">
        <f aca="false">K53^$AB$7*E53</f>
        <v>0.00101396980140343</v>
      </c>
    </row>
    <row r="54" customFormat="false" ht="15" hidden="false" customHeight="false" outlineLevel="0" collapsed="false">
      <c r="A54" s="35" t="n">
        <v>52</v>
      </c>
      <c r="B54" s="35" t="n">
        <f aca="false">C53</f>
        <v>4.05049228182373E-005</v>
      </c>
      <c r="C54" s="35" t="n">
        <f aca="false">(1/Inputs!$B$16)*(Inputs!$B$21/(1/Inputs!$B$16))^(51/60)</f>
        <v>4.43360530477099E-005</v>
      </c>
      <c r="D54" s="35" t="n">
        <f aca="false">(B54+C54)/2</f>
        <v>4.24204879329736E-005</v>
      </c>
      <c r="E54" s="35" t="n">
        <f aca="false">C54-B54</f>
        <v>3.83113022947262E-006</v>
      </c>
      <c r="F54" s="35" t="n">
        <f aca="false">Inputs!$B$16*E54</f>
        <v>8.67521129161779</v>
      </c>
      <c r="G54" s="35" t="n">
        <f aca="false">IF(D54&lt;=Inputs!$B$21,1,IF(D54&lt;=Inputs!$B$22,2,IF(D54&lt;=Inputs!$B$23,3,IF(D54&lt;=Inputs!$B$24,4,5))))</f>
        <v>1</v>
      </c>
      <c r="H54" s="35" t="n">
        <f aca="false">Fit!$B$10*D54^(-1/Fit!$B$9)</f>
        <v>19594.8887420068</v>
      </c>
      <c r="I54" s="35" t="n">
        <f aca="false">EXP(Fit!$B$16+Fit!$B$15*-NORMSINV(D54))</f>
        <v>1079.64445335959</v>
      </c>
      <c r="J54" s="35" t="n">
        <f aca="false">Fit!$B$22*LN(1/D54)^(1/Fit!$B$21)</f>
        <v>447.515140166336</v>
      </c>
      <c r="K54" s="35" t="n">
        <f aca="false">MAX(0,Fit!$B$28+Fit!$B$27*-NORMSINV(D54))</f>
        <v>288.346167425377</v>
      </c>
      <c r="L54" s="35" t="n">
        <f aca="false">INDEX(H54:K54,1,Inputs!$B$5)</f>
        <v>19594.8887420068</v>
      </c>
      <c r="M54" s="35" t="n">
        <f aca="false">L54*E54</f>
        <v>0.075070570602655</v>
      </c>
      <c r="N54" s="35" t="n">
        <f aca="false">L54^$AB$7</f>
        <v>19594.8887420068</v>
      </c>
      <c r="O54" s="35" t="n">
        <f aca="false">N54*E54</f>
        <v>0.075070570602655</v>
      </c>
      <c r="P54" s="35" t="n">
        <f aca="false">N54*$AB$3/($AB$4*$AB$1)</f>
        <v>132147060.079345</v>
      </c>
      <c r="Q54" s="35" t="n">
        <f aca="false">IF(G54&lt;=3,F54*SQRT(P54),0)</f>
        <v>99726.0950967965</v>
      </c>
      <c r="R54" s="35" t="n">
        <f aca="false">SQRT(P54/$AB$6)</f>
        <v>5311366660.67917</v>
      </c>
      <c r="S54" s="35" t="n">
        <f aca="false">2*$AB$6*R54</f>
        <v>0.0497600969850752</v>
      </c>
      <c r="T54" s="35" t="n">
        <f aca="false">IF(G54&lt;=3,F54*R54,0)</f>
        <v>46077228028.6462</v>
      </c>
      <c r="U54" s="35" t="n">
        <f aca="false">F54*P54</f>
        <v>1146403667.75443</v>
      </c>
      <c r="V54" s="35" t="n">
        <f aca="false">H54^$AB$7*E54</f>
        <v>0.075070570602655</v>
      </c>
      <c r="W54" s="35" t="n">
        <f aca="false">I54^$AB$7*E54</f>
        <v>0.00413625850234836</v>
      </c>
      <c r="X54" s="35" t="n">
        <f aca="false">J54^$AB$7*E54</f>
        <v>0.00171448878163793</v>
      </c>
      <c r="Y54" s="35" t="n">
        <f aca="false">K54^$AB$7*E54</f>
        <v>0.00110469171857593</v>
      </c>
    </row>
    <row r="55" customFormat="false" ht="15" hidden="false" customHeight="false" outlineLevel="0" collapsed="false">
      <c r="A55" s="35" t="n">
        <v>53</v>
      </c>
      <c r="B55" s="35" t="n">
        <f aca="false">C54</f>
        <v>4.43360530477099E-005</v>
      </c>
      <c r="C55" s="35" t="n">
        <f aca="false">(1/Inputs!$B$16)*(Inputs!$B$21/(1/Inputs!$B$16))^(52/60)</f>
        <v>4.85295480914804E-005</v>
      </c>
      <c r="D55" s="35" t="n">
        <f aca="false">(B55+C55)/2</f>
        <v>4.64328005695951E-005</v>
      </c>
      <c r="E55" s="35" t="n">
        <f aca="false">C55-B55</f>
        <v>4.19349504377048E-006</v>
      </c>
      <c r="F55" s="35" t="n">
        <f aca="false">Inputs!$B$16*E55</f>
        <v>9.49575017711388</v>
      </c>
      <c r="G55" s="35" t="n">
        <f aca="false">IF(D55&lt;=Inputs!$B$21,1,IF(D55&lt;=Inputs!$B$22,2,IF(D55&lt;=Inputs!$B$23,3,IF(D55&lt;=Inputs!$B$24,4,5))))</f>
        <v>1</v>
      </c>
      <c r="H55" s="35" t="n">
        <f aca="false">Fit!$B$10*D55^(-1/Fit!$B$9)</f>
        <v>18471.9414286768</v>
      </c>
      <c r="I55" s="35" t="n">
        <f aca="false">EXP(Fit!$B$16+Fit!$B$15*-NORMSINV(D55))</f>
        <v>1060.52884050875</v>
      </c>
      <c r="J55" s="35" t="n">
        <f aca="false">Fit!$B$22*LN(1/D55)^(1/Fit!$B$21)</f>
        <v>443.99647727366</v>
      </c>
      <c r="K55" s="35" t="n">
        <f aca="false">MAX(0,Fit!$B$28+Fit!$B$27*-NORMSINV(D55))</f>
        <v>286.986368748595</v>
      </c>
      <c r="L55" s="35" t="n">
        <f aca="false">INDEX(H55:K55,1,Inputs!$B$5)</f>
        <v>18471.9414286768</v>
      </c>
      <c r="M55" s="35" t="n">
        <f aca="false">L55*E55</f>
        <v>0.0774619948299746</v>
      </c>
      <c r="N55" s="35" t="n">
        <f aca="false">L55^$AB$7</f>
        <v>18471.9414286768</v>
      </c>
      <c r="O55" s="35" t="n">
        <f aca="false">N55*E55</f>
        <v>0.0774619948299746</v>
      </c>
      <c r="P55" s="35" t="n">
        <f aca="false">N55*$AB$3/($AB$4*$AB$1)</f>
        <v>124573953.23325</v>
      </c>
      <c r="Q55" s="35" t="n">
        <f aca="false">IF(G55&lt;=3,F55*SQRT(P55),0)</f>
        <v>105984.633799992</v>
      </c>
      <c r="R55" s="35" t="n">
        <f aca="false">SQRT(P55/$AB$6)</f>
        <v>5156929017.98408</v>
      </c>
      <c r="S55" s="35" t="n">
        <f aca="false">2*$AB$6*R55</f>
        <v>0.0483132316922786</v>
      </c>
      <c r="T55" s="35" t="n">
        <f aca="false">IF(G55&lt;=3,F55*R55,0)</f>
        <v>48968909635.8861</v>
      </c>
      <c r="U55" s="35" t="n">
        <f aca="false">F55*P55</f>
        <v>1182923138.47841</v>
      </c>
      <c r="V55" s="35" t="n">
        <f aca="false">H55^$AB$7*E55</f>
        <v>0.0774619948299746</v>
      </c>
      <c r="W55" s="35" t="n">
        <f aca="false">I55^$AB$7*E55</f>
        <v>0.00444732243644909</v>
      </c>
      <c r="X55" s="35" t="n">
        <f aca="false">J55^$AB$7*E55</f>
        <v>0.00186189702689864</v>
      </c>
      <c r="Y55" s="35" t="n">
        <f aca="false">K55^$AB$7*E55</f>
        <v>0.00120347591497692</v>
      </c>
    </row>
    <row r="56" customFormat="false" ht="15" hidden="false" customHeight="false" outlineLevel="0" collapsed="false">
      <c r="A56" s="35" t="n">
        <v>54</v>
      </c>
      <c r="B56" s="35" t="n">
        <f aca="false">C55</f>
        <v>4.85295480914804E-005</v>
      </c>
      <c r="C56" s="35" t="n">
        <f aca="false">(1/Inputs!$B$16)*(Inputs!$B$21/(1/Inputs!$B$16))^(53/60)</f>
        <v>5.31196819759524E-005</v>
      </c>
      <c r="D56" s="35" t="n">
        <f aca="false">(B56+C56)/2</f>
        <v>5.08246150337164E-005</v>
      </c>
      <c r="E56" s="35" t="n">
        <f aca="false">C56-B56</f>
        <v>4.59013388447204E-006</v>
      </c>
      <c r="F56" s="35" t="n">
        <f aca="false">Inputs!$B$16*E56</f>
        <v>10.3938991679985</v>
      </c>
      <c r="G56" s="35" t="n">
        <f aca="false">IF(D56&lt;=Inputs!$B$21,1,IF(D56&lt;=Inputs!$B$22,2,IF(D56&lt;=Inputs!$B$23,3,IF(D56&lt;=Inputs!$B$24,4,5))))</f>
        <v>1</v>
      </c>
      <c r="H56" s="35" t="n">
        <f aca="false">Fit!$B$10*D56^(-1/Fit!$B$9)</f>
        <v>17413.3481765061</v>
      </c>
      <c r="I56" s="35" t="n">
        <f aca="false">EXP(Fit!$B$16+Fit!$B$15*-NORMSINV(D56))</f>
        <v>1041.65799335528</v>
      </c>
      <c r="J56" s="35" t="n">
        <f aca="false">Fit!$B$22*LN(1/D56)^(1/Fit!$B$21)</f>
        <v>440.473841606098</v>
      </c>
      <c r="K56" s="35" t="n">
        <f aca="false">MAX(0,Fit!$B$28+Fit!$B$27*-NORMSINV(D56))</f>
        <v>285.61972433529</v>
      </c>
      <c r="L56" s="35" t="n">
        <f aca="false">INDEX(H56:K56,1,Inputs!$B$5)</f>
        <v>17413.3481765061</v>
      </c>
      <c r="M56" s="35" t="n">
        <f aca="false">L56*E56</f>
        <v>0.0799295995070901</v>
      </c>
      <c r="N56" s="35" t="n">
        <f aca="false">L56^$AB$7</f>
        <v>17413.3481765061</v>
      </c>
      <c r="O56" s="35" t="n">
        <f aca="false">N56*E56</f>
        <v>0.0799295995070901</v>
      </c>
      <c r="P56" s="35" t="n">
        <f aca="false">N56*$AB$3/($AB$4*$AB$1)</f>
        <v>117434847.319661</v>
      </c>
      <c r="Q56" s="35" t="n">
        <f aca="false">IF(G56&lt;=3,F56*SQRT(P56),0)</f>
        <v>112635.941383402</v>
      </c>
      <c r="R56" s="35" t="n">
        <f aca="false">SQRT(P56/$AB$6)</f>
        <v>5006981930.54623</v>
      </c>
      <c r="S56" s="35" t="n">
        <f aca="false">2*$AB$6*R56</f>
        <v>0.0469084366385357</v>
      </c>
      <c r="T56" s="35" t="n">
        <f aca="false">IF(G56&lt;=3,F56*R56,0)</f>
        <v>52042065322.0879</v>
      </c>
      <c r="U56" s="35" t="n">
        <f aca="false">F56*P56</f>
        <v>1220605961.84985</v>
      </c>
      <c r="V56" s="35" t="n">
        <f aca="false">H56^$AB$7*E56</f>
        <v>0.0799295995070901</v>
      </c>
      <c r="W56" s="35" t="n">
        <f aca="false">I56^$AB$7*E56</f>
        <v>0.00478134965133121</v>
      </c>
      <c r="X56" s="35" t="n">
        <f aca="false">J56^$AB$7*E56</f>
        <v>0.00202183390557972</v>
      </c>
      <c r="Y56" s="35" t="n">
        <f aca="false">K56^$AB$7*E56</f>
        <v>0.00131103277474498</v>
      </c>
    </row>
    <row r="57" customFormat="false" ht="15" hidden="false" customHeight="false" outlineLevel="0" collapsed="false">
      <c r="A57" s="35" t="n">
        <v>55</v>
      </c>
      <c r="B57" s="35" t="n">
        <f aca="false">C56</f>
        <v>5.31196819759524E-005</v>
      </c>
      <c r="C57" s="35" t="n">
        <f aca="false">(1/Inputs!$B$16)*(Inputs!$B$21/(1/Inputs!$B$16))^(54/60)</f>
        <v>5.81439705127131E-005</v>
      </c>
      <c r="D57" s="35" t="n">
        <f aca="false">(B57+C57)/2</f>
        <v>5.56318262443328E-005</v>
      </c>
      <c r="E57" s="35" t="n">
        <f aca="false">C57-B57</f>
        <v>5.02428853676066E-006</v>
      </c>
      <c r="F57" s="35" t="n">
        <f aca="false">Inputs!$B$16*E57</f>
        <v>11.3769989626408</v>
      </c>
      <c r="G57" s="35" t="n">
        <f aca="false">IF(D57&lt;=Inputs!$B$21,1,IF(D57&lt;=Inputs!$B$22,2,IF(D57&lt;=Inputs!$B$23,3,IF(D57&lt;=Inputs!$B$24,4,5))))</f>
        <v>1</v>
      </c>
      <c r="H57" s="35" t="n">
        <f aca="false">Fit!$B$10*D57^(-1/Fit!$B$9)</f>
        <v>16415.4209716954</v>
      </c>
      <c r="I57" s="35" t="n">
        <f aca="false">EXP(Fit!$B$16+Fit!$B$15*-NORMSINV(D57))</f>
        <v>1023.02955764004</v>
      </c>
      <c r="J57" s="35" t="n">
        <f aca="false">Fit!$B$22*LN(1/D57)^(1/Fit!$B$21)</f>
        <v>436.947192301689</v>
      </c>
      <c r="K57" s="35" t="n">
        <f aca="false">MAX(0,Fit!$B$28+Fit!$B$27*-NORMSINV(D57))</f>
        <v>284.246132779907</v>
      </c>
      <c r="L57" s="35" t="n">
        <f aca="false">INDEX(H57:K57,1,Inputs!$B$5)</f>
        <v>16415.4209716954</v>
      </c>
      <c r="M57" s="35" t="n">
        <f aca="false">L57*E57</f>
        <v>0.0824758114141894</v>
      </c>
      <c r="N57" s="35" t="n">
        <f aca="false">L57^$AB$7</f>
        <v>16415.4209716954</v>
      </c>
      <c r="O57" s="35" t="n">
        <f aca="false">N57*E57</f>
        <v>0.0824758114141894</v>
      </c>
      <c r="P57" s="35" t="n">
        <f aca="false">N57*$AB$3/($AB$4*$AB$1)</f>
        <v>110704870.537183</v>
      </c>
      <c r="Q57" s="35" t="n">
        <f aca="false">IF(G57&lt;=3,F57*SQRT(P57),0)</f>
        <v>119704.666954525</v>
      </c>
      <c r="R57" s="35" t="n">
        <f aca="false">SQRT(P57/$AB$6)</f>
        <v>4861394827.30686</v>
      </c>
      <c r="S57" s="35" t="n">
        <f aca="false">2*$AB$6*R57</f>
        <v>0.0455444885551547</v>
      </c>
      <c r="T57" s="35" t="n">
        <f aca="false">IF(G57&lt;=3,F57*R57,0)</f>
        <v>55308083907.2577</v>
      </c>
      <c r="U57" s="35" t="n">
        <f aca="false">F57*P57</f>
        <v>1259489197.26082</v>
      </c>
      <c r="V57" s="35" t="n">
        <f aca="false">H57^$AB$7*E57</f>
        <v>0.0824758114141894</v>
      </c>
      <c r="W57" s="35" t="n">
        <f aca="false">I57^$AB$7*E57</f>
        <v>0.00513999567921817</v>
      </c>
      <c r="X57" s="35" t="n">
        <f aca="false">J57^$AB$7*E57</f>
        <v>0.00219534876945113</v>
      </c>
      <c r="Y57" s="35" t="n">
        <f aca="false">K57^$AB$7*E57</f>
        <v>0.00142813458654463</v>
      </c>
    </row>
    <row r="58" customFormat="false" ht="15" hidden="false" customHeight="false" outlineLevel="0" collapsed="false">
      <c r="A58" s="35" t="n">
        <v>56</v>
      </c>
      <c r="B58" s="35" t="n">
        <f aca="false">C57</f>
        <v>5.81439705127131E-005</v>
      </c>
      <c r="C58" s="35" t="n">
        <f aca="false">(1/Inputs!$B$16)*(Inputs!$B$21/(1/Inputs!$B$16))^(55/60)</f>
        <v>6.36434779205515E-005</v>
      </c>
      <c r="D58" s="35" t="n">
        <f aca="false">(B58+C58)/2</f>
        <v>6.08937242166323E-005</v>
      </c>
      <c r="E58" s="35" t="n">
        <f aca="false">C58-B58</f>
        <v>5.49950740783841E-006</v>
      </c>
      <c r="F58" s="35" t="n">
        <f aca="false">Inputs!$B$16*E58</f>
        <v>12.4530845743093</v>
      </c>
      <c r="G58" s="35" t="n">
        <f aca="false">IF(D58&lt;=Inputs!$B$21,1,IF(D58&lt;=Inputs!$B$22,2,IF(D58&lt;=Inputs!$B$23,3,IF(D58&lt;=Inputs!$B$24,4,5))))</f>
        <v>1</v>
      </c>
      <c r="H58" s="35" t="n">
        <f aca="false">Fit!$B$10*D58^(-1/Fit!$B$9)</f>
        <v>15474.6831537852</v>
      </c>
      <c r="I58" s="35" t="n">
        <f aca="false">EXP(Fit!$B$16+Fit!$B$15*-NORMSINV(D58))</f>
        <v>1004.6411967308</v>
      </c>
      <c r="J58" s="35" t="n">
        <f aca="false">Fit!$B$22*LN(1/D58)^(1/Fit!$B$21)</f>
        <v>433.416487697116</v>
      </c>
      <c r="K58" s="35" t="n">
        <f aca="false">MAX(0,Fit!$B$28+Fit!$B$27*-NORMSINV(D58))</f>
        <v>282.865490187601</v>
      </c>
      <c r="L58" s="35" t="n">
        <f aca="false">INDEX(H58:K58,1,Inputs!$B$5)</f>
        <v>15474.6831537852</v>
      </c>
      <c r="M58" s="35" t="n">
        <f aca="false">L58*E58</f>
        <v>0.085103134638194</v>
      </c>
      <c r="N58" s="35" t="n">
        <f aca="false">L58^$AB$7</f>
        <v>15474.6831537852</v>
      </c>
      <c r="O58" s="35" t="n">
        <f aca="false">N58*E58</f>
        <v>0.085103134638194</v>
      </c>
      <c r="P58" s="35" t="n">
        <f aca="false">N58*$AB$3/($AB$4*$AB$1)</f>
        <v>104360576.441969</v>
      </c>
      <c r="Q58" s="35" t="n">
        <f aca="false">IF(G58&lt;=3,F58*SQRT(P58),0)</f>
        <v>127217.006531851</v>
      </c>
      <c r="R58" s="35" t="n">
        <f aca="false">SQRT(P58/$AB$6)</f>
        <v>4720040933.79816</v>
      </c>
      <c r="S58" s="35" t="n">
        <f aca="false">2*$AB$6*R58</f>
        <v>0.044220199742205</v>
      </c>
      <c r="T58" s="35" t="n">
        <f aca="false">IF(G58&lt;=3,F58*R58,0)</f>
        <v>58779068942.7903</v>
      </c>
      <c r="U58" s="35" t="n">
        <f aca="false">F58*P58</f>
        <v>1299611084.65551</v>
      </c>
      <c r="V58" s="35" t="n">
        <f aca="false">H58^$AB$7*E58</f>
        <v>0.085103134638194</v>
      </c>
      <c r="W58" s="35" t="n">
        <f aca="false">I58^$AB$7*E58</f>
        <v>0.00552503170364069</v>
      </c>
      <c r="X58" s="35" t="n">
        <f aca="false">J58^$AB$7*E58</f>
        <v>0.0023835771847696</v>
      </c>
      <c r="Y58" s="35" t="n">
        <f aca="false">K58^$AB$7*E58</f>
        <v>0.00155562085870856</v>
      </c>
    </row>
    <row r="59" customFormat="false" ht="15" hidden="false" customHeight="false" outlineLevel="0" collapsed="false">
      <c r="A59" s="35" t="n">
        <v>57</v>
      </c>
      <c r="B59" s="35" t="n">
        <f aca="false">C58</f>
        <v>6.36434779205515E-005</v>
      </c>
      <c r="C59" s="35" t="n">
        <f aca="false">(1/Inputs!$B$16)*(Inputs!$B$21/(1/Inputs!$B$16))^(56/60)</f>
        <v>6.96631524491107E-005</v>
      </c>
      <c r="D59" s="35" t="n">
        <f aca="false">(B59+C59)/2</f>
        <v>6.66533151848311E-005</v>
      </c>
      <c r="E59" s="35" t="n">
        <f aca="false">C59-B59</f>
        <v>6.01967452855921E-006</v>
      </c>
      <c r="F59" s="35" t="n">
        <f aca="false">Inputs!$B$16*E59</f>
        <v>13.6309510024695</v>
      </c>
      <c r="G59" s="35" t="n">
        <f aca="false">IF(D59&lt;=Inputs!$B$21,1,IF(D59&lt;=Inputs!$B$22,2,IF(D59&lt;=Inputs!$B$23,3,IF(D59&lt;=Inputs!$B$24,4,5))))</f>
        <v>1</v>
      </c>
      <c r="H59" s="35" t="n">
        <f aca="false">Fit!$B$10*D59^(-1/Fit!$B$9)</f>
        <v>14587.8573033825</v>
      </c>
      <c r="I59" s="35" t="n">
        <f aca="false">EXP(Fit!$B$16+Fit!$B$15*-NORMSINV(D59))</f>
        <v>986.490591507296</v>
      </c>
      <c r="J59" s="35" t="n">
        <f aca="false">Fit!$B$22*LN(1/D59)^(1/Fit!$B$21)</f>
        <v>429.881685304384</v>
      </c>
      <c r="K59" s="35" t="n">
        <f aca="false">MAX(0,Fit!$B$28+Fit!$B$27*-NORMSINV(D59))</f>
        <v>281.477690088707</v>
      </c>
      <c r="L59" s="35" t="n">
        <f aca="false">INDEX(H59:K59,1,Inputs!$B$5)</f>
        <v>14587.8573033825</v>
      </c>
      <c r="M59" s="35" t="n">
        <f aca="false">L59*E59</f>
        <v>0.0878141530354279</v>
      </c>
      <c r="N59" s="35" t="n">
        <f aca="false">L59^$AB$7</f>
        <v>14587.8573033825</v>
      </c>
      <c r="O59" s="35" t="n">
        <f aca="false">N59*E59</f>
        <v>0.0878141530354279</v>
      </c>
      <c r="P59" s="35" t="n">
        <f aca="false">N59*$AB$3/($AB$4*$AB$1)</f>
        <v>98379862.2630795</v>
      </c>
      <c r="Q59" s="35" t="n">
        <f aca="false">IF(G59&lt;=3,F59*SQRT(P59),0)</f>
        <v>135200.800124807</v>
      </c>
      <c r="R59" s="35" t="n">
        <f aca="false">SQRT(P59/$AB$6)</f>
        <v>4582797161.75044</v>
      </c>
      <c r="S59" s="35" t="n">
        <f aca="false">2*$AB$6*R59</f>
        <v>0.0429344170342911</v>
      </c>
      <c r="T59" s="35" t="n">
        <f aca="false">IF(G59&lt;=3,F59*R59,0)</f>
        <v>62467883566.0765</v>
      </c>
      <c r="U59" s="35" t="n">
        <f aca="false">F59*P59</f>
        <v>1341011082.13773</v>
      </c>
      <c r="V59" s="35" t="n">
        <f aca="false">H59^$AB$7*E59</f>
        <v>0.0878141530354279</v>
      </c>
      <c r="W59" s="35" t="n">
        <f aca="false">I59^$AB$7*E59</f>
        <v>0.00593835228635978</v>
      </c>
      <c r="X59" s="35" t="n">
        <f aca="false">J59^$AB$7*E59</f>
        <v>0.00258774783132091</v>
      </c>
      <c r="Y59" s="35" t="n">
        <f aca="false">K59^$AB$7*E59</f>
        <v>0.00169440408138467</v>
      </c>
    </row>
    <row r="60" customFormat="false" ht="15" hidden="false" customHeight="false" outlineLevel="0" collapsed="false">
      <c r="A60" s="35" t="n">
        <v>58</v>
      </c>
      <c r="B60" s="35" t="n">
        <f aca="false">C59</f>
        <v>6.96631524491107E-005</v>
      </c>
      <c r="C60" s="35" t="n">
        <f aca="false">(1/Inputs!$B$16)*(Inputs!$B$21/(1/Inputs!$B$16))^(57/60)</f>
        <v>7.62521937472707E-005</v>
      </c>
      <c r="D60" s="35" t="n">
        <f aca="false">(B60+C60)/2</f>
        <v>7.29576730981907E-005</v>
      </c>
      <c r="E60" s="35" t="n">
        <f aca="false">C60-B60</f>
        <v>6.58904129815996E-006</v>
      </c>
      <c r="F60" s="35" t="n">
        <f aca="false">Inputs!$B$16*E60</f>
        <v>14.9202251155534</v>
      </c>
      <c r="G60" s="35" t="n">
        <f aca="false">IF(D60&lt;=Inputs!$B$21,1,IF(D60&lt;=Inputs!$B$22,2,IF(D60&lt;=Inputs!$B$23,3,IF(D60&lt;=Inputs!$B$24,4,5))))</f>
        <v>1</v>
      </c>
      <c r="H60" s="35" t="n">
        <f aca="false">Fit!$B$10*D60^(-1/Fit!$B$9)</f>
        <v>13751.8538240181</v>
      </c>
      <c r="I60" s="35" t="n">
        <f aca="false">EXP(Fit!$B$16+Fit!$B$15*-NORMSINV(D60))</f>
        <v>968.575440246509</v>
      </c>
      <c r="J60" s="35" t="n">
        <f aca="false">Fit!$B$22*LN(1/D60)^(1/Fit!$B$21)</f>
        <v>426.342741786582</v>
      </c>
      <c r="K60" s="35" t="n">
        <f aca="false">MAX(0,Fit!$B$28+Fit!$B$27*-NORMSINV(D60))</f>
        <v>280.082623349415</v>
      </c>
      <c r="L60" s="35" t="n">
        <f aca="false">INDEX(H60:K60,1,Inputs!$B$5)</f>
        <v>13751.8538240181</v>
      </c>
      <c r="M60" s="35" t="n">
        <f aca="false">L60*E60</f>
        <v>0.0906115327727141</v>
      </c>
      <c r="N60" s="35" t="n">
        <f aca="false">L60^$AB$7</f>
        <v>13751.8538240181</v>
      </c>
      <c r="O60" s="35" t="n">
        <f aca="false">N60*E60</f>
        <v>0.0906115327727141</v>
      </c>
      <c r="P60" s="35" t="n">
        <f aca="false">N60*$AB$3/($AB$4*$AB$1)</f>
        <v>92741891.8990388</v>
      </c>
      <c r="Q60" s="35" t="n">
        <f aca="false">IF(G60&lt;=3,F60*SQRT(P60),0)</f>
        <v>143685.634906141</v>
      </c>
      <c r="R60" s="35" t="n">
        <f aca="false">SQRT(P60/$AB$6)</f>
        <v>4449544001.90929</v>
      </c>
      <c r="S60" s="35" t="n">
        <f aca="false">2*$AB$6*R60</f>
        <v>0.0416860207963978</v>
      </c>
      <c r="T60" s="35" t="n">
        <f aca="false">IF(G60&lt;=3,F60*R60,0)</f>
        <v>66388198170.047</v>
      </c>
      <c r="U60" s="35" t="n">
        <f aca="false">F60*P60</f>
        <v>1383729904.77598</v>
      </c>
      <c r="V60" s="35" t="n">
        <f aca="false">H60^$AB$7*E60</f>
        <v>0.0906115327727141</v>
      </c>
      <c r="W60" s="35" t="n">
        <f aca="false">I60^$AB$7*E60</f>
        <v>0.00638198357616771</v>
      </c>
      <c r="X60" s="35" t="n">
        <f aca="false">J60^$AB$7*E60</f>
        <v>0.00280918993280254</v>
      </c>
      <c r="Y60" s="35" t="n">
        <f aca="false">K60^$AB$7*E60</f>
        <v>0.00184547597214628</v>
      </c>
    </row>
    <row r="61" customFormat="false" ht="15" hidden="false" customHeight="false" outlineLevel="0" collapsed="false">
      <c r="A61" s="35" t="n">
        <v>59</v>
      </c>
      <c r="B61" s="35" t="n">
        <f aca="false">C60</f>
        <v>7.62521937472707E-005</v>
      </c>
      <c r="C61" s="35" t="n">
        <f aca="false">(1/Inputs!$B$16)*(Inputs!$B$21/(1/Inputs!$B$16))^(58/60)</f>
        <v>8.34644549788176E-005</v>
      </c>
      <c r="D61" s="35" t="n">
        <f aca="false">(B61+C61)/2</f>
        <v>7.98583243630441E-005</v>
      </c>
      <c r="E61" s="35" t="n">
        <f aca="false">C61-B61</f>
        <v>7.21226123154693E-006</v>
      </c>
      <c r="F61" s="35" t="n">
        <f aca="false">Inputs!$B$16*E61</f>
        <v>16.3314443327149</v>
      </c>
      <c r="G61" s="35" t="n">
        <f aca="false">IF(D61&lt;=Inputs!$B$21,1,IF(D61&lt;=Inputs!$B$22,2,IF(D61&lt;=Inputs!$B$23,3,IF(D61&lt;=Inputs!$B$24,4,5))))</f>
        <v>1</v>
      </c>
      <c r="H61" s="35" t="n">
        <f aca="false">Fit!$B$10*D61^(-1/Fit!$B$9)</f>
        <v>12963.7601783581</v>
      </c>
      <c r="I61" s="35" t="n">
        <f aca="false">EXP(Fit!$B$16+Fit!$B$15*-NORMSINV(D61))</f>
        <v>950.893458508243</v>
      </c>
      <c r="J61" s="35" t="n">
        <f aca="false">Fit!$B$22*LN(1/D61)^(1/Fit!$B$21)</f>
        <v>422.799612932702</v>
      </c>
      <c r="K61" s="35" t="n">
        <f aca="false">MAX(0,Fit!$B$28+Fit!$B$27*-NORMSINV(D61))</f>
        <v>278.680178078459</v>
      </c>
      <c r="L61" s="35" t="n">
        <f aca="false">INDEX(H61:K61,1,Inputs!$B$5)</f>
        <v>12963.7601783581</v>
      </c>
      <c r="M61" s="35" t="n">
        <f aca="false">L61*E61</f>
        <v>0.0934980249494444</v>
      </c>
      <c r="N61" s="35" t="n">
        <f aca="false">L61^$AB$7</f>
        <v>12963.7601783581</v>
      </c>
      <c r="O61" s="35" t="n">
        <f aca="false">N61*E61</f>
        <v>0.0934980249494444</v>
      </c>
      <c r="P61" s="35" t="n">
        <f aca="false">N61*$AB$3/($AB$4*$AB$1)</f>
        <v>87427023.3273223</v>
      </c>
      <c r="Q61" s="35" t="n">
        <f aca="false">IF(G61&lt;=3,F61*SQRT(P61),0)</f>
        <v>152702.954859164</v>
      </c>
      <c r="R61" s="35" t="n">
        <f aca="false">SQRT(P61/$AB$6)</f>
        <v>4320165419.96912</v>
      </c>
      <c r="S61" s="35" t="n">
        <f aca="false">2*$AB$6*R61</f>
        <v>0.040473923948934</v>
      </c>
      <c r="T61" s="35" t="n">
        <f aca="false">IF(G61&lt;=3,F61*R61,0)</f>
        <v>70554541064.3455</v>
      </c>
      <c r="U61" s="35" t="n">
        <f aca="false">F61*P61</f>
        <v>1427809564.64513</v>
      </c>
      <c r="V61" s="35" t="n">
        <f aca="false">H61^$AB$7*E61</f>
        <v>0.0934980249494444</v>
      </c>
      <c r="W61" s="35" t="n">
        <f aca="false">I61^$AB$7*E61</f>
        <v>0.00685809202613058</v>
      </c>
      <c r="X61" s="35" t="n">
        <f aca="false">J61^$AB$7*E61</f>
        <v>0.00304934125706758</v>
      </c>
      <c r="Y61" s="35" t="n">
        <f aca="false">K61^$AB$7*E61</f>
        <v>0.00200991424435586</v>
      </c>
    </row>
    <row r="62" customFormat="false" ht="15" hidden="false" customHeight="false" outlineLevel="0" collapsed="false">
      <c r="A62" s="35" t="n">
        <v>60</v>
      </c>
      <c r="B62" s="35" t="n">
        <f aca="false">C61</f>
        <v>8.34644549788176E-005</v>
      </c>
      <c r="C62" s="35" t="n">
        <f aca="false">(1/Inputs!$B$16)*(Inputs!$B$21/(1/Inputs!$B$16))^(59/60)</f>
        <v>9.13588829719462E-005</v>
      </c>
      <c r="D62" s="35" t="n">
        <f aca="false">(B62+C62)/2</f>
        <v>8.74116689753819E-005</v>
      </c>
      <c r="E62" s="35" t="n">
        <f aca="false">C62-B62</f>
        <v>7.89442799312857E-006</v>
      </c>
      <c r="F62" s="35" t="n">
        <f aca="false">Inputs!$B$16*E62</f>
        <v>17.8761427476403</v>
      </c>
      <c r="G62" s="35" t="n">
        <f aca="false">IF(D62&lt;=Inputs!$B$21,1,IF(D62&lt;=Inputs!$B$22,2,IF(D62&lt;=Inputs!$B$23,3,IF(D62&lt;=Inputs!$B$24,4,5))))</f>
        <v>1</v>
      </c>
      <c r="H62" s="35" t="n">
        <f aca="false">Fit!$B$10*D62^(-1/Fit!$B$9)</f>
        <v>12220.830741268</v>
      </c>
      <c r="I62" s="35" t="n">
        <f aca="false">EXP(Fit!$B$16+Fit!$B$15*-NORMSINV(D62))</f>
        <v>933.442379020883</v>
      </c>
      <c r="J62" s="35" t="n">
        <f aca="false">Fit!$B$22*LN(1/D62)^(1/Fit!$B$21)</f>
        <v>419.252253631465</v>
      </c>
      <c r="K62" s="35" t="n">
        <f aca="false">MAX(0,Fit!$B$28+Fit!$B$27*-NORMSINV(D62))</f>
        <v>277.270239529579</v>
      </c>
      <c r="L62" s="35" t="n">
        <f aca="false">INDEX(H62:K62,1,Inputs!$B$5)</f>
        <v>12220.830741268</v>
      </c>
      <c r="M62" s="35" t="n">
        <f aca="false">L62*E62</f>
        <v>0.0964764683031525</v>
      </c>
      <c r="N62" s="35" t="n">
        <f aca="false">L62^$AB$7</f>
        <v>12220.830741268</v>
      </c>
      <c r="O62" s="35" t="n">
        <f aca="false">N62*E62</f>
        <v>0.0964764683031525</v>
      </c>
      <c r="P62" s="35" t="n">
        <f aca="false">N62*$AB$3/($AB$4*$AB$1)</f>
        <v>82416740.1738693</v>
      </c>
      <c r="Q62" s="35" t="n">
        <f aca="false">IF(G62&lt;=3,F62*SQRT(P62),0)</f>
        <v>162286.177306113</v>
      </c>
      <c r="R62" s="35" t="n">
        <f aca="false">SQRT(P62/$AB$6)</f>
        <v>4194548755.53279</v>
      </c>
      <c r="S62" s="35" t="n">
        <f aca="false">2*$AB$6*R62</f>
        <v>0.0392970710211238</v>
      </c>
      <c r="T62" s="35" t="n">
        <f aca="false">IF(G62&lt;=3,F62*R62,0)</f>
        <v>74982352315.8414</v>
      </c>
      <c r="U62" s="35" t="n">
        <f aca="false">F62*P62</f>
        <v>1473293412.14327</v>
      </c>
      <c r="V62" s="35" t="n">
        <f aca="false">H62^$AB$7*E62</f>
        <v>0.0964764683031525</v>
      </c>
      <c r="W62" s="35" t="n">
        <f aca="false">I62^$AB$7*E62</f>
        <v>0.00736899364691499</v>
      </c>
      <c r="X62" s="35" t="n">
        <f aca="false">J62^$AB$7*E62</f>
        <v>0.00330975672725048</v>
      </c>
      <c r="Y62" s="35" t="n">
        <f aca="false">K62^$AB$7*E62</f>
        <v>0.00218888994060377</v>
      </c>
    </row>
    <row r="63" customFormat="false" ht="15" hidden="false" customHeight="false" outlineLevel="0" collapsed="false">
      <c r="A63" s="35" t="n">
        <v>61</v>
      </c>
      <c r="B63" s="35" t="n">
        <f aca="false">C62</f>
        <v>9.13588829719462E-005</v>
      </c>
      <c r="C63" s="35" t="n">
        <f aca="false">(1/Inputs!$B$16)*(Inputs!$B$21/(1/Inputs!$B$16))^(60/60)</f>
        <v>0.0001</v>
      </c>
      <c r="D63" s="35" t="n">
        <f aca="false">(B63+C63)/2</f>
        <v>9.56794414859731E-005</v>
      </c>
      <c r="E63" s="35" t="n">
        <f aca="false">C63-B63</f>
        <v>8.64111702805383E-006</v>
      </c>
      <c r="F63" s="35" t="n">
        <f aca="false">Inputs!$B$16*E63</f>
        <v>19.5669453983251</v>
      </c>
      <c r="G63" s="35" t="n">
        <f aca="false">IF(D63&lt;=Inputs!$B$21,1,IF(D63&lt;=Inputs!$B$22,2,IF(D63&lt;=Inputs!$B$23,3,IF(D63&lt;=Inputs!$B$24,4,5))))</f>
        <v>1</v>
      </c>
      <c r="H63" s="35" t="n">
        <f aca="false">Fit!$B$10*D63^(-1/Fit!$B$9)</f>
        <v>11520.4772343788</v>
      </c>
      <c r="I63" s="35" t="n">
        <f aca="false">EXP(Fit!$B$16+Fit!$B$15*-NORMSINV(D63))</f>
        <v>916.219951567364</v>
      </c>
      <c r="J63" s="35" t="n">
        <f aca="false">Fit!$B$22*LN(1/D63)^(1/Fit!$B$21)</f>
        <v>415.700617844095</v>
      </c>
      <c r="K63" s="35" t="n">
        <f aca="false">MAX(0,Fit!$B$28+Fit!$B$27*-NORMSINV(D63))</f>
        <v>275.852689999547</v>
      </c>
      <c r="L63" s="35" t="n">
        <f aca="false">INDEX(H63:K63,1,Inputs!$B$5)</f>
        <v>11520.4772343788</v>
      </c>
      <c r="M63" s="35" t="n">
        <f aca="false">L63*E63</f>
        <v>0.0995497920012972</v>
      </c>
      <c r="N63" s="35" t="n">
        <f aca="false">L63^$AB$7</f>
        <v>11520.4772343788</v>
      </c>
      <c r="O63" s="35" t="n">
        <f aca="false">N63*E63</f>
        <v>0.0995497920012972</v>
      </c>
      <c r="P63" s="35" t="n">
        <f aca="false">N63*$AB$3/($AB$4*$AB$1)</f>
        <v>77693587.2042245</v>
      </c>
      <c r="Q63" s="35" t="n">
        <f aca="false">IF(G63&lt;=3,F63*SQRT(P63),0)</f>
        <v>172470.816749563</v>
      </c>
      <c r="R63" s="35" t="n">
        <f aca="false">SQRT(P63/$AB$6)</f>
        <v>4072584624.00902</v>
      </c>
      <c r="S63" s="35" t="n">
        <f aca="false">2*$AB$6*R63</f>
        <v>0.0381544372319236</v>
      </c>
      <c r="T63" s="35" t="n">
        <f aca="false">IF(G63&lt;=3,F63*R63,0)</f>
        <v>79688040968.0428</v>
      </c>
      <c r="U63" s="35" t="n">
        <f aca="false">F63*P63</f>
        <v>1520226178.62507</v>
      </c>
      <c r="V63" s="35" t="n">
        <f aca="false">H63^$AB$7*E63</f>
        <v>0.0995497920012972</v>
      </c>
      <c r="W63" s="35" t="n">
        <f aca="false">I63^$AB$7*E63</f>
        <v>0.00791716382493141</v>
      </c>
      <c r="X63" s="35" t="n">
        <f aca="false">J63^$AB$7*E63</f>
        <v>0.0035921176874251</v>
      </c>
      <c r="Y63" s="35" t="n">
        <f aca="false">K63^$AB$7*E63</f>
        <v>0.00238367537678954</v>
      </c>
    </row>
    <row r="64" customFormat="false" ht="15" hidden="false" customHeight="false" outlineLevel="0" collapsed="false">
      <c r="A64" s="35" t="n">
        <v>62</v>
      </c>
      <c r="B64" s="35" t="n">
        <f aca="false">C63</f>
        <v>0.0001</v>
      </c>
      <c r="C64" s="35" t="n">
        <f aca="false">Inputs!$B$21*(Inputs!$B$22/Inputs!$B$21)^(1/60)</f>
        <v>0.000103912230383517</v>
      </c>
      <c r="D64" s="35" t="n">
        <f aca="false">(B64+C64)/2</f>
        <v>0.000101956115191758</v>
      </c>
      <c r="E64" s="35" t="n">
        <f aca="false">C64-B64</f>
        <v>3.91223038351691E-006</v>
      </c>
      <c r="F64" s="35" t="n">
        <f aca="false">Inputs!$B$16*E64</f>
        <v>8.85885448043569</v>
      </c>
      <c r="G64" s="35" t="n">
        <f aca="false">IF(D64&lt;=Inputs!$B$21,1,IF(D64&lt;=Inputs!$B$22,2,IF(D64&lt;=Inputs!$B$23,3,IF(D64&lt;=Inputs!$B$24,4,5))))</f>
        <v>2</v>
      </c>
      <c r="H64" s="35" t="n">
        <f aca="false">Fit!$B$10*D64^(-1/Fit!$B$9)</f>
        <v>11052.2525482248</v>
      </c>
      <c r="I64" s="35" t="n">
        <f aca="false">EXP(Fit!$B$16+Fit!$B$15*-NORMSINV(D64))</f>
        <v>904.247195373423</v>
      </c>
      <c r="J64" s="35" t="n">
        <f aca="false">Fit!$B$22*LN(1/D64)^(1/Fit!$B$21)</f>
        <v>413.201010925903</v>
      </c>
      <c r="K64" s="35" t="n">
        <f aca="false">MAX(0,Fit!$B$28+Fit!$B$27*-NORMSINV(D64))</f>
        <v>274.851442754976</v>
      </c>
      <c r="L64" s="35" t="n">
        <f aca="false">INDEX(H64:K64,1,Inputs!$B$5)</f>
        <v>11052.2525482248</v>
      </c>
      <c r="M64" s="35" t="n">
        <f aca="false">L64*E64</f>
        <v>0.0432389582254672</v>
      </c>
      <c r="N64" s="35" t="n">
        <f aca="false">L64^$AB$7</f>
        <v>11052.2525482248</v>
      </c>
      <c r="O64" s="35" t="n">
        <f aca="false">N64*E64</f>
        <v>0.0432389582254672</v>
      </c>
      <c r="P64" s="35" t="n">
        <f aca="false">N64*$AB$3/($AB$4*$AB$1)</f>
        <v>74535900.70003</v>
      </c>
      <c r="Q64" s="35" t="n">
        <f aca="false">IF(G64&lt;=3,F64*SQRT(P64),0)</f>
        <v>76482.1908254947</v>
      </c>
      <c r="R64" s="35" t="n">
        <f aca="false">SQRT(P64/$AB$6)</f>
        <v>3988965519.56015</v>
      </c>
      <c r="S64" s="35" t="n">
        <f aca="false">2*$AB$6*R64</f>
        <v>0.0373710428603799</v>
      </c>
      <c r="T64" s="35" t="n">
        <f aca="false">IF(G64&lt;=3,F64*R64,0)</f>
        <v>35337665065.2589</v>
      </c>
      <c r="U64" s="35" t="n">
        <f aca="false">F64*P64</f>
        <v>660302697.86977</v>
      </c>
      <c r="V64" s="35" t="n">
        <f aca="false">H64^$AB$7*E64</f>
        <v>0.0432389582254672</v>
      </c>
      <c r="W64" s="35" t="n">
        <f aca="false">I64^$AB$7*E64</f>
        <v>0.00353762335194986</v>
      </c>
      <c r="X64" s="35" t="n">
        <f aca="false">J64^$AB$7*E64</f>
        <v>0.00161653754944422</v>
      </c>
      <c r="Y64" s="35" t="n">
        <f aca="false">K64^$AB$7*E64</f>
        <v>0.00107528216529948</v>
      </c>
    </row>
    <row r="65" customFormat="false" ht="15" hidden="false" customHeight="false" outlineLevel="0" collapsed="false">
      <c r="A65" s="35" t="n">
        <v>63</v>
      </c>
      <c r="B65" s="35" t="n">
        <f aca="false">C64</f>
        <v>0.000103912230383517</v>
      </c>
      <c r="C65" s="35" t="n">
        <f aca="false">Inputs!$B$21*(Inputs!$B$22/Inputs!$B$21)^(2/60)</f>
        <v>0.000107977516232771</v>
      </c>
      <c r="D65" s="35" t="n">
        <f aca="false">(B65+C65)/2</f>
        <v>0.000105944873308144</v>
      </c>
      <c r="E65" s="35" t="n">
        <f aca="false">C65-B65</f>
        <v>4.06528584925405E-006</v>
      </c>
      <c r="F65" s="35" t="n">
        <f aca="false">Inputs!$B$16*E65</f>
        <v>9.20543327705088</v>
      </c>
      <c r="G65" s="35" t="n">
        <f aca="false">IF(D65&lt;=Inputs!$B$21,1,IF(D65&lt;=Inputs!$B$22,2,IF(D65&lt;=Inputs!$B$23,3,IF(D65&lt;=Inputs!$B$24,4,5))))</f>
        <v>2</v>
      </c>
      <c r="H65" s="35" t="n">
        <f aca="false">Fit!$B$10*D65^(-1/Fit!$B$9)</f>
        <v>10778.7213915741</v>
      </c>
      <c r="I65" s="35" t="n">
        <f aca="false">EXP(Fit!$B$16+Fit!$B$15*-NORMSINV(D65))</f>
        <v>897.069755019854</v>
      </c>
      <c r="J65" s="35" t="n">
        <f aca="false">Fit!$B$22*LN(1/D65)^(1/Fit!$B$21)</f>
        <v>411.690251546879</v>
      </c>
      <c r="K65" s="35" t="n">
        <f aca="false">MAX(0,Fit!$B$28+Fit!$B$27*-NORMSINV(D65))</f>
        <v>274.244838386052</v>
      </c>
      <c r="L65" s="35" t="n">
        <f aca="false">INDEX(H65:K65,1,Inputs!$B$5)</f>
        <v>10778.7213915741</v>
      </c>
      <c r="M65" s="35" t="n">
        <f aca="false">L65*E65</f>
        <v>0.0438185835462181</v>
      </c>
      <c r="N65" s="35" t="n">
        <f aca="false">L65^$AB$7</f>
        <v>10778.7213915741</v>
      </c>
      <c r="O65" s="35" t="n">
        <f aca="false">N65*E65</f>
        <v>0.0438185835462181</v>
      </c>
      <c r="P65" s="35" t="n">
        <f aca="false">N65*$AB$3/($AB$4*$AB$1)</f>
        <v>72691218.7185496</v>
      </c>
      <c r="Q65" s="35" t="n">
        <f aca="false">IF(G65&lt;=3,F65*SQRT(P65),0)</f>
        <v>78484.7374104014</v>
      </c>
      <c r="R65" s="35" t="n">
        <f aca="false">SQRT(P65/$AB$6)</f>
        <v>3939295005.6243</v>
      </c>
      <c r="S65" s="35" t="n">
        <f aca="false">2*$AB$6*R65</f>
        <v>0.0369056994283318</v>
      </c>
      <c r="T65" s="35" t="n">
        <f aca="false">IF(G65&lt;=3,F65*R65,0)</f>
        <v>36262917332.8943</v>
      </c>
      <c r="U65" s="35" t="n">
        <f aca="false">F65*P65</f>
        <v>669154163.741121</v>
      </c>
      <c r="V65" s="35" t="n">
        <f aca="false">H65^$AB$7*E65</f>
        <v>0.0438185835462181</v>
      </c>
      <c r="W65" s="35" t="n">
        <f aca="false">I65^$AB$7*E65</f>
        <v>0.00364684498087601</v>
      </c>
      <c r="X65" s="35" t="n">
        <f aca="false">J65^$AB$7*E65</f>
        <v>0.00167363855388937</v>
      </c>
      <c r="Y65" s="35" t="n">
        <f aca="false">K65^$AB$7*E65</f>
        <v>0.00111488366072178</v>
      </c>
    </row>
    <row r="66" customFormat="false" ht="15" hidden="false" customHeight="false" outlineLevel="0" collapsed="false">
      <c r="A66" s="35" t="n">
        <v>64</v>
      </c>
      <c r="B66" s="35" t="n">
        <f aca="false">C65</f>
        <v>0.000107977516232771</v>
      </c>
      <c r="C66" s="35" t="n">
        <f aca="false">Inputs!$B$21*(Inputs!$B$22/Inputs!$B$21)^(3/60)</f>
        <v>0.000112201845430196</v>
      </c>
      <c r="D66" s="35" t="n">
        <f aca="false">(B66+C66)/2</f>
        <v>0.000110089680831484</v>
      </c>
      <c r="E66" s="35" t="n">
        <f aca="false">C66-B66</f>
        <v>4.22432919742537E-006</v>
      </c>
      <c r="F66" s="35" t="n">
        <f aca="false">Inputs!$B$16*E66</f>
        <v>9.56557103465002</v>
      </c>
      <c r="G66" s="35" t="n">
        <f aca="false">IF(D66&lt;=Inputs!$B$21,1,IF(D66&lt;=Inputs!$B$22,2,IF(D66&lt;=Inputs!$B$23,3,IF(D66&lt;=Inputs!$B$24,4,5))))</f>
        <v>2</v>
      </c>
      <c r="H66" s="35" t="n">
        <f aca="false">Fit!$B$10*D66^(-1/Fit!$B$9)</f>
        <v>10511.9598317393</v>
      </c>
      <c r="I66" s="35" t="n">
        <f aca="false">EXP(Fit!$B$16+Fit!$B$15*-NORMSINV(D66))</f>
        <v>889.932691015931</v>
      </c>
      <c r="J66" s="35" t="n">
        <f aca="false">Fit!$B$22*LN(1/D66)^(1/Fit!$B$21)</f>
        <v>410.178702816088</v>
      </c>
      <c r="K66" s="35" t="n">
        <f aca="false">MAX(0,Fit!$B$28+Fit!$B$27*-NORMSINV(D66))</f>
        <v>273.636814651115</v>
      </c>
      <c r="L66" s="35" t="n">
        <f aca="false">INDEX(H66:K66,1,Inputs!$B$5)</f>
        <v>10511.9598317393</v>
      </c>
      <c r="M66" s="35" t="n">
        <f aca="false">L66*E66</f>
        <v>0.0444059788393789</v>
      </c>
      <c r="N66" s="35" t="n">
        <f aca="false">L66^$AB$7</f>
        <v>10511.9598317393</v>
      </c>
      <c r="O66" s="35" t="n">
        <f aca="false">N66*E66</f>
        <v>0.0444059788393789</v>
      </c>
      <c r="P66" s="35" t="n">
        <f aca="false">N66*$AB$3/($AB$4*$AB$1)</f>
        <v>70892190.5975693</v>
      </c>
      <c r="Q66" s="35" t="n">
        <f aca="false">IF(G66&lt;=3,F66*SQRT(P66),0)</f>
        <v>80539.7170229372</v>
      </c>
      <c r="R66" s="35" t="n">
        <f aca="false">SQRT(P66/$AB$6)</f>
        <v>3890242987.87313</v>
      </c>
      <c r="S66" s="35" t="n">
        <f aca="false">2*$AB$6*R66</f>
        <v>0.0364461504428171</v>
      </c>
      <c r="T66" s="35" t="n">
        <f aca="false">IF(G66&lt;=3,F66*R66,0)</f>
        <v>37212395642.5496</v>
      </c>
      <c r="U66" s="35" t="n">
        <f aca="false">F66*P66</f>
        <v>678124284.962997</v>
      </c>
      <c r="V66" s="35" t="n">
        <f aca="false">H66^$AB$7*E66</f>
        <v>0.0444059788393789</v>
      </c>
      <c r="W66" s="35" t="n">
        <f aca="false">I66^$AB$7*E66</f>
        <v>0.00375936865040193</v>
      </c>
      <c r="X66" s="35" t="n">
        <f aca="false">J66^$AB$7*E66</f>
        <v>0.00173272987046807</v>
      </c>
      <c r="Y66" s="35" t="n">
        <f aca="false">K66^$AB$7*E66</f>
        <v>0.00115593198562118</v>
      </c>
    </row>
    <row r="67" customFormat="false" ht="15" hidden="false" customHeight="false" outlineLevel="0" collapsed="false">
      <c r="A67" s="35" t="n">
        <v>65</v>
      </c>
      <c r="B67" s="35" t="n">
        <f aca="false">C66</f>
        <v>0.000112201845430196</v>
      </c>
      <c r="C67" s="35" t="n">
        <f aca="false">Inputs!$B$21*(Inputs!$B$22/Inputs!$B$21)^(4/60)</f>
        <v>0.000116591440117983</v>
      </c>
      <c r="D67" s="35" t="n">
        <f aca="false">(B67+C67)/2</f>
        <v>0.00011439664277409</v>
      </c>
      <c r="E67" s="35" t="n">
        <f aca="false">C67-B67</f>
        <v>4.38959468778684E-006</v>
      </c>
      <c r="F67" s="35" t="n">
        <f aca="false">Inputs!$B$16*E67</f>
        <v>9.93979821102451</v>
      </c>
      <c r="G67" s="35" t="n">
        <f aca="false">IF(D67&lt;=Inputs!$B$21,1,IF(D67&lt;=Inputs!$B$22,2,IF(D67&lt;=Inputs!$B$23,3,IF(D67&lt;=Inputs!$B$24,4,5))))</f>
        <v>2</v>
      </c>
      <c r="H67" s="35" t="n">
        <f aca="false">Fit!$B$10*D67^(-1/Fit!$B$9)</f>
        <v>10251.8003286067</v>
      </c>
      <c r="I67" s="35" t="n">
        <f aca="false">EXP(Fit!$B$16+Fit!$B$15*-NORMSINV(D67))</f>
        <v>882.835834726726</v>
      </c>
      <c r="J67" s="35" t="n">
        <f aca="false">Fit!$B$22*LN(1/D67)^(1/Fit!$B$21)</f>
        <v>408.666360994823</v>
      </c>
      <c r="K67" s="35" t="n">
        <f aca="false">MAX(0,Fit!$B$28+Fit!$B$27*-NORMSINV(D67))</f>
        <v>273.027361849856</v>
      </c>
      <c r="L67" s="35" t="n">
        <f aca="false">INDEX(H67:K67,1,Inputs!$B$5)</f>
        <v>10251.8003286067</v>
      </c>
      <c r="M67" s="35" t="n">
        <f aca="false">L67*E67</f>
        <v>0.0450012482627035</v>
      </c>
      <c r="N67" s="35" t="n">
        <f aca="false">L67^$AB$7</f>
        <v>10251.8003286067</v>
      </c>
      <c r="O67" s="35" t="n">
        <f aca="false">N67*E67</f>
        <v>0.0450012482627035</v>
      </c>
      <c r="P67" s="35" t="n">
        <f aca="false">N67*$AB$3/($AB$4*$AB$1)</f>
        <v>69137686.4539982</v>
      </c>
      <c r="Q67" s="35" t="n">
        <f aca="false">IF(G67&lt;=3,F67*SQRT(P67),0)</f>
        <v>82648.5025262398</v>
      </c>
      <c r="R67" s="35" t="n">
        <f aca="false">SQRT(P67/$AB$6)</f>
        <v>3841801764.80528</v>
      </c>
      <c r="S67" s="35" t="n">
        <f aca="false">2*$AB$6*R67</f>
        <v>0.0359923237515106</v>
      </c>
      <c r="T67" s="35" t="n">
        <f aca="false">IF(G67&lt;=3,F67*R67,0)</f>
        <v>38186734308.9224</v>
      </c>
      <c r="U67" s="35" t="n">
        <f aca="false">F67*P67</f>
        <v>687214652.129825</v>
      </c>
      <c r="V67" s="35" t="n">
        <f aca="false">H67^$AB$7*E67</f>
        <v>0.0450012482627035</v>
      </c>
      <c r="W67" s="35" t="n">
        <f aca="false">I67^$AB$7*E67</f>
        <v>0.00387529149030429</v>
      </c>
      <c r="X67" s="35" t="n">
        <f aca="false">J67^$AB$7*E67</f>
        <v>0.00179387968730005</v>
      </c>
      <c r="Y67" s="35" t="n">
        <f aca="false">K67^$AB$7*E67</f>
        <v>0.00119847945719658</v>
      </c>
    </row>
    <row r="68" customFormat="false" ht="15" hidden="false" customHeight="false" outlineLevel="0" collapsed="false">
      <c r="A68" s="35" t="n">
        <v>66</v>
      </c>
      <c r="B68" s="35" t="n">
        <f aca="false">C67</f>
        <v>0.000116591440117983</v>
      </c>
      <c r="C68" s="35" t="n">
        <f aca="false">Inputs!$B$21*(Inputs!$B$22/Inputs!$B$21)^(5/60)</f>
        <v>0.000121152765862859</v>
      </c>
      <c r="D68" s="35" t="n">
        <f aca="false">(B68+C68)/2</f>
        <v>0.000118872102990421</v>
      </c>
      <c r="E68" s="35" t="n">
        <f aca="false">C68-B68</f>
        <v>4.56132574487567E-006</v>
      </c>
      <c r="F68" s="35" t="n">
        <f aca="false">Inputs!$B$16*E68</f>
        <v>10.3286660166965</v>
      </c>
      <c r="G68" s="35" t="n">
        <f aca="false">IF(D68&lt;=Inputs!$B$21,1,IF(D68&lt;=Inputs!$B$22,2,IF(D68&lt;=Inputs!$B$23,3,IF(D68&lt;=Inputs!$B$24,4,5))))</f>
        <v>2</v>
      </c>
      <c r="H68" s="35" t="n">
        <f aca="false">Fit!$B$10*D68^(-1/Fit!$B$9)</f>
        <v>9998.07948849744</v>
      </c>
      <c r="I68" s="35" t="n">
        <f aca="false">EXP(Fit!$B$16+Fit!$B$15*-NORMSINV(D68))</f>
        <v>875.77901805869</v>
      </c>
      <c r="J68" s="35" t="n">
        <f aca="false">Fit!$B$22*LN(1/D68)^(1/Fit!$B$21)</f>
        <v>407.153222310777</v>
      </c>
      <c r="K68" s="35" t="n">
        <f aca="false">MAX(0,Fit!$B$28+Fit!$B$27*-NORMSINV(D68))</f>
        <v>272.416470172772</v>
      </c>
      <c r="L68" s="35" t="n">
        <f aca="false">INDEX(H68:K68,1,Inputs!$B$5)</f>
        <v>9998.07948849744</v>
      </c>
      <c r="M68" s="35" t="n">
        <f aca="false">L68*E68</f>
        <v>0.0456044973701967</v>
      </c>
      <c r="N68" s="35" t="n">
        <f aca="false">L68^$AB$7</f>
        <v>9998.07948849744</v>
      </c>
      <c r="O68" s="35" t="n">
        <f aca="false">N68*E68</f>
        <v>0.0456044973701967</v>
      </c>
      <c r="P68" s="35" t="n">
        <f aca="false">N68*$AB$3/($AB$4*$AB$1)</f>
        <v>67426604.3681158</v>
      </c>
      <c r="Q68" s="35" t="n">
        <f aca="false">IF(G68&lt;=3,F68*SQRT(P68),0)</f>
        <v>84812.5027293611</v>
      </c>
      <c r="R68" s="35" t="n">
        <f aca="false">SQRT(P68/$AB$6)</f>
        <v>3793963730.81833</v>
      </c>
      <c r="S68" s="35" t="n">
        <f aca="false">2*$AB$6*R68</f>
        <v>0.0355441481005262</v>
      </c>
      <c r="T68" s="35" t="n">
        <f aca="false">IF(G68&lt;=3,F68*R68,0)</f>
        <v>39186584255.0821</v>
      </c>
      <c r="U68" s="35" t="n">
        <f aca="false">F68*P68</f>
        <v>696426877.158194</v>
      </c>
      <c r="V68" s="35" t="n">
        <f aca="false">H68^$AB$7*E68</f>
        <v>0.0456044973701967</v>
      </c>
      <c r="W68" s="35" t="n">
        <f aca="false">I68^$AB$7*E68</f>
        <v>0.00399471338189303</v>
      </c>
      <c r="X68" s="35" t="n">
        <f aca="false">J68^$AB$7*E68</f>
        <v>0.00185715847503523</v>
      </c>
      <c r="Y68" s="35" t="n">
        <f aca="false">K68^$AB$7*E68</f>
        <v>0.00124258025872722</v>
      </c>
    </row>
    <row r="69" customFormat="false" ht="15" hidden="false" customHeight="false" outlineLevel="0" collapsed="false">
      <c r="A69" s="35" t="n">
        <v>67</v>
      </c>
      <c r="B69" s="35" t="n">
        <f aca="false">C68</f>
        <v>0.000121152765862859</v>
      </c>
      <c r="C69" s="35" t="n">
        <f aca="false">Inputs!$B$21*(Inputs!$B$22/Inputs!$B$21)^(6/60)</f>
        <v>0.000125892541179417</v>
      </c>
      <c r="D69" s="35" t="n">
        <f aca="false">(B69+C69)/2</f>
        <v>0.000123522653521138</v>
      </c>
      <c r="E69" s="35" t="n">
        <f aca="false">C69-B69</f>
        <v>4.7397753165579E-006</v>
      </c>
      <c r="F69" s="35" t="n">
        <f aca="false">Inputs!$B$16*E69</f>
        <v>10.7327472268137</v>
      </c>
      <c r="G69" s="35" t="n">
        <f aca="false">IF(D69&lt;=Inputs!$B$21,1,IF(D69&lt;=Inputs!$B$22,2,IF(D69&lt;=Inputs!$B$23,3,IF(D69&lt;=Inputs!$B$24,4,5))))</f>
        <v>2</v>
      </c>
      <c r="H69" s="35" t="n">
        <f aca="false">Fit!$B$10*D69^(-1/Fit!$B$9)</f>
        <v>9750.63796154703</v>
      </c>
      <c r="I69" s="35" t="n">
        <f aca="false">EXP(Fit!$B$16+Fit!$B$15*-NORMSINV(D69))</f>
        <v>868.762073458086</v>
      </c>
      <c r="J69" s="35" t="n">
        <f aca="false">Fit!$B$22*LN(1/D69)^(1/Fit!$B$21)</f>
        <v>405.639282957603</v>
      </c>
      <c r="K69" s="35" t="n">
        <f aca="false">MAX(0,Fit!$B$28+Fit!$B$27*-NORMSINV(D69))</f>
        <v>271.804129699458</v>
      </c>
      <c r="L69" s="35" t="n">
        <f aca="false">INDEX(H69:K69,1,Inputs!$B$5)</f>
        <v>9750.63796154703</v>
      </c>
      <c r="M69" s="35" t="n">
        <f aca="false">L69*E69</f>
        <v>0.0462158331308331</v>
      </c>
      <c r="N69" s="35" t="n">
        <f aca="false">L69^$AB$7</f>
        <v>9750.63796154703</v>
      </c>
      <c r="O69" s="35" t="n">
        <f aca="false">N69*E69</f>
        <v>0.0462158331308331</v>
      </c>
      <c r="P69" s="35" t="n">
        <f aca="false">N69*$AB$3/($AB$4*$AB$1)</f>
        <v>65757869.6915089</v>
      </c>
      <c r="Q69" s="35" t="n">
        <f aca="false">IF(G69&lt;=3,F69*SQRT(P69),0)</f>
        <v>87033.1633284489</v>
      </c>
      <c r="R69" s="35" t="n">
        <f aca="false">SQRT(P69/$AB$6)</f>
        <v>3746721375.01464</v>
      </c>
      <c r="S69" s="35" t="n">
        <f aca="false">2*$AB$6*R69</f>
        <v>0.0351015531232301</v>
      </c>
      <c r="T69" s="35" t="n">
        <f aca="false">IF(G69&lt;=3,F69*R69,0)</f>
        <v>40212613447.332</v>
      </c>
      <c r="U69" s="35" t="n">
        <f aca="false">F69*P69</f>
        <v>705762593.57272</v>
      </c>
      <c r="V69" s="35" t="n">
        <f aca="false">H69^$AB$7*E69</f>
        <v>0.0462158331308331</v>
      </c>
      <c r="W69" s="35" t="n">
        <f aca="false">I69^$AB$7*E69</f>
        <v>0.0041177370317383</v>
      </c>
      <c r="X69" s="35" t="n">
        <f aca="false">J69^$AB$7*E69</f>
        <v>0.00192263906078869</v>
      </c>
      <c r="Y69" s="35" t="n">
        <f aca="false">K69^$AB$7*E69</f>
        <v>0.00128829050488799</v>
      </c>
    </row>
    <row r="70" customFormat="false" ht="15" hidden="false" customHeight="false" outlineLevel="0" collapsed="false">
      <c r="A70" s="35" t="n">
        <v>68</v>
      </c>
      <c r="B70" s="35" t="n">
        <f aca="false">C69</f>
        <v>0.000125892541179417</v>
      </c>
      <c r="C70" s="35" t="n">
        <f aca="false">Inputs!$B$21*(Inputs!$B$22/Inputs!$B$21)^(7/60)</f>
        <v>0.000130817747426019</v>
      </c>
      <c r="D70" s="35" t="n">
        <f aca="false">(B70+C70)/2</f>
        <v>0.000128355144302718</v>
      </c>
      <c r="E70" s="35" t="n">
        <f aca="false">C70-B70</f>
        <v>4.92520624660267E-006</v>
      </c>
      <c r="F70" s="35" t="n">
        <f aca="false">Inputs!$B$16*E70</f>
        <v>11.1526370248071</v>
      </c>
      <c r="G70" s="35" t="n">
        <f aca="false">IF(D70&lt;=Inputs!$B$21,1,IF(D70&lt;=Inputs!$B$22,2,IF(D70&lt;=Inputs!$B$23,3,IF(D70&lt;=Inputs!$B$24,4,5))))</f>
        <v>2</v>
      </c>
      <c r="H70" s="35" t="n">
        <f aca="false">Fit!$B$10*D70^(-1/Fit!$B$9)</f>
        <v>9509.32034162597</v>
      </c>
      <c r="I70" s="35" t="n">
        <f aca="false">EXP(Fit!$B$16+Fit!$B$15*-NORMSINV(D70))</f>
        <v>861.784833909429</v>
      </c>
      <c r="J70" s="35" t="n">
        <f aca="false">Fit!$B$22*LN(1/D70)^(1/Fit!$B$21)</f>
        <v>404.124539094459</v>
      </c>
      <c r="K70" s="35" t="n">
        <f aca="false">MAX(0,Fit!$B$28+Fit!$B$27*-NORMSINV(D70))</f>
        <v>271.190330396861</v>
      </c>
      <c r="L70" s="35" t="n">
        <f aca="false">INDEX(H70:K70,1,Inputs!$B$5)</f>
        <v>9509.32034162597</v>
      </c>
      <c r="M70" s="35" t="n">
        <f aca="false">L70*E70</f>
        <v>0.046835363947522</v>
      </c>
      <c r="N70" s="35" t="n">
        <f aca="false">L70^$AB$7</f>
        <v>9509.32034162597</v>
      </c>
      <c r="O70" s="35" t="n">
        <f aca="false">N70*E70</f>
        <v>0.046835363947522</v>
      </c>
      <c r="P70" s="35" t="n">
        <f aca="false">N70*$AB$3/($AB$4*$AB$1)</f>
        <v>64130434.3721366</v>
      </c>
      <c r="Q70" s="35" t="n">
        <f aca="false">IF(G70&lt;=3,F70*SQRT(P70),0)</f>
        <v>89311.9678725628</v>
      </c>
      <c r="R70" s="35" t="n">
        <f aca="false">SQRT(P70/$AB$6)</f>
        <v>3700067280.02213</v>
      </c>
      <c r="S70" s="35" t="n">
        <f aca="false">2*$AB$6*R70</f>
        <v>0.0346644693291918</v>
      </c>
      <c r="T70" s="35" t="n">
        <f aca="false">IF(G70&lt;=3,F70*R70,0)</f>
        <v>41265507341.452</v>
      </c>
      <c r="U70" s="35" t="n">
        <f aca="false">F70*P70</f>
        <v>715223456.795651</v>
      </c>
      <c r="V70" s="35" t="n">
        <f aca="false">H70^$AB$7*E70</f>
        <v>0.046835363947522</v>
      </c>
      <c r="W70" s="35" t="n">
        <f aca="false">I70^$AB$7*E70</f>
        <v>0.00424446804719816</v>
      </c>
      <c r="X70" s="35" t="n">
        <f aca="false">J70^$AB$7*E70</f>
        <v>0.00199039670435345</v>
      </c>
      <c r="Y70" s="35" t="n">
        <f aca="false">K70^$AB$7*E70</f>
        <v>0.00133566830928886</v>
      </c>
    </row>
    <row r="71" customFormat="false" ht="15" hidden="false" customHeight="false" outlineLevel="0" collapsed="false">
      <c r="A71" s="35" t="n">
        <v>69</v>
      </c>
      <c r="B71" s="35" t="n">
        <f aca="false">C70</f>
        <v>0.000130817747426019</v>
      </c>
      <c r="C71" s="35" t="n">
        <f aca="false">Inputs!$B$21*(Inputs!$B$22/Inputs!$B$21)^(8/60)</f>
        <v>0.000135935639087853</v>
      </c>
      <c r="D71" s="35" t="n">
        <f aca="false">(B71+C71)/2</f>
        <v>0.000133376693256936</v>
      </c>
      <c r="E71" s="35" t="n">
        <f aca="false">C71-B71</f>
        <v>5.11789166183314E-006</v>
      </c>
      <c r="F71" s="35" t="n">
        <f aca="false">Inputs!$B$16*E71</f>
        <v>11.588953879055</v>
      </c>
      <c r="G71" s="35" t="n">
        <f aca="false">IF(D71&lt;=Inputs!$B$21,1,IF(D71&lt;=Inputs!$B$22,2,IF(D71&lt;=Inputs!$B$23,3,IF(D71&lt;=Inputs!$B$24,4,5))))</f>
        <v>2</v>
      </c>
      <c r="H71" s="35" t="n">
        <f aca="false">Fit!$B$10*D71^(-1/Fit!$B$9)</f>
        <v>9273.97506873635</v>
      </c>
      <c r="I71" s="35" t="n">
        <f aca="false">EXP(Fit!$B$16+Fit!$B$15*-NORMSINV(D71))</f>
        <v>854.847132933909</v>
      </c>
      <c r="J71" s="35" t="n">
        <f aca="false">Fit!$B$22*LN(1/D71)^(1/Fit!$B$21)</f>
        <v>402.608986845543</v>
      </c>
      <c r="K71" s="35" t="n">
        <f aca="false">MAX(0,Fit!$B$28+Fit!$B$27*-NORMSINV(D71))</f>
        <v>270.5750621175</v>
      </c>
      <c r="L71" s="35" t="n">
        <f aca="false">INDEX(H71:K71,1,Inputs!$B$5)</f>
        <v>9273.97506873635</v>
      </c>
      <c r="M71" s="35" t="n">
        <f aca="false">L71*E71</f>
        <v>0.0474631996763342</v>
      </c>
      <c r="N71" s="35" t="n">
        <f aca="false">L71^$AB$7</f>
        <v>9273.97506873635</v>
      </c>
      <c r="O71" s="35" t="n">
        <f aca="false">N71*E71</f>
        <v>0.0474631996763342</v>
      </c>
      <c r="P71" s="35" t="n">
        <f aca="false">N71*$AB$3/($AB$4*$AB$1)</f>
        <v>62543276.296099</v>
      </c>
      <c r="Q71" s="35" t="n">
        <f aca="false">IF(G71&lt;=3,F71*SQRT(P71),0)</f>
        <v>91650.4387547915</v>
      </c>
      <c r="R71" s="35" t="n">
        <f aca="false">SQRT(P71/$AB$6)</f>
        <v>3653994120.82968</v>
      </c>
      <c r="S71" s="35" t="n">
        <f aca="false">2*$AB$6*R71</f>
        <v>0.0342328280932745</v>
      </c>
      <c r="T71" s="35" t="n">
        <f aca="false">IF(G71&lt;=3,F71*R71,0)</f>
        <v>42345969340.6331</v>
      </c>
      <c r="U71" s="35" t="n">
        <f aca="false">F71*P71</f>
        <v>724811144.440482</v>
      </c>
      <c r="V71" s="35" t="n">
        <f aca="false">H71^$AB$7*E71</f>
        <v>0.0474631996763342</v>
      </c>
      <c r="W71" s="35" t="n">
        <f aca="false">I71^$AB$7*E71</f>
        <v>0.00437501501378442</v>
      </c>
      <c r="X71" s="35" t="n">
        <f aca="false">J71^$AB$7*E71</f>
        <v>0.0020605091767559</v>
      </c>
      <c r="Y71" s="35" t="n">
        <f aca="false">K71^$AB$7*E71</f>
        <v>0.00138477385431114</v>
      </c>
    </row>
    <row r="72" customFormat="false" ht="15" hidden="false" customHeight="false" outlineLevel="0" collapsed="false">
      <c r="A72" s="35" t="n">
        <v>70</v>
      </c>
      <c r="B72" s="35" t="n">
        <f aca="false">C71</f>
        <v>0.000135935639087853</v>
      </c>
      <c r="C72" s="35" t="n">
        <f aca="false">Inputs!$B$21*(Inputs!$B$22/Inputs!$B$21)^(9/60)</f>
        <v>0.000141253754462275</v>
      </c>
      <c r="D72" s="35" t="n">
        <f aca="false">(B72+C72)/2</f>
        <v>0.000138594696775064</v>
      </c>
      <c r="E72" s="35" t="n">
        <f aca="false">C72-B72</f>
        <v>5.31811537442289E-006</v>
      </c>
      <c r="F72" s="35" t="n">
        <f aca="false">Inputs!$B$16*E72</f>
        <v>12.0423404538432</v>
      </c>
      <c r="G72" s="35" t="n">
        <f aca="false">IF(D72&lt;=Inputs!$B$21,1,IF(D72&lt;=Inputs!$B$22,2,IF(D72&lt;=Inputs!$B$23,3,IF(D72&lt;=Inputs!$B$24,4,5))))</f>
        <v>2</v>
      </c>
      <c r="H72" s="35" t="n">
        <f aca="false">Fit!$B$10*D72^(-1/Fit!$B$9)</f>
        <v>9044.45433382439</v>
      </c>
      <c r="I72" s="35" t="n">
        <f aca="false">EXP(Fit!$B$16+Fit!$B$15*-NORMSINV(D72))</f>
        <v>847.948804587832</v>
      </c>
      <c r="J72" s="35" t="n">
        <f aca="false">Fit!$B$22*LN(1/D72)^(1/Fit!$B$21)</f>
        <v>401.092622299628</v>
      </c>
      <c r="K72" s="35" t="n">
        <f aca="false">MAX(0,Fit!$B$28+Fit!$B$27*-NORMSINV(D72))</f>
        <v>269.95831459765</v>
      </c>
      <c r="L72" s="35" t="n">
        <f aca="false">INDEX(H72:K72,1,Inputs!$B$5)</f>
        <v>9044.45433382439</v>
      </c>
      <c r="M72" s="35" t="n">
        <f aca="false">L72*E72</f>
        <v>0.0480994516459772</v>
      </c>
      <c r="N72" s="35" t="n">
        <f aca="false">L72^$AB$7</f>
        <v>9044.45433382439</v>
      </c>
      <c r="O72" s="35" t="n">
        <f aca="false">N72*E72</f>
        <v>0.0480994516459772</v>
      </c>
      <c r="P72" s="35" t="n">
        <f aca="false">N72*$AB$3/($AB$4*$AB$1)</f>
        <v>60995398.645697</v>
      </c>
      <c r="Q72" s="35" t="n">
        <f aca="false">IF(G72&lt;=3,F72*SQRT(P72),0)</f>
        <v>94050.1382293056</v>
      </c>
      <c r="R72" s="35" t="n">
        <f aca="false">SQRT(P72/$AB$6)</f>
        <v>3608494663.63703</v>
      </c>
      <c r="S72" s="35" t="n">
        <f aca="false">2*$AB$6*R72</f>
        <v>0.0338065616448601</v>
      </c>
      <c r="T72" s="35" t="n">
        <f aca="false">IF(G72&lt;=3,F72*R72,0)</f>
        <v>43454721265.3934</v>
      </c>
      <c r="U72" s="35" t="n">
        <f aca="false">F72*P72</f>
        <v>734527356.609368</v>
      </c>
      <c r="V72" s="35" t="n">
        <f aca="false">H72^$AB$7*E72</f>
        <v>0.0480994516459772</v>
      </c>
      <c r="W72" s="35" t="n">
        <f aca="false">I72^$AB$7*E72</f>
        <v>0.00450948957440205</v>
      </c>
      <c r="X72" s="35" t="n">
        <f aca="false">J72^$AB$7*E72</f>
        <v>0.00213305684121925</v>
      </c>
      <c r="Y72" s="35" t="n">
        <f aca="false">K72^$AB$7*E72</f>
        <v>0.00143566946331505</v>
      </c>
    </row>
    <row r="73" customFormat="false" ht="15" hidden="false" customHeight="false" outlineLevel="0" collapsed="false">
      <c r="A73" s="35" t="n">
        <v>71</v>
      </c>
      <c r="B73" s="35" t="n">
        <f aca="false">C72</f>
        <v>0.000141253754462275</v>
      </c>
      <c r="C73" s="35" t="n">
        <f aca="false">Inputs!$B$21*(Inputs!$B$22/Inputs!$B$21)^(10/60)</f>
        <v>0.000146779926762207</v>
      </c>
      <c r="D73" s="35" t="n">
        <f aca="false">(B73+C73)/2</f>
        <v>0.000144016840612241</v>
      </c>
      <c r="E73" s="35" t="n">
        <f aca="false">C73-B73</f>
        <v>5.52617229993151E-006</v>
      </c>
      <c r="F73" s="35" t="n">
        <f aca="false">Inputs!$B$16*E73</f>
        <v>12.5134645559649</v>
      </c>
      <c r="G73" s="35" t="n">
        <f aca="false">IF(D73&lt;=Inputs!$B$21,1,IF(D73&lt;=Inputs!$B$22,2,IF(D73&lt;=Inputs!$B$23,3,IF(D73&lt;=Inputs!$B$24,4,5))))</f>
        <v>2</v>
      </c>
      <c r="H73" s="35" t="n">
        <f aca="false">Fit!$B$10*D73^(-1/Fit!$B$9)</f>
        <v>8820.61398594863</v>
      </c>
      <c r="I73" s="35" t="n">
        <f aca="false">EXP(Fit!$B$16+Fit!$B$15*-NORMSINV(D73))</f>
        <v>841.089683461051</v>
      </c>
      <c r="J73" s="35" t="n">
        <f aca="false">Fit!$B$22*LN(1/D73)^(1/Fit!$B$21)</f>
        <v>399.57544150958</v>
      </c>
      <c r="K73" s="35" t="n">
        <f aca="false">MAX(0,Fit!$B$28+Fit!$B$27*-NORMSINV(D73))</f>
        <v>269.340077455489</v>
      </c>
      <c r="L73" s="35" t="n">
        <f aca="false">INDEX(H73:K73,1,Inputs!$B$5)</f>
        <v>8820.61398594863</v>
      </c>
      <c r="M73" s="35" t="n">
        <f aca="false">L73*E73</f>
        <v>0.0487442326775378</v>
      </c>
      <c r="N73" s="35" t="n">
        <f aca="false">L73^$AB$7</f>
        <v>8820.61398594863</v>
      </c>
      <c r="O73" s="35" t="n">
        <f aca="false">N73*E73</f>
        <v>0.0487442326775378</v>
      </c>
      <c r="P73" s="35" t="n">
        <f aca="false">N73*$AB$3/($AB$4*$AB$1)</f>
        <v>59485829.2733786</v>
      </c>
      <c r="Q73" s="35" t="n">
        <f aca="false">IF(G73&lt;=3,F73*SQRT(P73),0)</f>
        <v>96512.6694550488</v>
      </c>
      <c r="R73" s="35" t="n">
        <f aca="false">SQRT(P73/$AB$6)</f>
        <v>3563561764.71907</v>
      </c>
      <c r="S73" s="35" t="n">
        <f aca="false">2*$AB$6*R73</f>
        <v>0.0333856030572087</v>
      </c>
      <c r="T73" s="35" t="n">
        <f aca="false">IF(G73&lt;=3,F73*R73,0)</f>
        <v>44592503835.8039</v>
      </c>
      <c r="U73" s="35" t="n">
        <f aca="false">F73*P73</f>
        <v>744373816.194603</v>
      </c>
      <c r="V73" s="35" t="n">
        <f aca="false">H73^$AB$7*E73</f>
        <v>0.0487442326775378</v>
      </c>
      <c r="W73" s="35" t="n">
        <f aca="false">I73^$AB$7*E73</f>
        <v>0.00464800651050062</v>
      </c>
      <c r="X73" s="35" t="n">
        <f aca="false">J73^$AB$7*E73</f>
        <v>0.00220812273660315</v>
      </c>
      <c r="Y73" s="35" t="n">
        <f aca="false">K73^$AB$7*E73</f>
        <v>0.00148841967529593</v>
      </c>
    </row>
    <row r="74" customFormat="false" ht="15" hidden="false" customHeight="false" outlineLevel="0" collapsed="false">
      <c r="A74" s="35" t="n">
        <v>72</v>
      </c>
      <c r="B74" s="35" t="n">
        <f aca="false">C73</f>
        <v>0.000146779926762207</v>
      </c>
      <c r="C74" s="35" t="n">
        <f aca="false">Inputs!$B$21*(Inputs!$B$22/Inputs!$B$21)^(11/60)</f>
        <v>0.000152522295653902</v>
      </c>
      <c r="D74" s="35" t="n">
        <f aca="false">(B74+C74)/2</f>
        <v>0.000149651111208054</v>
      </c>
      <c r="E74" s="35" t="n">
        <f aca="false">C74-B74</f>
        <v>5.74236889169496E-006</v>
      </c>
      <c r="F74" s="35" t="n">
        <f aca="false">Inputs!$B$16*E74</f>
        <v>13.0030201183541</v>
      </c>
      <c r="G74" s="35" t="n">
        <f aca="false">IF(D74&lt;=Inputs!$B$21,1,IF(D74&lt;=Inputs!$B$22,2,IF(D74&lt;=Inputs!$B$23,3,IF(D74&lt;=Inputs!$B$24,4,5))))</f>
        <v>2</v>
      </c>
      <c r="H74" s="35" t="n">
        <f aca="false">Fit!$B$10*D74^(-1/Fit!$B$9)</f>
        <v>8602.31344174569</v>
      </c>
      <c r="I74" s="35" t="n">
        <f aca="false">EXP(Fit!$B$16+Fit!$B$15*-NORMSINV(D74))</f>
        <v>834.269604675402</v>
      </c>
      <c r="J74" s="35" t="n">
        <f aca="false">Fit!$B$22*LN(1/D74)^(1/Fit!$B$21)</f>
        <v>398.057440491872</v>
      </c>
      <c r="K74" s="35" t="n">
        <f aca="false">MAX(0,Fit!$B$28+Fit!$B$27*-NORMSINV(D74))</f>
        <v>268.720340189205</v>
      </c>
      <c r="L74" s="35" t="n">
        <f aca="false">INDEX(H74:K74,1,Inputs!$B$5)</f>
        <v>8602.31344174569</v>
      </c>
      <c r="M74" s="35" t="n">
        <f aca="false">L74*E74</f>
        <v>0.0493976571044898</v>
      </c>
      <c r="N74" s="35" t="n">
        <f aca="false">L74^$AB$7</f>
        <v>8602.31344174569</v>
      </c>
      <c r="O74" s="35" t="n">
        <f aca="false">N74*E74</f>
        <v>0.0493976571044898</v>
      </c>
      <c r="P74" s="35" t="n">
        <f aca="false">N74*$AB$3/($AB$4*$AB$1)</f>
        <v>58013620.0911801</v>
      </c>
      <c r="Q74" s="35" t="n">
        <f aca="false">IF(G74&lt;=3,F74*SQRT(P74),0)</f>
        <v>99039.6775667597</v>
      </c>
      <c r="R74" s="35" t="n">
        <f aca="false">SQRT(P74/$AB$6)</f>
        <v>3519188369.3042</v>
      </c>
      <c r="S74" s="35" t="n">
        <f aca="false">2*$AB$6*R74</f>
        <v>0.0329698862369509</v>
      </c>
      <c r="T74" s="35" t="n">
        <f aca="false">IF(G74&lt;=3,F74*R74,0)</f>
        <v>45760077166.3402</v>
      </c>
      <c r="U74" s="35" t="n">
        <f aca="false">F74*P74</f>
        <v>754352269.184164</v>
      </c>
      <c r="V74" s="35" t="n">
        <f aca="false">H74^$AB$7*E74</f>
        <v>0.0493976571044898</v>
      </c>
      <c r="W74" s="35" t="n">
        <f aca="false">I74^$AB$7*E74</f>
        <v>0.00479068382517467</v>
      </c>
      <c r="X74" s="35" t="n">
        <f aca="false">J74^$AB$7*E74</f>
        <v>0.00228579266338824</v>
      </c>
      <c r="Y74" s="35" t="n">
        <f aca="false">K74^$AB$7*E74</f>
        <v>0.00154309132206818</v>
      </c>
    </row>
    <row r="75" customFormat="false" ht="15" hidden="false" customHeight="false" outlineLevel="0" collapsed="false">
      <c r="A75" s="35" t="n">
        <v>73</v>
      </c>
      <c r="B75" s="35" t="n">
        <f aca="false">C74</f>
        <v>0.000152522295653902</v>
      </c>
      <c r="C75" s="35" t="n">
        <f aca="false">Inputs!$B$21*(Inputs!$B$22/Inputs!$B$21)^(12/60)</f>
        <v>0.000158489319246111</v>
      </c>
      <c r="D75" s="35" t="n">
        <f aca="false">(B75+C75)/2</f>
        <v>0.000155505807450007</v>
      </c>
      <c r="E75" s="35" t="n">
        <f aca="false">C75-B75</f>
        <v>5.96702359220946E-006</v>
      </c>
      <c r="F75" s="35" t="n">
        <f aca="false">Inputs!$B$16*E75</f>
        <v>13.5117282221991</v>
      </c>
      <c r="G75" s="35" t="n">
        <f aca="false">IF(D75&lt;=Inputs!$B$21,1,IF(D75&lt;=Inputs!$B$22,2,IF(D75&lt;=Inputs!$B$23,3,IF(D75&lt;=Inputs!$B$24,4,5))))</f>
        <v>2</v>
      </c>
      <c r="H75" s="35" t="n">
        <f aca="false">Fit!$B$10*D75^(-1/Fit!$B$9)</f>
        <v>8389.41559713659</v>
      </c>
      <c r="I75" s="35" t="n">
        <f aca="false">EXP(Fit!$B$16+Fit!$B$15*-NORMSINV(D75))</f>
        <v>827.488403883134</v>
      </c>
      <c r="J75" s="35" t="n">
        <f aca="false">Fit!$B$22*LN(1/D75)^(1/Fit!$B$21)</f>
        <v>396.538615226089</v>
      </c>
      <c r="K75" s="35" t="n">
        <f aca="false">MAX(0,Fit!$B$28+Fit!$B$27*-NORMSINV(D75))</f>
        <v>268.099092175069</v>
      </c>
      <c r="L75" s="35" t="n">
        <f aca="false">INDEX(H75:K75,1,Inputs!$B$5)</f>
        <v>8389.41559713659</v>
      </c>
      <c r="M75" s="35" t="n">
        <f aca="false">L75*E75</f>
        <v>0.0500598407929641</v>
      </c>
      <c r="N75" s="35" t="n">
        <f aca="false">L75^$AB$7</f>
        <v>8389.41559713659</v>
      </c>
      <c r="O75" s="35" t="n">
        <f aca="false">N75*E75</f>
        <v>0.0500598407929641</v>
      </c>
      <c r="P75" s="35" t="n">
        <f aca="false">N75*$AB$3/($AB$4*$AB$1)</f>
        <v>56577846.4752774</v>
      </c>
      <c r="Q75" s="35" t="n">
        <f aca="false">IF(G75&lt;=3,F75*SQRT(P75),0)</f>
        <v>101632.850774024</v>
      </c>
      <c r="R75" s="35" t="n">
        <f aca="false">SQRT(P75/$AB$6)</f>
        <v>3475367510.46668</v>
      </c>
      <c r="S75" s="35" t="n">
        <f aca="false">2*$AB$6*R75</f>
        <v>0.0325593459137103</v>
      </c>
      <c r="T75" s="35" t="n">
        <f aca="false">IF(G75&lt;=3,F75*R75,0)</f>
        <v>46958221273.6865</v>
      </c>
      <c r="U75" s="35" t="n">
        <f aca="false">F75*P75</f>
        <v>764464484.971254</v>
      </c>
      <c r="V75" s="35" t="n">
        <f aca="false">H75^$AB$7*E75</f>
        <v>0.0500598407929641</v>
      </c>
      <c r="W75" s="35" t="n">
        <f aca="false">I75^$AB$7*E75</f>
        <v>0.00493764282825042</v>
      </c>
      <c r="X75" s="35" t="n">
        <f aca="false">J75^$AB$7*E75</f>
        <v>0.00236615527227614</v>
      </c>
      <c r="Y75" s="35" t="n">
        <f aca="false">K75^$AB$7*E75</f>
        <v>0.00159975360805857</v>
      </c>
    </row>
    <row r="76" customFormat="false" ht="15" hidden="false" customHeight="false" outlineLevel="0" collapsed="false">
      <c r="A76" s="35" t="n">
        <v>74</v>
      </c>
      <c r="B76" s="35" t="n">
        <f aca="false">C75</f>
        <v>0.000158489319246111</v>
      </c>
      <c r="C76" s="35" t="n">
        <f aca="false">Inputs!$B$21*(Inputs!$B$22/Inputs!$B$21)^(13/60)</f>
        <v>0.000164689786548287</v>
      </c>
      <c r="D76" s="35" t="n">
        <f aca="false">(B76+C76)/2</f>
        <v>0.000161589552897199</v>
      </c>
      <c r="E76" s="35" t="n">
        <f aca="false">C76-B76</f>
        <v>6.20046730217549E-006</v>
      </c>
      <c r="F76" s="35" t="n">
        <f aca="false">Inputs!$B$16*E76</f>
        <v>14.0403381590462</v>
      </c>
      <c r="G76" s="35" t="n">
        <f aca="false">IF(D76&lt;=Inputs!$B$21,1,IF(D76&lt;=Inputs!$B$22,2,IF(D76&lt;=Inputs!$B$23,3,IF(D76&lt;=Inputs!$B$24,4,5))))</f>
        <v>2</v>
      </c>
      <c r="H76" s="35" t="n">
        <f aca="false">Fit!$B$10*D76^(-1/Fit!$B$9)</f>
        <v>8181.78674121828</v>
      </c>
      <c r="I76" s="35" t="n">
        <f aca="false">EXP(Fit!$B$16+Fit!$B$15*-NORMSINV(D76))</f>
        <v>820.745917265347</v>
      </c>
      <c r="J76" s="35" t="n">
        <f aca="false">Fit!$B$22*LN(1/D76)^(1/Fit!$B$21)</f>
        <v>395.018961654423</v>
      </c>
      <c r="K76" s="35" t="n">
        <f aca="false">MAX(0,Fit!$B$28+Fit!$B$27*-NORMSINV(D76))</f>
        <v>267.476322665462</v>
      </c>
      <c r="L76" s="35" t="n">
        <f aca="false">INDEX(H76:K76,1,Inputs!$B$5)</f>
        <v>8181.78674121828</v>
      </c>
      <c r="M76" s="35" t="n">
        <f aca="false">L76*E76</f>
        <v>0.0507309011622968</v>
      </c>
      <c r="N76" s="35" t="n">
        <f aca="false">L76^$AB$7</f>
        <v>8181.78674121828</v>
      </c>
      <c r="O76" s="35" t="n">
        <f aca="false">N76*E76</f>
        <v>0.0507309011622968</v>
      </c>
      <c r="P76" s="35" t="n">
        <f aca="false">N76*$AB$3/($AB$4*$AB$1)</f>
        <v>55177606.6852743</v>
      </c>
      <c r="Q76" s="35" t="n">
        <f aca="false">IF(G76&lt;=3,F76*SQRT(P76),0)</f>
        <v>104293.921489116</v>
      </c>
      <c r="R76" s="35" t="n">
        <f aca="false">SQRT(P76/$AB$6)</f>
        <v>3432092308.03278</v>
      </c>
      <c r="S76" s="35" t="n">
        <f aca="false">2*$AB$6*R76</f>
        <v>0.0321539176298561</v>
      </c>
      <c r="T76" s="35" t="n">
        <f aca="false">IF(G76&lt;=3,F76*R76,0)</f>
        <v>48187736597.8414</v>
      </c>
      <c r="U76" s="35" t="n">
        <f aca="false">F76*P76</f>
        <v>774712256.668098</v>
      </c>
      <c r="V76" s="35" t="n">
        <f aca="false">H76^$AB$7*E76</f>
        <v>0.0507309011622968</v>
      </c>
      <c r="W76" s="35" t="n">
        <f aca="false">I76^$AB$7*E76</f>
        <v>0.00508900822339781</v>
      </c>
      <c r="X76" s="35" t="n">
        <f aca="false">J76^$AB$7*E76</f>
        <v>0.00244930215547756</v>
      </c>
      <c r="Y76" s="35" t="n">
        <f aca="false">K76^$AB$7*E76</f>
        <v>0.00165847819279334</v>
      </c>
    </row>
    <row r="77" customFormat="false" ht="15" hidden="false" customHeight="false" outlineLevel="0" collapsed="false">
      <c r="A77" s="35" t="n">
        <v>75</v>
      </c>
      <c r="B77" s="35" t="n">
        <f aca="false">C76</f>
        <v>0.000164689786548287</v>
      </c>
      <c r="C77" s="35" t="n">
        <f aca="false">Inputs!$B$21*(Inputs!$B$22/Inputs!$B$21)^(14/60)</f>
        <v>0.000171132830416178</v>
      </c>
      <c r="D77" s="35" t="n">
        <f aca="false">(B77+C77)/2</f>
        <v>0.000167911308482232</v>
      </c>
      <c r="E77" s="35" t="n">
        <f aca="false">C77-B77</f>
        <v>6.44304386789125E-006</v>
      </c>
      <c r="F77" s="35" t="n">
        <f aca="false">Inputs!$B$16*E77</f>
        <v>14.5896285344529</v>
      </c>
      <c r="G77" s="35" t="n">
        <f aca="false">IF(D77&lt;=Inputs!$B$21,1,IF(D77&lt;=Inputs!$B$22,2,IF(D77&lt;=Inputs!$B$23,3,IF(D77&lt;=Inputs!$B$24,4,5))))</f>
        <v>2</v>
      </c>
      <c r="H77" s="35" t="n">
        <f aca="false">Fit!$B$10*D77^(-1/Fit!$B$9)</f>
        <v>7979.29647228625</v>
      </c>
      <c r="I77" s="35" t="n">
        <f aca="false">EXP(Fit!$B$16+Fit!$B$15*-NORMSINV(D77))</f>
        <v>814.041981530421</v>
      </c>
      <c r="J77" s="35" t="n">
        <f aca="false">Fit!$B$22*LN(1/D77)^(1/Fit!$B$21)</f>
        <v>393.498475681161</v>
      </c>
      <c r="K77" s="35" t="n">
        <f aca="false">MAX(0,Fit!$B$28+Fit!$B$27*-NORMSINV(D77))</f>
        <v>266.852020786867</v>
      </c>
      <c r="L77" s="35" t="n">
        <f aca="false">INDEX(H77:K77,1,Inputs!$B$5)</f>
        <v>7979.29647228625</v>
      </c>
      <c r="M77" s="35" t="n">
        <f aca="false">L77*E77</f>
        <v>0.0514109572058501</v>
      </c>
      <c r="N77" s="35" t="n">
        <f aca="false">L77^$AB$7</f>
        <v>7979.29647228625</v>
      </c>
      <c r="O77" s="35" t="n">
        <f aca="false">N77*E77</f>
        <v>0.0514109572058501</v>
      </c>
      <c r="P77" s="35" t="n">
        <f aca="false">N77*$AB$3/($AB$4*$AB$1)</f>
        <v>53812021.2978625</v>
      </c>
      <c r="Q77" s="35" t="n">
        <f aca="false">IF(G77&lt;=3,F77*SQRT(P77),0)</f>
        <v>107024.667484364</v>
      </c>
      <c r="R77" s="35" t="n">
        <f aca="false">SQRT(P77/$AB$6)</f>
        <v>3389355967.50055</v>
      </c>
      <c r="S77" s="35" t="n">
        <f aca="false">2*$AB$6*R77</f>
        <v>0.0317535377303823</v>
      </c>
      <c r="T77" s="35" t="n">
        <f aca="false">IF(G77&lt;=3,F77*R77,0)</f>
        <v>49449444536.8643</v>
      </c>
      <c r="U77" s="35" t="n">
        <f aca="false">F77*P77</f>
        <v>785097401.423884</v>
      </c>
      <c r="V77" s="35" t="n">
        <f aca="false">H77^$AB$7*E77</f>
        <v>0.0514109572058501</v>
      </c>
      <c r="W77" s="35" t="n">
        <f aca="false">I77^$AB$7*E77</f>
        <v>0.00524490819730562</v>
      </c>
      <c r="X77" s="35" t="n">
        <f aca="false">J77^$AB$7*E77</f>
        <v>0.00253532794076205</v>
      </c>
      <c r="Y77" s="35" t="n">
        <f aca="false">K77^$AB$7*E77</f>
        <v>0.00171933927616521</v>
      </c>
    </row>
    <row r="78" customFormat="false" ht="15" hidden="false" customHeight="false" outlineLevel="0" collapsed="false">
      <c r="A78" s="35" t="n">
        <v>76</v>
      </c>
      <c r="B78" s="35" t="n">
        <f aca="false">C77</f>
        <v>0.000171132830416178</v>
      </c>
      <c r="C78" s="35" t="n">
        <f aca="false">Inputs!$B$21*(Inputs!$B$22/Inputs!$B$21)^(15/60)</f>
        <v>0.000177827941003892</v>
      </c>
      <c r="D78" s="35" t="n">
        <f aca="false">(B78+C78)/2</f>
        <v>0.000174480385710035</v>
      </c>
      <c r="E78" s="35" t="n">
        <f aca="false">C78-B78</f>
        <v>6.6951105877142E-006</v>
      </c>
      <c r="F78" s="35" t="n">
        <f aca="false">Inputs!$B$16*E78</f>
        <v>15.16040841482</v>
      </c>
      <c r="G78" s="35" t="n">
        <f aca="false">IF(D78&lt;=Inputs!$B$21,1,IF(D78&lt;=Inputs!$B$22,2,IF(D78&lt;=Inputs!$B$23,3,IF(D78&lt;=Inputs!$B$24,4,5))))</f>
        <v>2</v>
      </c>
      <c r="H78" s="35" t="n">
        <f aca="false">Fit!$B$10*D78^(-1/Fit!$B$9)</f>
        <v>7781.81761593548</v>
      </c>
      <c r="I78" s="35" t="n">
        <f aca="false">EXP(Fit!$B$16+Fit!$B$15*-NORMSINV(D78))</f>
        <v>807.376433912448</v>
      </c>
      <c r="J78" s="35" t="n">
        <f aca="false">Fit!$B$22*LN(1/D78)^(1/Fit!$B$21)</f>
        <v>391.977153172157</v>
      </c>
      <c r="K78" s="35" t="n">
        <f aca="false">MAX(0,Fit!$B$28+Fit!$B$27*-NORMSINV(D78))</f>
        <v>266.226175537817</v>
      </c>
      <c r="L78" s="35" t="n">
        <f aca="false">INDEX(H78:K78,1,Inputs!$B$5)</f>
        <v>7781.81761593548</v>
      </c>
      <c r="M78" s="35" t="n">
        <f aca="false">L78*E78</f>
        <v>0.0521001295121105</v>
      </c>
      <c r="N78" s="35" t="n">
        <f aca="false">L78^$AB$7</f>
        <v>7781.81761593548</v>
      </c>
      <c r="O78" s="35" t="n">
        <f aca="false">N78*E78</f>
        <v>0.0521001295121105</v>
      </c>
      <c r="P78" s="35" t="n">
        <f aca="false">N78*$AB$3/($AB$4*$AB$1)</f>
        <v>52480232.6544986</v>
      </c>
      <c r="Q78" s="35" t="n">
        <f aca="false">IF(G78&lt;=3,F78*SQRT(P78),0)</f>
        <v>109826.91307982</v>
      </c>
      <c r="R78" s="35" t="n">
        <f aca="false">SQRT(P78/$AB$6)</f>
        <v>3347151778.97303</v>
      </c>
      <c r="S78" s="35" t="n">
        <f aca="false">2*$AB$6*R78</f>
        <v>0.0313581433529139</v>
      </c>
      <c r="T78" s="35" t="n">
        <f aca="false">IF(G78&lt;=3,F78*R78,0)</f>
        <v>50744187995.6226</v>
      </c>
      <c r="U78" s="35" t="n">
        <f aca="false">F78*P78</f>
        <v>795621760.746973</v>
      </c>
      <c r="V78" s="35" t="n">
        <f aca="false">H78^$AB$7*E78</f>
        <v>0.0521001295121105</v>
      </c>
      <c r="W78" s="35" t="n">
        <f aca="false">I78^$AB$7*E78</f>
        <v>0.00540547451095816</v>
      </c>
      <c r="X78" s="35" t="n">
        <f aca="false">J78^$AB$7*E78</f>
        <v>0.00262433038834498</v>
      </c>
      <c r="Y78" s="35" t="n">
        <f aca="false">K78^$AB$7*E78</f>
        <v>0.0017824136865699</v>
      </c>
    </row>
    <row r="79" customFormat="false" ht="15" hidden="false" customHeight="false" outlineLevel="0" collapsed="false">
      <c r="A79" s="35" t="n">
        <v>77</v>
      </c>
      <c r="B79" s="35" t="n">
        <f aca="false">C78</f>
        <v>0.000177827941003892</v>
      </c>
      <c r="C79" s="35" t="n">
        <f aca="false">Inputs!$B$21*(Inputs!$B$22/Inputs!$B$21)^(16/60)</f>
        <v>0.000184784979742229</v>
      </c>
      <c r="D79" s="35" t="n">
        <f aca="false">(B79+C79)/2</f>
        <v>0.000181306460373061</v>
      </c>
      <c r="E79" s="35" t="n">
        <f aca="false">C79-B79</f>
        <v>6.95703873833682E-006</v>
      </c>
      <c r="F79" s="35" t="n">
        <f aca="false">Inputs!$B$16*E79</f>
        <v>15.7535185190899</v>
      </c>
      <c r="G79" s="35" t="n">
        <f aca="false">IF(D79&lt;=Inputs!$B$21,1,IF(D79&lt;=Inputs!$B$22,2,IF(D79&lt;=Inputs!$B$23,3,IF(D79&lt;=Inputs!$B$24,4,5))))</f>
        <v>2</v>
      </c>
      <c r="H79" s="35" t="n">
        <f aca="false">Fit!$B$10*D79^(-1/Fit!$B$9)</f>
        <v>7589.22614518833</v>
      </c>
      <c r="I79" s="35" t="n">
        <f aca="false">EXP(Fit!$B$16+Fit!$B$15*-NORMSINV(D79))</f>
        <v>800.749112169671</v>
      </c>
      <c r="J79" s="35" t="n">
        <f aca="false">Fit!$B$22*LN(1/D79)^(1/Fit!$B$21)</f>
        <v>390.454989954306</v>
      </c>
      <c r="K79" s="35" t="n">
        <f aca="false">MAX(0,Fit!$B$28+Fit!$B$27*-NORMSINV(D79))</f>
        <v>265.598775786797</v>
      </c>
      <c r="L79" s="35" t="n">
        <f aca="false">INDEX(H79:K79,1,Inputs!$B$5)</f>
        <v>7589.22614518833</v>
      </c>
      <c r="M79" s="35" t="n">
        <f aca="false">L79*E79</f>
        <v>0.0527985402860738</v>
      </c>
      <c r="N79" s="35" t="n">
        <f aca="false">L79^$AB$7</f>
        <v>7589.22614518833</v>
      </c>
      <c r="O79" s="35" t="n">
        <f aca="false">N79*E79</f>
        <v>0.0527985402860738</v>
      </c>
      <c r="P79" s="35" t="n">
        <f aca="false">N79*$AB$3/($AB$4*$AB$1)</f>
        <v>51181404.3227493</v>
      </c>
      <c r="Q79" s="35" t="n">
        <f aca="false">IF(G79&lt;=3,F79*SQRT(P79),0)</f>
        <v>112702.530362027</v>
      </c>
      <c r="R79" s="35" t="n">
        <f aca="false">SQRT(P79/$AB$6)</f>
        <v>3305473116.10477</v>
      </c>
      <c r="S79" s="35" t="n">
        <f aca="false">2*$AB$6*R79</f>
        <v>0.0309676724178368</v>
      </c>
      <c r="T79" s="35" t="n">
        <f aca="false">IF(G79&lt;=3,F79*R79,0)</f>
        <v>52072831948.9102</v>
      </c>
      <c r="U79" s="35" t="n">
        <f aca="false">F79*P79</f>
        <v>806287200.831458</v>
      </c>
      <c r="V79" s="35" t="n">
        <f aca="false">H79^$AB$7*E79</f>
        <v>0.0527985402860738</v>
      </c>
      <c r="W79" s="35" t="n">
        <f aca="false">I79^$AB$7*E79</f>
        <v>0.00557084259305321</v>
      </c>
      <c r="X79" s="35" t="n">
        <f aca="false">J79^$AB$7*E79</f>
        <v>0.00271641049068902</v>
      </c>
      <c r="Y79" s="35" t="n">
        <f aca="false">K79^$AB$7*E79</f>
        <v>0.00184778097200358</v>
      </c>
    </row>
    <row r="80" customFormat="false" ht="15" hidden="false" customHeight="false" outlineLevel="0" collapsed="false">
      <c r="A80" s="35" t="n">
        <v>78</v>
      </c>
      <c r="B80" s="35" t="n">
        <f aca="false">C79</f>
        <v>0.000184784979742229</v>
      </c>
      <c r="C80" s="35" t="n">
        <f aca="false">Inputs!$B$21*(Inputs!$B$22/Inputs!$B$21)^(17/60)</f>
        <v>0.00019201419386388</v>
      </c>
      <c r="D80" s="35" t="n">
        <f aca="false">(B80+C80)/2</f>
        <v>0.000188399586803055</v>
      </c>
      <c r="E80" s="35" t="n">
        <f aca="false">C80-B80</f>
        <v>7.22921412165106E-006</v>
      </c>
      <c r="F80" s="35" t="n">
        <f aca="false">Inputs!$B$16*E80</f>
        <v>16.3698324570667</v>
      </c>
      <c r="G80" s="35" t="n">
        <f aca="false">IF(D80&lt;=Inputs!$B$21,1,IF(D80&lt;=Inputs!$B$22,2,IF(D80&lt;=Inputs!$B$23,3,IF(D80&lt;=Inputs!$B$24,4,5))))</f>
        <v>2</v>
      </c>
      <c r="H80" s="35" t="n">
        <f aca="false">Fit!$B$10*D80^(-1/Fit!$B$9)</f>
        <v>7401.40110259912</v>
      </c>
      <c r="I80" s="35" t="n">
        <f aca="false">EXP(Fit!$B$16+Fit!$B$15*-NORMSINV(D80))</f>
        <v>794.159854582903</v>
      </c>
      <c r="J80" s="35" t="n">
        <f aca="false">Fit!$B$22*LN(1/D80)^(1/Fit!$B$21)</f>
        <v>388.931981814997</v>
      </c>
      <c r="K80" s="35" t="n">
        <f aca="false">MAX(0,Fit!$B$28+Fit!$B$27*-NORMSINV(D80))</f>
        <v>264.969810270105</v>
      </c>
      <c r="L80" s="35" t="n">
        <f aca="false">INDEX(H80:K80,1,Inputs!$B$5)</f>
        <v>7401.40110259912</v>
      </c>
      <c r="M80" s="35" t="n">
        <f aca="false">L80*E80</f>
        <v>0.0535063133709132</v>
      </c>
      <c r="N80" s="35" t="n">
        <f aca="false">L80^$AB$7</f>
        <v>7401.40110259912</v>
      </c>
      <c r="O80" s="35" t="n">
        <f aca="false">N80*E80</f>
        <v>0.0535063133709132</v>
      </c>
      <c r="P80" s="35" t="n">
        <f aca="false">N80*$AB$3/($AB$4*$AB$1)</f>
        <v>49914720.570969</v>
      </c>
      <c r="Q80" s="35" t="n">
        <f aca="false">IF(G80&lt;=3,F80*SQRT(P80),0)</f>
        <v>115653.440434696</v>
      </c>
      <c r="R80" s="35" t="n">
        <f aca="false">SQRT(P80/$AB$6)</f>
        <v>3264313435.06141</v>
      </c>
      <c r="S80" s="35" t="n">
        <f aca="false">2*$AB$6*R80</f>
        <v>0.0305820636185508</v>
      </c>
      <c r="T80" s="35" t="n">
        <f aca="false">IF(G80&lt;=3,F80*R80,0)</f>
        <v>53436264019.307</v>
      </c>
      <c r="U80" s="35" t="n">
        <f aca="false">F80*P80</f>
        <v>817095612.888061</v>
      </c>
      <c r="V80" s="35" t="n">
        <f aca="false">H80^$AB$7*E80</f>
        <v>0.0535063133709132</v>
      </c>
      <c r="W80" s="35" t="n">
        <f aca="false">I80^$AB$7*E80</f>
        <v>0.00574115163559907</v>
      </c>
      <c r="X80" s="35" t="n">
        <f aca="false">J80^$AB$7*E80</f>
        <v>0.00281167257529871</v>
      </c>
      <c r="Y80" s="35" t="n">
        <f aca="false">K80^$AB$7*E80</f>
        <v>0.00191552349421585</v>
      </c>
    </row>
    <row r="81" customFormat="false" ht="15" hidden="false" customHeight="false" outlineLevel="0" collapsed="false">
      <c r="A81" s="35" t="n">
        <v>79</v>
      </c>
      <c r="B81" s="35" t="n">
        <f aca="false">C80</f>
        <v>0.00019201419386388</v>
      </c>
      <c r="C81" s="35" t="n">
        <f aca="false">Inputs!$B$21*(Inputs!$B$22/Inputs!$B$21)^(18/60)</f>
        <v>0.000199526231496888</v>
      </c>
      <c r="D81" s="35" t="n">
        <f aca="false">(B81+C81)/2</f>
        <v>0.000195770212680384</v>
      </c>
      <c r="E81" s="35" t="n">
        <f aca="false">C81-B81</f>
        <v>7.51203763300779E-006</v>
      </c>
      <c r="F81" s="35" t="n">
        <f aca="false">Inputs!$B$16*E81</f>
        <v>17.0102580161828</v>
      </c>
      <c r="G81" s="35" t="n">
        <f aca="false">IF(D81&lt;=Inputs!$B$21,1,IF(D81&lt;=Inputs!$B$22,2,IF(D81&lt;=Inputs!$B$23,3,IF(D81&lt;=Inputs!$B$24,4,5))))</f>
        <v>2</v>
      </c>
      <c r="H81" s="35" t="n">
        <f aca="false">Fit!$B$10*D81^(-1/Fit!$B$9)</f>
        <v>7218.2245242866</v>
      </c>
      <c r="I81" s="35" t="n">
        <f aca="false">EXP(Fit!$B$16+Fit!$B$15*-NORMSINV(D81))</f>
        <v>787.608499953975</v>
      </c>
      <c r="J81" s="35" t="n">
        <f aca="false">Fit!$B$22*LN(1/D81)^(1/Fit!$B$21)</f>
        <v>387.408124501561</v>
      </c>
      <c r="K81" s="35" t="n">
        <f aca="false">MAX(0,Fit!$B$28+Fit!$B$27*-NORMSINV(D81))</f>
        <v>264.339267589672</v>
      </c>
      <c r="L81" s="35" t="n">
        <f aca="false">INDEX(H81:K81,1,Inputs!$B$5)</f>
        <v>7218.2245242866</v>
      </c>
      <c r="M81" s="35" t="n">
        <f aca="false">L81*E81</f>
        <v>0.0542235742699406</v>
      </c>
      <c r="N81" s="35" t="n">
        <f aca="false">L81^$AB$7</f>
        <v>7218.2245242866</v>
      </c>
      <c r="O81" s="35" t="n">
        <f aca="false">N81*E81</f>
        <v>0.0542235742699406</v>
      </c>
      <c r="P81" s="35" t="n">
        <f aca="false">N81*$AB$3/($AB$4*$AB$1)</f>
        <v>48679385.8559777</v>
      </c>
      <c r="Q81" s="35" t="n">
        <f aca="false">IF(G81&lt;=3,F81*SQRT(P81),0)</f>
        <v>118681.614702136</v>
      </c>
      <c r="R81" s="35" t="n">
        <f aca="false">SQRT(P81/$AB$6)</f>
        <v>3223666273.4923</v>
      </c>
      <c r="S81" s="35" t="n">
        <f aca="false">2*$AB$6*R81</f>
        <v>0.0302012564118443</v>
      </c>
      <c r="T81" s="35" t="n">
        <f aca="false">IF(G81&lt;=3,F81*R81,0)</f>
        <v>54835395070.1706</v>
      </c>
      <c r="U81" s="35" t="n">
        <f aca="false">F81*P81</f>
        <v>828048913.479502</v>
      </c>
      <c r="V81" s="35" t="n">
        <f aca="false">H81^$AB$7*E81</f>
        <v>0.0542235742699406</v>
      </c>
      <c r="W81" s="35" t="n">
        <f aca="false">I81^$AB$7*E81</f>
        <v>0.00591654469173107</v>
      </c>
      <c r="X81" s="35" t="n">
        <f aca="false">J81^$AB$7*E81</f>
        <v>0.00291022441058869</v>
      </c>
      <c r="Y81" s="35" t="n">
        <f aca="false">K81^$AB$7*E81</f>
        <v>0.00198572652601533</v>
      </c>
    </row>
    <row r="82" customFormat="false" ht="15" hidden="false" customHeight="false" outlineLevel="0" collapsed="false">
      <c r="A82" s="35" t="n">
        <v>80</v>
      </c>
      <c r="B82" s="35" t="n">
        <f aca="false">C81</f>
        <v>0.000199526231496888</v>
      </c>
      <c r="C82" s="35" t="n">
        <f aca="false">Inputs!$B$21*(Inputs!$B$22/Inputs!$B$21)^(19/60)</f>
        <v>0.000207332157348596</v>
      </c>
      <c r="D82" s="35" t="n">
        <f aca="false">(B82+C82)/2</f>
        <v>0.000203429194422742</v>
      </c>
      <c r="E82" s="35" t="n">
        <f aca="false">C82-B82</f>
        <v>7.80592585170755E-006</v>
      </c>
      <c r="F82" s="35" t="n">
        <f aca="false">Inputs!$B$16*E82</f>
        <v>17.6757384986066</v>
      </c>
      <c r="G82" s="35" t="n">
        <f aca="false">IF(D82&lt;=Inputs!$B$21,1,IF(D82&lt;=Inputs!$B$22,2,IF(D82&lt;=Inputs!$B$23,3,IF(D82&lt;=Inputs!$B$24,4,5))))</f>
        <v>2</v>
      </c>
      <c r="H82" s="35" t="n">
        <f aca="false">Fit!$B$10*D82^(-1/Fit!$B$9)</f>
        <v>7039.58136584649</v>
      </c>
      <c r="I82" s="35" t="n">
        <f aca="false">EXP(Fit!$B$16+Fit!$B$15*-NORMSINV(D82))</f>
        <v>781.094887604147</v>
      </c>
      <c r="J82" s="35" t="n">
        <f aca="false">Fit!$B$22*LN(1/D82)^(1/Fit!$B$21)</f>
        <v>385.883413720709</v>
      </c>
      <c r="K82" s="35" t="n">
        <f aca="false">MAX(0,Fit!$B$28+Fit!$B$27*-NORMSINV(D82))</f>
        <v>263.707136210827</v>
      </c>
      <c r="L82" s="35" t="n">
        <f aca="false">INDEX(H82:K82,1,Inputs!$B$5)</f>
        <v>7039.58136584649</v>
      </c>
      <c r="M82" s="35" t="n">
        <f aca="false">L82*E82</f>
        <v>0.0549504501688599</v>
      </c>
      <c r="N82" s="35" t="n">
        <f aca="false">L82^$AB$7</f>
        <v>7039.58136584649</v>
      </c>
      <c r="O82" s="35" t="n">
        <f aca="false">N82*E82</f>
        <v>0.0549504501688599</v>
      </c>
      <c r="P82" s="35" t="n">
        <f aca="false">N82*$AB$3/($AB$4*$AB$1)</f>
        <v>47474624.3234184</v>
      </c>
      <c r="Q82" s="35" t="n">
        <f aca="false">IF(G82&lt;=3,F82*SQRT(P82),0)</f>
        <v>121789.076186277</v>
      </c>
      <c r="R82" s="35" t="n">
        <f aca="false">SQRT(P82/$AB$6)</f>
        <v>3183525249.51582</v>
      </c>
      <c r="S82" s="35" t="n">
        <f aca="false">2*$AB$6*R82</f>
        <v>0.0298251910083885</v>
      </c>
      <c r="T82" s="35" t="n">
        <f aca="false">IF(G82&lt;=3,F82*R82,0)</f>
        <v>56271159814.1528</v>
      </c>
      <c r="U82" s="35" t="n">
        <f aca="false">F82*P82</f>
        <v>839149044.860332</v>
      </c>
      <c r="V82" s="35" t="n">
        <f aca="false">H82^$AB$7*E82</f>
        <v>0.0549504501688599</v>
      </c>
      <c r="W82" s="35" t="n">
        <f aca="false">I82^$AB$7*E82</f>
        <v>0.00609716877578581</v>
      </c>
      <c r="X82" s="35" t="n">
        <f aca="false">J82^$AB$7*E82</f>
        <v>0.00301217731490765</v>
      </c>
      <c r="Y82" s="35" t="n">
        <f aca="false">K82^$AB$7*E82</f>
        <v>0.00205847835182786</v>
      </c>
    </row>
    <row r="83" customFormat="false" ht="15" hidden="false" customHeight="false" outlineLevel="0" collapsed="false">
      <c r="A83" s="35" t="n">
        <v>81</v>
      </c>
      <c r="B83" s="35" t="n">
        <f aca="false">C82</f>
        <v>0.000207332157348596</v>
      </c>
      <c r="C83" s="35" t="n">
        <f aca="false">Inputs!$B$21*(Inputs!$B$22/Inputs!$B$21)^(20/60)</f>
        <v>0.000215443469003188</v>
      </c>
      <c r="D83" s="35" t="n">
        <f aca="false">(B83+C83)/2</f>
        <v>0.000211387813175892</v>
      </c>
      <c r="E83" s="35" t="n">
        <f aca="false">C83-B83</f>
        <v>8.11131165459288E-006</v>
      </c>
      <c r="F83" s="35" t="n">
        <f aca="false">Inputs!$B$16*E83</f>
        <v>18.3672541106601</v>
      </c>
      <c r="G83" s="35" t="n">
        <f aca="false">IF(D83&lt;=Inputs!$B$21,1,IF(D83&lt;=Inputs!$B$22,2,IF(D83&lt;=Inputs!$B$23,3,IF(D83&lt;=Inputs!$B$24,4,5))))</f>
        <v>2</v>
      </c>
      <c r="H83" s="35" t="n">
        <f aca="false">Fit!$B$10*D83^(-1/Fit!$B$9)</f>
        <v>6865.35943009766</v>
      </c>
      <c r="I83" s="35" t="n">
        <f aca="false">EXP(Fit!$B$16+Fit!$B$15*-NORMSINV(D83))</f>
        <v>774.618857372549</v>
      </c>
      <c r="J83" s="35" t="n">
        <f aca="false">Fit!$B$22*LN(1/D83)^(1/Fit!$B$21)</f>
        <v>384.357845137961</v>
      </c>
      <c r="K83" s="35" t="n">
        <f aca="false">MAX(0,Fit!$B$28+Fit!$B$27*-NORMSINV(D83))</f>
        <v>263.073404460018</v>
      </c>
      <c r="L83" s="35" t="n">
        <f aca="false">INDEX(H83:K83,1,Inputs!$B$5)</f>
        <v>6865.35943009766</v>
      </c>
      <c r="M83" s="35" t="n">
        <f aca="false">L83*E83</f>
        <v>0.0556870699583203</v>
      </c>
      <c r="N83" s="35" t="n">
        <f aca="false">L83^$AB$7</f>
        <v>6865.35943009766</v>
      </c>
      <c r="O83" s="35" t="n">
        <f aca="false">N83*E83</f>
        <v>0.0556870699583203</v>
      </c>
      <c r="P83" s="35" t="n">
        <f aca="false">N83*$AB$3/($AB$4*$AB$1)</f>
        <v>46299679.3204808</v>
      </c>
      <c r="Q83" s="35" t="n">
        <f aca="false">IF(G83&lt;=3,F83*SQRT(P83),0)</f>
        <v>124977.900878187</v>
      </c>
      <c r="R83" s="35" t="n">
        <f aca="false">SQRT(P83/$AB$6)</f>
        <v>3143884060.71742</v>
      </c>
      <c r="S83" s="35" t="n">
        <f aca="false">2*$AB$6*R83</f>
        <v>0.0294538083633501</v>
      </c>
      <c r="T83" s="35" t="n">
        <f aca="false">IF(G83&lt;=3,F83*R83,0)</f>
        <v>57744517437.6508</v>
      </c>
      <c r="U83" s="35" t="n">
        <f aca="false">F83*P83</f>
        <v>850397975.321346</v>
      </c>
      <c r="V83" s="35" t="n">
        <f aca="false">H83^$AB$7*E83</f>
        <v>0.0556870699583203</v>
      </c>
      <c r="W83" s="35" t="n">
        <f aca="false">I83^$AB$7*E83</f>
        <v>0.00628317496567338</v>
      </c>
      <c r="X83" s="35" t="n">
        <f aca="false">J83^$AB$7*E83</f>
        <v>0.00311764626880175</v>
      </c>
      <c r="Y83" s="35" t="n">
        <f aca="false">K83^$AB$7*E83</f>
        <v>0.00213387037160997</v>
      </c>
    </row>
    <row r="84" customFormat="false" ht="15" hidden="false" customHeight="false" outlineLevel="0" collapsed="false">
      <c r="A84" s="35" t="n">
        <v>82</v>
      </c>
      <c r="B84" s="35" t="n">
        <f aca="false">C83</f>
        <v>0.000215443469003188</v>
      </c>
      <c r="C84" s="35" t="n">
        <f aca="false">Inputs!$B$21*(Inputs!$B$22/Inputs!$B$21)^(21/60)</f>
        <v>0.000223872113856834</v>
      </c>
      <c r="D84" s="35" t="n">
        <f aca="false">(B84+C84)/2</f>
        <v>0.000219657791430011</v>
      </c>
      <c r="E84" s="35" t="n">
        <f aca="false">C84-B84</f>
        <v>8.42864485364555E-006</v>
      </c>
      <c r="F84" s="35" t="n">
        <f aca="false">Inputs!$B$16*E84</f>
        <v>19.085823406595</v>
      </c>
      <c r="G84" s="35" t="n">
        <f aca="false">IF(D84&lt;=Inputs!$B$21,1,IF(D84&lt;=Inputs!$B$22,2,IF(D84&lt;=Inputs!$B$23,3,IF(D84&lt;=Inputs!$B$24,4,5))))</f>
        <v>2</v>
      </c>
      <c r="H84" s="35" t="n">
        <f aca="false">Fit!$B$10*D84^(-1/Fit!$B$9)</f>
        <v>6695.44929661641</v>
      </c>
      <c r="I84" s="35" t="n">
        <f aca="false">EXP(Fit!$B$16+Fit!$B$15*-NORMSINV(D84))</f>
        <v>768.180249614607</v>
      </c>
      <c r="J84" s="35" t="n">
        <f aca="false">Fit!$B$22*LN(1/D84)^(1/Fit!$B$21)</f>
        <v>382.831414377058</v>
      </c>
      <c r="K84" s="35" t="n">
        <f aca="false">MAX(0,Fit!$B$28+Fit!$B$27*-NORMSINV(D84))</f>
        <v>262.43806052249</v>
      </c>
      <c r="L84" s="35" t="n">
        <f aca="false">INDEX(H84:K84,1,Inputs!$B$5)</f>
        <v>6695.44929661641</v>
      </c>
      <c r="M84" s="35" t="n">
        <f aca="false">L84*E84</f>
        <v>0.0564335642567706</v>
      </c>
      <c r="N84" s="35" t="n">
        <f aca="false">L84^$AB$7</f>
        <v>6695.44929661641</v>
      </c>
      <c r="O84" s="35" t="n">
        <f aca="false">N84*E84</f>
        <v>0.0564335642567706</v>
      </c>
      <c r="P84" s="35" t="n">
        <f aca="false">N84*$AB$3/($AB$4*$AB$1)</f>
        <v>45153812.9206833</v>
      </c>
      <c r="Q84" s="35" t="n">
        <f aca="false">IF(G84&lt;=3,F84*SQRT(P84),0)</f>
        <v>128250.219124972</v>
      </c>
      <c r="R84" s="35" t="n">
        <f aca="false">SQRT(P84/$AB$6)</f>
        <v>3104736483.16007</v>
      </c>
      <c r="S84" s="35" t="n">
        <f aca="false">2*$AB$6*R84</f>
        <v>0.0290870501671206</v>
      </c>
      <c r="T84" s="35" t="n">
        <f aca="false">IF(G84&lt;=3,F84*R84,0)</f>
        <v>59256452241.6059</v>
      </c>
      <c r="U84" s="35" t="n">
        <f aca="false">F84*P84</f>
        <v>861797699.538587</v>
      </c>
      <c r="V84" s="35" t="n">
        <f aca="false">H84^$AB$7*E84</f>
        <v>0.0564335642567706</v>
      </c>
      <c r="W84" s="35" t="n">
        <f aca="false">I84^$AB$7*E84</f>
        <v>0.00647471850758631</v>
      </c>
      <c r="X84" s="35" t="n">
        <f aca="false">J84^$AB$7*E84</f>
        <v>0.00322675003060304</v>
      </c>
      <c r="Y84" s="35" t="n">
        <f aca="false">K84^$AB$7*E84</f>
        <v>0.0022119972082236</v>
      </c>
    </row>
    <row r="85" customFormat="false" ht="15" hidden="false" customHeight="false" outlineLevel="0" collapsed="false">
      <c r="A85" s="35" t="n">
        <v>83</v>
      </c>
      <c r="B85" s="35" t="n">
        <f aca="false">C84</f>
        <v>0.000223872113856834</v>
      </c>
      <c r="C85" s="35" t="n">
        <f aca="false">Inputs!$B$21*(Inputs!$B$22/Inputs!$B$21)^(22/60)</f>
        <v>0.000232630506715363</v>
      </c>
      <c r="D85" s="35" t="n">
        <f aca="false">(B85+C85)/2</f>
        <v>0.000228251310286098</v>
      </c>
      <c r="E85" s="35" t="n">
        <f aca="false">C85-B85</f>
        <v>8.75839285852865E-006</v>
      </c>
      <c r="F85" s="35" t="n">
        <f aca="false">Inputs!$B$16*E85</f>
        <v>19.8325047888523</v>
      </c>
      <c r="G85" s="35" t="n">
        <f aca="false">IF(D85&lt;=Inputs!$B$21,1,IF(D85&lt;=Inputs!$B$22,2,IF(D85&lt;=Inputs!$B$23,3,IF(D85&lt;=Inputs!$B$24,4,5))))</f>
        <v>2</v>
      </c>
      <c r="H85" s="35" t="n">
        <f aca="false">Fit!$B$10*D85^(-1/Fit!$B$9)</f>
        <v>6529.74425301481</v>
      </c>
      <c r="I85" s="35" t="n">
        <f aca="false">EXP(Fit!$B$16+Fit!$B$15*-NORMSINV(D85))</f>
        <v>761.778905200464</v>
      </c>
      <c r="J85" s="35" t="n">
        <f aca="false">Fit!$B$22*LN(1/D85)^(1/Fit!$B$21)</f>
        <v>381.304117019369</v>
      </c>
      <c r="K85" s="35" t="n">
        <f aca="false">MAX(0,Fit!$B$28+Fit!$B$27*-NORMSINV(D85))</f>
        <v>261.801092439903</v>
      </c>
      <c r="L85" s="35" t="n">
        <f aca="false">INDEX(H85:K85,1,Inputs!$B$5)</f>
        <v>6529.74425301481</v>
      </c>
      <c r="M85" s="35" t="n">
        <f aca="false">L85*E85</f>
        <v>0.0571900654336234</v>
      </c>
      <c r="N85" s="35" t="n">
        <f aca="false">L85^$AB$7</f>
        <v>6529.74425301481</v>
      </c>
      <c r="O85" s="35" t="n">
        <f aca="false">N85*E85</f>
        <v>0.0571900654336234</v>
      </c>
      <c r="P85" s="35" t="n">
        <f aca="false">N85*$AB$3/($AB$4*$AB$1)</f>
        <v>44036305.4604174</v>
      </c>
      <c r="Q85" s="35" t="n">
        <f aca="false">IF(G85&lt;=3,F85*SQRT(P85),0)</f>
        <v>131608.21705299</v>
      </c>
      <c r="R85" s="35" t="n">
        <f aca="false">SQRT(P85/$AB$6)</f>
        <v>3066076370.4071</v>
      </c>
      <c r="S85" s="35" t="n">
        <f aca="false">2*$AB$6*R85</f>
        <v>0.0287248588361617</v>
      </c>
      <c r="T85" s="35" t="n">
        <f aca="false">IF(G85&lt;=3,F85*R85,0)</f>
        <v>60807974299.0856</v>
      </c>
      <c r="U85" s="35" t="n">
        <f aca="false">F85*P85</f>
        <v>873350238.92709</v>
      </c>
      <c r="V85" s="35" t="n">
        <f aca="false">H85^$AB$7*E85</f>
        <v>0.0571900654336234</v>
      </c>
      <c r="W85" s="35" t="n">
        <f aca="false">I85^$AB$7*E85</f>
        <v>0.00667195892308552</v>
      </c>
      <c r="X85" s="35" t="n">
        <f aca="false">J85^$AB$7*E85</f>
        <v>0.00333961125543001</v>
      </c>
      <c r="Y85" s="35" t="n">
        <f aca="false">K85^$AB$7*E85</f>
        <v>0.00229295681838065</v>
      </c>
    </row>
    <row r="86" customFormat="false" ht="15" hidden="false" customHeight="false" outlineLevel="0" collapsed="false">
      <c r="A86" s="35" t="n">
        <v>84</v>
      </c>
      <c r="B86" s="35" t="n">
        <f aca="false">C85</f>
        <v>0.000232630506715363</v>
      </c>
      <c r="C86" s="35" t="n">
        <f aca="false">Inputs!$B$21*(Inputs!$B$22/Inputs!$B$21)^(23/60)</f>
        <v>0.00024173154808041</v>
      </c>
      <c r="D86" s="35" t="n">
        <f aca="false">(B86+C86)/2</f>
        <v>0.000237181027397887</v>
      </c>
      <c r="E86" s="35" t="n">
        <f aca="false">C86-B86</f>
        <v>9.1010413650478E-006</v>
      </c>
      <c r="F86" s="35" t="n">
        <f aca="false">Inputs!$B$16*E86</f>
        <v>20.6083980670142</v>
      </c>
      <c r="G86" s="35" t="n">
        <f aca="false">IF(D86&lt;=Inputs!$B$21,1,IF(D86&lt;=Inputs!$B$22,2,IF(D86&lt;=Inputs!$B$23,3,IF(D86&lt;=Inputs!$B$24,4,5))))</f>
        <v>2</v>
      </c>
      <c r="H86" s="35" t="n">
        <f aca="false">Fit!$B$10*D86^(-1/Fit!$B$9)</f>
        <v>6368.14022791974</v>
      </c>
      <c r="I86" s="35" t="n">
        <f aca="false">EXP(Fit!$B$16+Fit!$B$15*-NORMSINV(D86))</f>
        <v>755.414665513407</v>
      </c>
      <c r="J86" s="35" t="n">
        <f aca="false">Fit!$B$22*LN(1/D86)^(1/Fit!$B$21)</f>
        <v>379.775948603286</v>
      </c>
      <c r="K86" s="35" t="n">
        <f aca="false">MAX(0,Fit!$B$28+Fit!$B$27*-NORMSINV(D86))</f>
        <v>261.162488107909</v>
      </c>
      <c r="L86" s="35" t="n">
        <f aca="false">INDEX(H86:K86,1,Inputs!$B$5)</f>
        <v>6368.14022791974</v>
      </c>
      <c r="M86" s="35" t="n">
        <f aca="false">L86*E86</f>
        <v>0.0579567076327224</v>
      </c>
      <c r="N86" s="35" t="n">
        <f aca="false">L86^$AB$7</f>
        <v>6368.14022791974</v>
      </c>
      <c r="O86" s="35" t="n">
        <f aca="false">N86*E86</f>
        <v>0.0579567076327224</v>
      </c>
      <c r="P86" s="35" t="n">
        <f aca="false">N86*$AB$3/($AB$4*$AB$1)</f>
        <v>42946455.0869615</v>
      </c>
      <c r="Q86" s="35" t="n">
        <f aca="false">IF(G86&lt;=3,F86*SQRT(P86),0)</f>
        <v>135054.138028324</v>
      </c>
      <c r="R86" s="35" t="n">
        <f aca="false">SQRT(P86/$AB$6)</f>
        <v>3027897652.55709</v>
      </c>
      <c r="S86" s="35" t="n">
        <f aca="false">2*$AB$6*R86</f>
        <v>0.028367177503964</v>
      </c>
      <c r="T86" s="35" t="n">
        <f aca="false">IF(G86&lt;=3,F86*R86,0)</f>
        <v>62400120130.0746</v>
      </c>
      <c r="U86" s="35" t="n">
        <f aca="false">F86*P86</f>
        <v>885057641.999252</v>
      </c>
      <c r="V86" s="35" t="n">
        <f aca="false">H86^$AB$7*E86</f>
        <v>0.0579567076327224</v>
      </c>
      <c r="W86" s="35" t="n">
        <f aca="false">I86^$AB$7*E86</f>
        <v>0.00687506011860127</v>
      </c>
      <c r="X86" s="35" t="n">
        <f aca="false">J86^$AB$7*E86</f>
        <v>0.00345635661768877</v>
      </c>
      <c r="Y86" s="35" t="n">
        <f aca="false">K86^$AB$7*E86</f>
        <v>0.00237685060726888</v>
      </c>
    </row>
    <row r="87" customFormat="false" ht="15" hidden="false" customHeight="false" outlineLevel="0" collapsed="false">
      <c r="A87" s="35" t="n">
        <v>85</v>
      </c>
      <c r="B87" s="35" t="n">
        <f aca="false">C86</f>
        <v>0.00024173154808041</v>
      </c>
      <c r="C87" s="35" t="n">
        <f aca="false">Inputs!$B$21*(Inputs!$B$22/Inputs!$B$21)^(24/60)</f>
        <v>0.000251188643150958</v>
      </c>
      <c r="D87" s="35" t="n">
        <f aca="false">(B87+C87)/2</f>
        <v>0.000246460095615684</v>
      </c>
      <c r="E87" s="35" t="n">
        <f aca="false">C87-B87</f>
        <v>9.45709507054761E-006</v>
      </c>
      <c r="F87" s="35" t="n">
        <f aca="false">Inputs!$B$16*E87</f>
        <v>21.414646077748</v>
      </c>
      <c r="G87" s="35" t="n">
        <f aca="false">IF(D87&lt;=Inputs!$B$21,1,IF(D87&lt;=Inputs!$B$22,2,IF(D87&lt;=Inputs!$B$23,3,IF(D87&lt;=Inputs!$B$24,4,5))))</f>
        <v>2</v>
      </c>
      <c r="H87" s="35" t="n">
        <f aca="false">Fit!$B$10*D87^(-1/Fit!$B$9)</f>
        <v>6210.5357256107</v>
      </c>
      <c r="I87" s="35" t="n">
        <f aca="false">EXP(Fit!$B$16+Fit!$B$15*-NORMSINV(D87))</f>
        <v>749.087372448297</v>
      </c>
      <c r="J87" s="35" t="n">
        <f aca="false">Fit!$B$22*LN(1/D87)^(1/Fit!$B$21)</f>
        <v>378.246904623604</v>
      </c>
      <c r="K87" s="35" t="n">
        <f aca="false">MAX(0,Fit!$B$28+Fit!$B$27*-NORMSINV(D87))</f>
        <v>260.522235273666</v>
      </c>
      <c r="L87" s="35" t="n">
        <f aca="false">INDEX(H87:K87,1,Inputs!$B$5)</f>
        <v>6210.5357256107</v>
      </c>
      <c r="M87" s="35" t="n">
        <f aca="false">L87*E87</f>
        <v>0.0587336267961328</v>
      </c>
      <c r="N87" s="35" t="n">
        <f aca="false">L87^$AB$7</f>
        <v>6210.5357256107</v>
      </c>
      <c r="O87" s="35" t="n">
        <f aca="false">N87*E87</f>
        <v>0.0587336267961328</v>
      </c>
      <c r="P87" s="35" t="n">
        <f aca="false">N87*$AB$3/($AB$4*$AB$1)</f>
        <v>41883577.3176809</v>
      </c>
      <c r="Q87" s="35" t="n">
        <f aca="false">IF(G87&lt;=3,F87*SQRT(P87),0)</f>
        <v>138590.284155507</v>
      </c>
      <c r="R87" s="35" t="n">
        <f aca="false">SQRT(P87/$AB$6)</f>
        <v>2990194335.29096</v>
      </c>
      <c r="S87" s="35" t="n">
        <f aca="false">2*$AB$6*R87</f>
        <v>0.0280139500121188</v>
      </c>
      <c r="T87" s="35" t="n">
        <f aca="false">IF(G87&lt;=3,F87*R87,0)</f>
        <v>64033953393.9429</v>
      </c>
      <c r="U87" s="35" t="n">
        <f aca="false">F87*P87</f>
        <v>896921984.728131</v>
      </c>
      <c r="V87" s="35" t="n">
        <f aca="false">H87^$AB$7*E87</f>
        <v>0.0587336267961328</v>
      </c>
      <c r="W87" s="35" t="n">
        <f aca="false">I87^$AB$7*E87</f>
        <v>0.00708419049739025</v>
      </c>
      <c r="X87" s="35" t="n">
        <f aca="false">J87^$AB$7*E87</f>
        <v>0.00357711693716578</v>
      </c>
      <c r="Y87" s="35" t="n">
        <f aca="false">K87^$AB$7*E87</f>
        <v>0.00246378354697463</v>
      </c>
    </row>
    <row r="88" customFormat="false" ht="15" hidden="false" customHeight="false" outlineLevel="0" collapsed="false">
      <c r="A88" s="35" t="n">
        <v>86</v>
      </c>
      <c r="B88" s="35" t="n">
        <f aca="false">C87</f>
        <v>0.000251188643150958</v>
      </c>
      <c r="C88" s="35" t="n">
        <f aca="false">Inputs!$B$21*(Inputs!$B$22/Inputs!$B$21)^(25/60)</f>
        <v>0.000261015721568254</v>
      </c>
      <c r="D88" s="35" t="n">
        <f aca="false">(B88+C88)/2</f>
        <v>0.000256102182359606</v>
      </c>
      <c r="E88" s="35" t="n">
        <f aca="false">C88-B88</f>
        <v>9.82707841729567E-006</v>
      </c>
      <c r="F88" s="35" t="n">
        <f aca="false">Inputs!$B$16*E88</f>
        <v>22.2524363681243</v>
      </c>
      <c r="G88" s="35" t="n">
        <f aca="false">IF(D88&lt;=Inputs!$B$21,1,IF(D88&lt;=Inputs!$B$22,2,IF(D88&lt;=Inputs!$B$23,3,IF(D88&lt;=Inputs!$B$24,4,5))))</f>
        <v>2</v>
      </c>
      <c r="H88" s="35" t="n">
        <f aca="false">Fit!$B$10*D88^(-1/Fit!$B$9)</f>
        <v>6056.83176227523</v>
      </c>
      <c r="I88" s="35" t="n">
        <f aca="false">EXP(Fit!$B$16+Fit!$B$15*-NORMSINV(D88))</f>
        <v>742.79686840998</v>
      </c>
      <c r="J88" s="35" t="n">
        <f aca="false">Fit!$B$22*LN(1/D88)^(1/Fit!$B$21)</f>
        <v>376.716980530895</v>
      </c>
      <c r="K88" s="35" t="n">
        <f aca="false">MAX(0,Fit!$B$28+Fit!$B$27*-NORMSINV(D88))</f>
        <v>259.880321533307</v>
      </c>
      <c r="L88" s="35" t="n">
        <f aca="false">INDEX(H88:K88,1,Inputs!$B$5)</f>
        <v>6056.83176227523</v>
      </c>
      <c r="M88" s="35" t="n">
        <f aca="false">L88*E88</f>
        <v>0.0595209606882458</v>
      </c>
      <c r="N88" s="35" t="n">
        <f aca="false">L88^$AB$7</f>
        <v>6056.83176227523</v>
      </c>
      <c r="O88" s="35" t="n">
        <f aca="false">N88*E88</f>
        <v>0.0595209606882458</v>
      </c>
      <c r="P88" s="35" t="n">
        <f aca="false">N88*$AB$3/($AB$4*$AB$1)</f>
        <v>40847004.6101368</v>
      </c>
      <c r="Q88" s="35" t="n">
        <f aca="false">IF(G88&lt;=3,F88*SQRT(P88),0)</f>
        <v>142219.017815479</v>
      </c>
      <c r="R88" s="35" t="n">
        <f aca="false">SQRT(P88/$AB$6)</f>
        <v>2952960498.93071</v>
      </c>
      <c r="S88" s="35" t="n">
        <f aca="false">2*$AB$6*R88</f>
        <v>0.0276651209015006</v>
      </c>
      <c r="T88" s="35" t="n">
        <f aca="false">IF(G88&lt;=3,F88*R88,0)</f>
        <v>65710565600.0404</v>
      </c>
      <c r="U88" s="35" t="n">
        <f aca="false">F88*P88</f>
        <v>908945370.91555</v>
      </c>
      <c r="V88" s="35" t="n">
        <f aca="false">H88^$AB$7*E88</f>
        <v>0.0595209606882458</v>
      </c>
      <c r="W88" s="35" t="n">
        <f aca="false">I88^$AB$7*E88</f>
        <v>0.00729952307398653</v>
      </c>
      <c r="X88" s="35" t="n">
        <f aca="false">J88^$AB$7*E88</f>
        <v>0.00370202730880395</v>
      </c>
      <c r="Y88" s="35" t="n">
        <f aca="false">K88^$AB$7*E88</f>
        <v>0.00255386429881982</v>
      </c>
    </row>
    <row r="89" customFormat="false" ht="15" hidden="false" customHeight="false" outlineLevel="0" collapsed="false">
      <c r="A89" s="35" t="n">
        <v>87</v>
      </c>
      <c r="B89" s="35" t="n">
        <f aca="false">C88</f>
        <v>0.000261015721568254</v>
      </c>
      <c r="C89" s="35" t="n">
        <f aca="false">Inputs!$B$21*(Inputs!$B$22/Inputs!$B$21)^(26/60)</f>
        <v>0.000271227257933203</v>
      </c>
      <c r="D89" s="35" t="n">
        <f aca="false">(B89+C89)/2</f>
        <v>0.000266121489750728</v>
      </c>
      <c r="E89" s="35" t="n">
        <f aca="false">C89-B89</f>
        <v>1.02115363649491E-005</v>
      </c>
      <c r="F89" s="35" t="n">
        <f aca="false">Inputs!$B$16*E89</f>
        <v>23.1230029447908</v>
      </c>
      <c r="G89" s="35" t="n">
        <f aca="false">IF(D89&lt;=Inputs!$B$21,1,IF(D89&lt;=Inputs!$B$22,2,IF(D89&lt;=Inputs!$B$23,3,IF(D89&lt;=Inputs!$B$24,4,5))))</f>
        <v>2</v>
      </c>
      <c r="H89" s="35" t="n">
        <f aca="false">Fit!$B$10*D89^(-1/Fit!$B$9)</f>
        <v>5906.93180384188</v>
      </c>
      <c r="I89" s="35" t="n">
        <f aca="false">EXP(Fit!$B$16+Fit!$B$15*-NORMSINV(D89))</f>
        <v>736.542996311715</v>
      </c>
      <c r="J89" s="35" t="n">
        <f aca="false">Fit!$B$22*LN(1/D89)^(1/Fit!$B$21)</f>
        <v>375.186171730862</v>
      </c>
      <c r="K89" s="35" t="n">
        <f aca="false">MAX(0,Fit!$B$28+Fit!$B$27*-NORMSINV(D89))</f>
        <v>259.236734329347</v>
      </c>
      <c r="L89" s="35" t="n">
        <f aca="false">INDEX(H89:K89,1,Inputs!$B$5)</f>
        <v>5906.93180384188</v>
      </c>
      <c r="M89" s="35" t="n">
        <f aca="false">L89*E89</f>
        <v>0.0603188489202059</v>
      </c>
      <c r="N89" s="35" t="n">
        <f aca="false">L89^$AB$7</f>
        <v>5906.93180384188</v>
      </c>
      <c r="O89" s="35" t="n">
        <f aca="false">N89*E89</f>
        <v>0.0603188489202059</v>
      </c>
      <c r="P89" s="35" t="n">
        <f aca="false">N89*$AB$3/($AB$4*$AB$1)</f>
        <v>39836085.9428357</v>
      </c>
      <c r="Q89" s="35" t="n">
        <f aca="false">IF(G89&lt;=3,F89*SQRT(P89),0)</f>
        <v>145942.763243809</v>
      </c>
      <c r="R89" s="35" t="n">
        <f aca="false">SQRT(P89/$AB$6)</f>
        <v>2916190297.51009</v>
      </c>
      <c r="S89" s="35" t="n">
        <f aca="false">2*$AB$6*R89</f>
        <v>0.0273206354035596</v>
      </c>
      <c r="T89" s="35" t="n">
        <f aca="false">IF(G89&lt;=3,F89*R89,0)</f>
        <v>67431076836.8963</v>
      </c>
      <c r="U89" s="35" t="n">
        <f aca="false">F89*P89</f>
        <v>921129932.565129</v>
      </c>
      <c r="V89" s="35" t="n">
        <f aca="false">H89^$AB$7*E89</f>
        <v>0.0603188489202059</v>
      </c>
      <c r="W89" s="35" t="n">
        <f aca="false">I89^$AB$7*E89</f>
        <v>0.00752123559118567</v>
      </c>
      <c r="X89" s="35" t="n">
        <f aca="false">J89^$AB$7*E89</f>
        <v>0.00383122723625575</v>
      </c>
      <c r="Y89" s="35" t="n">
        <f aca="false">K89^$AB$7*E89</f>
        <v>0.00264720533973479</v>
      </c>
    </row>
    <row r="90" customFormat="false" ht="15" hidden="false" customHeight="false" outlineLevel="0" collapsed="false">
      <c r="A90" s="35" t="n">
        <v>88</v>
      </c>
      <c r="B90" s="35" t="n">
        <f aca="false">C89</f>
        <v>0.000271227257933203</v>
      </c>
      <c r="C90" s="35" t="n">
        <f aca="false">Inputs!$B$21*(Inputs!$B$22/Inputs!$B$21)^(27/60)</f>
        <v>0.000281838293126445</v>
      </c>
      <c r="D90" s="35" t="n">
        <f aca="false">(B90+C90)/2</f>
        <v>0.000276532775529824</v>
      </c>
      <c r="E90" s="35" t="n">
        <f aca="false">C90-B90</f>
        <v>1.06110351932426E-005</v>
      </c>
      <c r="F90" s="35" t="n">
        <f aca="false">Inputs!$B$16*E90</f>
        <v>24.0276280915785</v>
      </c>
      <c r="G90" s="35" t="n">
        <f aca="false">IF(D90&lt;=Inputs!$B$21,1,IF(D90&lt;=Inputs!$B$22,2,IF(D90&lt;=Inputs!$B$23,3,IF(D90&lt;=Inputs!$B$24,4,5))))</f>
        <v>2</v>
      </c>
      <c r="H90" s="35" t="n">
        <f aca="false">Fit!$B$10*D90^(-1/Fit!$B$9)</f>
        <v>5760.74170535185</v>
      </c>
      <c r="I90" s="35" t="n">
        <f aca="false">EXP(Fit!$B$16+Fit!$B$15*-NORMSINV(D90))</f>
        <v>730.325599573586</v>
      </c>
      <c r="J90" s="35" t="n">
        <f aca="false">Fit!$B$22*LN(1/D90)^(1/Fit!$B$21)</f>
        <v>373.654473583691</v>
      </c>
      <c r="K90" s="35" t="n">
        <f aca="false">MAX(0,Fit!$B$28+Fit!$B$27*-NORMSINV(D90))</f>
        <v>258.59146094804</v>
      </c>
      <c r="L90" s="35" t="n">
        <f aca="false">INDEX(H90:K90,1,Inputs!$B$5)</f>
        <v>5760.74170535185</v>
      </c>
      <c r="M90" s="35" t="n">
        <f aca="false">L90*E90</f>
        <v>0.0611274329746687</v>
      </c>
      <c r="N90" s="35" t="n">
        <f aca="false">L90^$AB$7</f>
        <v>5760.74170535185</v>
      </c>
      <c r="O90" s="35" t="n">
        <f aca="false">N90*E90</f>
        <v>0.0611274329746687</v>
      </c>
      <c r="P90" s="35" t="n">
        <f aca="false">N90*$AB$3/($AB$4*$AB$1)</f>
        <v>38850186.4063534</v>
      </c>
      <c r="Q90" s="35" t="n">
        <f aca="false">IF(G90&lt;=3,F90*SQRT(P90),0)</f>
        <v>149764.008150255</v>
      </c>
      <c r="R90" s="35" t="n">
        <f aca="false">SQRT(P90/$AB$6)</f>
        <v>2879877957.85667</v>
      </c>
      <c r="S90" s="35" t="n">
        <f aca="false">2*$AB$6*R90</f>
        <v>0.0269804394317232</v>
      </c>
      <c r="T90" s="35" t="n">
        <f aca="false">IF(G90&lt;=3,F90*R90,0)</f>
        <v>69196636520.5147</v>
      </c>
      <c r="U90" s="35" t="n">
        <f aca="false">F90*P90</f>
        <v>933477830.260357</v>
      </c>
      <c r="V90" s="35" t="n">
        <f aca="false">H90^$AB$7*E90</f>
        <v>0.0611274329746687</v>
      </c>
      <c r="W90" s="35" t="n">
        <f aca="false">I90^$AB$7*E90</f>
        <v>0.0077495106396013</v>
      </c>
      <c r="X90" s="35" t="n">
        <f aca="false">J90^$AB$7*E90</f>
        <v>0.00396486076930907</v>
      </c>
      <c r="Y90" s="35" t="n">
        <f aca="false">K90^$AB$7*E90</f>
        <v>0.00274392309279166</v>
      </c>
    </row>
    <row r="91" customFormat="false" ht="15" hidden="false" customHeight="false" outlineLevel="0" collapsed="false">
      <c r="A91" s="35" t="n">
        <v>89</v>
      </c>
      <c r="B91" s="35" t="n">
        <f aca="false">C90</f>
        <v>0.000281838293126445</v>
      </c>
      <c r="C91" s="35" t="n">
        <f aca="false">Inputs!$B$21*(Inputs!$B$22/Inputs!$B$21)^(28/60)</f>
        <v>0.000292864456462524</v>
      </c>
      <c r="D91" s="35" t="n">
        <f aca="false">(B91+C91)/2</f>
        <v>0.000287351374794485</v>
      </c>
      <c r="E91" s="35" t="n">
        <f aca="false">C91-B91</f>
        <v>1.10261633360783E-005</v>
      </c>
      <c r="F91" s="35" t="n">
        <f aca="false">Inputs!$B$16*E91</f>
        <v>24.9676442582157</v>
      </c>
      <c r="G91" s="35" t="n">
        <f aca="false">IF(D91&lt;=Inputs!$B$21,1,IF(D91&lt;=Inputs!$B$22,2,IF(D91&lt;=Inputs!$B$23,3,IF(D91&lt;=Inputs!$B$24,4,5))))</f>
        <v>2</v>
      </c>
      <c r="H91" s="35" t="n">
        <f aca="false">Fit!$B$10*D91^(-1/Fit!$B$9)</f>
        <v>5618.16965183106</v>
      </c>
      <c r="I91" s="35" t="n">
        <f aca="false">EXP(Fit!$B$16+Fit!$B$15*-NORMSINV(D91))</f>
        <v>724.144522120922</v>
      </c>
      <c r="J91" s="35" t="n">
        <f aca="false">Fit!$B$22*LN(1/D91)^(1/Fit!$B$21)</f>
        <v>372.121881403378</v>
      </c>
      <c r="K91" s="35" t="n">
        <f aca="false">MAX(0,Fit!$B$28+Fit!$B$27*-NORMSINV(D91))</f>
        <v>257.944488516666</v>
      </c>
      <c r="L91" s="35" t="n">
        <f aca="false">INDEX(H91:K91,1,Inputs!$B$5)</f>
        <v>5618.16965183106</v>
      </c>
      <c r="M91" s="35" t="n">
        <f aca="false">L91*E91</f>
        <v>0.0619468562308874</v>
      </c>
      <c r="N91" s="35" t="n">
        <f aca="false">L91^$AB$7</f>
        <v>5618.16965183106</v>
      </c>
      <c r="O91" s="35" t="n">
        <f aca="false">N91*E91</f>
        <v>0.0619468562308874</v>
      </c>
      <c r="P91" s="35" t="n">
        <f aca="false">N91*$AB$3/($AB$4*$AB$1)</f>
        <v>37888686.8045793</v>
      </c>
      <c r="Q91" s="35" t="n">
        <f aca="false">IF(G91&lt;=3,F91*SQRT(P91),0)</f>
        <v>153685.30538071</v>
      </c>
      <c r="R91" s="35" t="n">
        <f aca="false">SQRT(P91/$AB$6)</f>
        <v>2844017778.68545</v>
      </c>
      <c r="S91" s="35" t="n">
        <f aca="false">2*$AB$6*R91</f>
        <v>0.0266444795729034</v>
      </c>
      <c r="T91" s="35" t="n">
        <f aca="false">IF(G91&lt;=3,F91*R91,0)</f>
        <v>71008424162.2592</v>
      </c>
      <c r="U91" s="35" t="n">
        <f aca="false">F91*P91</f>
        <v>945991253.547687</v>
      </c>
      <c r="V91" s="35" t="n">
        <f aca="false">H91^$AB$7*E91</f>
        <v>0.0619468562308874</v>
      </c>
      <c r="W91" s="35" t="n">
        <f aca="false">I91^$AB$7*E91</f>
        <v>0.00798453577983165</v>
      </c>
      <c r="X91" s="35" t="n">
        <f aca="false">J91^$AB$7*E91</f>
        <v>0.0041030766452824</v>
      </c>
      <c r="Y91" s="35" t="n">
        <f aca="false">K91^$AB$7*E91</f>
        <v>0.00284413806202594</v>
      </c>
    </row>
    <row r="92" customFormat="false" ht="15" hidden="false" customHeight="false" outlineLevel="0" collapsed="false">
      <c r="A92" s="35" t="n">
        <v>90</v>
      </c>
      <c r="B92" s="35" t="n">
        <f aca="false">C91</f>
        <v>0.000292864456462524</v>
      </c>
      <c r="C92" s="35" t="n">
        <f aca="false">Inputs!$B$21*(Inputs!$B$22/Inputs!$B$21)^(29/60)</f>
        <v>0.000304321988710772</v>
      </c>
      <c r="D92" s="35" t="n">
        <f aca="false">(B92+C92)/2</f>
        <v>0.000298593222586648</v>
      </c>
      <c r="E92" s="35" t="n">
        <f aca="false">C92-B92</f>
        <v>1.14575322482485E-005</v>
      </c>
      <c r="F92" s="35" t="n">
        <f aca="false">Inputs!$B$16*E92</f>
        <v>25.9444360229339</v>
      </c>
      <c r="G92" s="35" t="n">
        <f aca="false">IF(D92&lt;=Inputs!$B$21,1,IF(D92&lt;=Inputs!$B$22,2,IF(D92&lt;=Inputs!$B$23,3,IF(D92&lt;=Inputs!$B$24,4,5))))</f>
        <v>2</v>
      </c>
      <c r="H92" s="35" t="n">
        <f aca="false">Fit!$B$10*D92^(-1/Fit!$B$9)</f>
        <v>5479.12610062556</v>
      </c>
      <c r="I92" s="35" t="n">
        <f aca="false">EXP(Fit!$B$16+Fit!$B$15*-NORMSINV(D92))</f>
        <v>717.99960838271</v>
      </c>
      <c r="J92" s="35" t="n">
        <f aca="false">Fit!$B$22*LN(1/D92)^(1/Fit!$B$21)</f>
        <v>370.588390457054</v>
      </c>
      <c r="K92" s="35" t="n">
        <f aca="false">MAX(0,Fit!$B$28+Fit!$B$27*-NORMSINV(D92))</f>
        <v>257.295804000774</v>
      </c>
      <c r="L92" s="35" t="n">
        <f aca="false">INDEX(H92:K92,1,Inputs!$B$5)</f>
        <v>5479.12610062556</v>
      </c>
      <c r="M92" s="35" t="n">
        <f aca="false">L92*E92</f>
        <v>0.0627772639901374</v>
      </c>
      <c r="N92" s="35" t="n">
        <f aca="false">L92^$AB$7</f>
        <v>5479.12610062556</v>
      </c>
      <c r="O92" s="35" t="n">
        <f aca="false">N92*E92</f>
        <v>0.0627772639901374</v>
      </c>
      <c r="P92" s="35" t="n">
        <f aca="false">N92*$AB$3/($AB$4*$AB$1)</f>
        <v>36950983.265829</v>
      </c>
      <c r="Q92" s="35" t="n">
        <f aca="false">IF(G92&lt;=3,F92*SQRT(P92),0)</f>
        <v>157709.274622682</v>
      </c>
      <c r="R92" s="35" t="n">
        <f aca="false">SQRT(P92/$AB$6)</f>
        <v>2808604129.7037</v>
      </c>
      <c r="S92" s="35" t="n">
        <f aca="false">2*$AB$6*R92</f>
        <v>0.0263127030791108</v>
      </c>
      <c r="T92" s="35" t="n">
        <f aca="false">IF(G92&lt;=3,F92*R92,0)</f>
        <v>72867650156.8457</v>
      </c>
      <c r="U92" s="35" t="n">
        <f aca="false">F92*P92</f>
        <v>958672421.3248</v>
      </c>
      <c r="V92" s="35" t="n">
        <f aca="false">H92^$AB$7*E92</f>
        <v>0.0627772639901374</v>
      </c>
      <c r="W92" s="35" t="n">
        <f aca="false">I92^$AB$7*E92</f>
        <v>0.0082265036672747</v>
      </c>
      <c r="X92" s="35" t="n">
        <f aca="false">J92^$AB$7*E92</f>
        <v>0.0042460284344882</v>
      </c>
      <c r="Y92" s="35" t="n">
        <f aca="false">K92^$AB$7*E92</f>
        <v>0.0029479749716779</v>
      </c>
    </row>
    <row r="93" customFormat="false" ht="15" hidden="false" customHeight="false" outlineLevel="0" collapsed="false">
      <c r="A93" s="35" t="n">
        <v>91</v>
      </c>
      <c r="B93" s="35" t="n">
        <f aca="false">C92</f>
        <v>0.000304321988710772</v>
      </c>
      <c r="C93" s="35" t="n">
        <f aca="false">Inputs!$B$21*(Inputs!$B$22/Inputs!$B$21)^(30/60)</f>
        <v>0.000316227766016838</v>
      </c>
      <c r="D93" s="35" t="n">
        <f aca="false">(B93+C93)/2</f>
        <v>0.000310274877363805</v>
      </c>
      <c r="E93" s="35" t="n">
        <f aca="false">C93-B93</f>
        <v>1.19057773060658E-005</v>
      </c>
      <c r="F93" s="35" t="n">
        <f aca="false">Inputs!$B$16*E93</f>
        <v>26.9594421318554</v>
      </c>
      <c r="G93" s="35" t="n">
        <f aca="false">IF(D93&lt;=Inputs!$B$21,1,IF(D93&lt;=Inputs!$B$22,2,IF(D93&lt;=Inputs!$B$23,3,IF(D93&lt;=Inputs!$B$24,4,5))))</f>
        <v>2</v>
      </c>
      <c r="H93" s="35" t="n">
        <f aca="false">Fit!$B$10*D93^(-1/Fit!$B$9)</f>
        <v>5343.52372516411</v>
      </c>
      <c r="I93" s="35" t="n">
        <f aca="false">EXP(Fit!$B$16+Fit!$B$15*-NORMSINV(D93))</f>
        <v>711.890703290003</v>
      </c>
      <c r="J93" s="35" t="n">
        <f aca="false">Fit!$B$22*LN(1/D93)^(1/Fit!$B$21)</f>
        <v>369.053995964293</v>
      </c>
      <c r="K93" s="35" t="n">
        <f aca="false">MAX(0,Fit!$B$28+Fit!$B$27*-NORMSINV(D93))</f>
        <v>256.645394201347</v>
      </c>
      <c r="L93" s="35" t="n">
        <f aca="false">INDEX(H93:K93,1,Inputs!$B$5)</f>
        <v>5343.52372516411</v>
      </c>
      <c r="M93" s="35" t="n">
        <f aca="false">L93*E93</f>
        <v>0.0636188035014831</v>
      </c>
      <c r="N93" s="35" t="n">
        <f aca="false">L93^$AB$7</f>
        <v>5343.52372516411</v>
      </c>
      <c r="O93" s="35" t="n">
        <f aca="false">N93*E93</f>
        <v>0.0636188035014831</v>
      </c>
      <c r="P93" s="35" t="n">
        <f aca="false">N93*$AB$3/($AB$4*$AB$1)</f>
        <v>36036486.8635814</v>
      </c>
      <c r="Q93" s="35" t="n">
        <f aca="false">IF(G93&lt;=3,F93*SQRT(P93),0)</f>
        <v>161838.604155414</v>
      </c>
      <c r="R93" s="35" t="n">
        <f aca="false">SQRT(P93/$AB$6)</f>
        <v>2773631450.727</v>
      </c>
      <c r="S93" s="35" t="n">
        <f aca="false">2*$AB$6*R93</f>
        <v>0.0259850578591729</v>
      </c>
      <c r="T93" s="35" t="n">
        <f aca="false">IF(G93&lt;=3,F93*R93,0)</f>
        <v>74775556590.9686</v>
      </c>
      <c r="U93" s="35" t="n">
        <f aca="false">F93*P93</f>
        <v>971523582.234091</v>
      </c>
      <c r="V93" s="35" t="n">
        <f aca="false">H93^$AB$7*E93</f>
        <v>0.0636188035014831</v>
      </c>
      <c r="W93" s="35" t="n">
        <f aca="false">I93^$AB$7*E93</f>
        <v>0.00847561217962934</v>
      </c>
      <c r="X93" s="35" t="n">
        <f aca="false">J93^$AB$7*E93</f>
        <v>0.00439387468986458</v>
      </c>
      <c r="Y93" s="35" t="n">
        <f aca="false">K93^$AB$7*E93</f>
        <v>0.00305556290998871</v>
      </c>
    </row>
    <row r="94" customFormat="false" ht="15" hidden="false" customHeight="false" outlineLevel="0" collapsed="false">
      <c r="A94" s="35" t="n">
        <v>92</v>
      </c>
      <c r="B94" s="35" t="n">
        <f aca="false">C93</f>
        <v>0.000316227766016838</v>
      </c>
      <c r="C94" s="35" t="n">
        <f aca="false">Inputs!$B$21*(Inputs!$B$22/Inputs!$B$21)^(31/60)</f>
        <v>0.000328599324760066</v>
      </c>
      <c r="D94" s="35" t="n">
        <f aca="false">(B94+C94)/2</f>
        <v>0.000322413545388452</v>
      </c>
      <c r="E94" s="35" t="n">
        <f aca="false">C94-B94</f>
        <v>1.23715587432275E-005</v>
      </c>
      <c r="F94" s="35" t="n">
        <f aca="false">Inputs!$B$16*E94</f>
        <v>28.0141576181644</v>
      </c>
      <c r="G94" s="35" t="n">
        <f aca="false">IF(D94&lt;=Inputs!$B$21,1,IF(D94&lt;=Inputs!$B$22,2,IF(D94&lt;=Inputs!$B$23,3,IF(D94&lt;=Inputs!$B$24,4,5))))</f>
        <v>2</v>
      </c>
      <c r="H94" s="35" t="n">
        <f aca="false">Fit!$B$10*D94^(-1/Fit!$B$9)</f>
        <v>5211.27736011255</v>
      </c>
      <c r="I94" s="35" t="n">
        <f aca="false">EXP(Fit!$B$16+Fit!$B$15*-NORMSINV(D94))</f>
        <v>705.81765227433</v>
      </c>
      <c r="J94" s="35" t="n">
        <f aca="false">Fit!$B$22*LN(1/D94)^(1/Fit!$B$21)</f>
        <v>367.518693096402</v>
      </c>
      <c r="K94" s="35" t="n">
        <f aca="false">MAX(0,Fit!$B$28+Fit!$B$27*-NORMSINV(D94))</f>
        <v>255.993245751916</v>
      </c>
      <c r="L94" s="35" t="n">
        <f aca="false">INDEX(H94:K94,1,Inputs!$B$5)</f>
        <v>5211.27736011255</v>
      </c>
      <c r="M94" s="35" t="n">
        <f aca="false">L94*E94</f>
        <v>0.0644716239878841</v>
      </c>
      <c r="N94" s="35" t="n">
        <f aca="false">L94^$AB$7</f>
        <v>5211.27736011255</v>
      </c>
      <c r="O94" s="35" t="n">
        <f aca="false">N94*E94</f>
        <v>0.0644716239878841</v>
      </c>
      <c r="P94" s="35" t="n">
        <f aca="false">N94*$AB$3/($AB$4*$AB$1)</f>
        <v>35144623.2466026</v>
      </c>
      <c r="Q94" s="35" t="n">
        <f aca="false">IF(G94&lt;=3,F94*SQRT(P94),0)</f>
        <v>166076.052645833</v>
      </c>
      <c r="R94" s="35" t="n">
        <f aca="false">SQRT(P94/$AB$6)</f>
        <v>2739094250.8062</v>
      </c>
      <c r="S94" s="35" t="n">
        <f aca="false">2*$AB$6*R94</f>
        <v>0.0256614924705556</v>
      </c>
      <c r="T94" s="35" t="n">
        <f aca="false">IF(G94&lt;=3,F94*R94,0)</f>
        <v>76733418073.0927</v>
      </c>
      <c r="U94" s="35" t="n">
        <f aca="false">F94*P94</f>
        <v>984547015.061331</v>
      </c>
      <c r="V94" s="35" t="n">
        <f aca="false">H94^$AB$7*E94</f>
        <v>0.0644716239878841</v>
      </c>
      <c r="W94" s="35" t="n">
        <f aca="false">I94^$AB$7*E94</f>
        <v>0.00873206454711882</v>
      </c>
      <c r="X94" s="35" t="n">
        <f aca="false">J94^$AB$7*E94</f>
        <v>0.00454677910087635</v>
      </c>
      <c r="Y94" s="35" t="n">
        <f aca="false">K94^$AB$7*E94</f>
        <v>0.00316703547768931</v>
      </c>
    </row>
    <row r="95" customFormat="false" ht="15" hidden="false" customHeight="false" outlineLevel="0" collapsed="false">
      <c r="A95" s="35" t="n">
        <v>93</v>
      </c>
      <c r="B95" s="35" t="n">
        <f aca="false">C94</f>
        <v>0.000328599324760066</v>
      </c>
      <c r="C95" s="35" t="n">
        <f aca="false">Inputs!$B$21*(Inputs!$B$22/Inputs!$B$21)^(32/60)</f>
        <v>0.00034145488738336</v>
      </c>
      <c r="D95" s="35" t="n">
        <f aca="false">(B95+C95)/2</f>
        <v>0.000335027106071713</v>
      </c>
      <c r="E95" s="35" t="n">
        <f aca="false">C95-B95</f>
        <v>1.28555626232946E-005</v>
      </c>
      <c r="F95" s="35" t="n">
        <f aca="false">Inputs!$B$16*E95</f>
        <v>29.1101360041883</v>
      </c>
      <c r="G95" s="35" t="n">
        <f aca="false">IF(D95&lt;=Inputs!$B$21,1,IF(D95&lt;=Inputs!$B$22,2,IF(D95&lt;=Inputs!$B$23,3,IF(D95&lt;=Inputs!$B$24,4,5))))</f>
        <v>2</v>
      </c>
      <c r="H95" s="35" t="n">
        <f aca="false">Fit!$B$10*D95^(-1/Fit!$B$9)</f>
        <v>5082.30394788555</v>
      </c>
      <c r="I95" s="35" t="n">
        <f aca="false">EXP(Fit!$B$16+Fit!$B$15*-NORMSINV(D95))</f>
        <v>699.780301266104</v>
      </c>
      <c r="J95" s="35" t="n">
        <f aca="false">Fit!$B$22*LN(1/D95)^(1/Fit!$B$21)</f>
        <v>365.982476975705</v>
      </c>
      <c r="K95" s="35" t="n">
        <f aca="false">MAX(0,Fit!$B$28+Fit!$B$27*-NORMSINV(D95))</f>
        <v>255.3393451156</v>
      </c>
      <c r="L95" s="35" t="n">
        <f aca="false">INDEX(H95:K95,1,Inputs!$B$5)</f>
        <v>5082.30394788555</v>
      </c>
      <c r="M95" s="35" t="n">
        <f aca="false">L95*E95</f>
        <v>0.0653358766726601</v>
      </c>
      <c r="N95" s="35" t="n">
        <f aca="false">L95^$AB$7</f>
        <v>5082.30394788555</v>
      </c>
      <c r="O95" s="35" t="n">
        <f aca="false">N95*E95</f>
        <v>0.0653358766726601</v>
      </c>
      <c r="P95" s="35" t="n">
        <f aca="false">N95*$AB$3/($AB$4*$AB$1)</f>
        <v>34274832.278223</v>
      </c>
      <c r="Q95" s="35" t="n">
        <f aca="false">IF(G95&lt;=3,F95*SQRT(P95),0)</f>
        <v>170424.450991526</v>
      </c>
      <c r="R95" s="35" t="n">
        <f aca="false">SQRT(P95/$AB$6)</f>
        <v>2704987107.36534</v>
      </c>
      <c r="S95" s="35" t="n">
        <f aca="false">2*$AB$6*R95</f>
        <v>0.0253419561112857</v>
      </c>
      <c r="T95" s="35" t="n">
        <f aca="false">IF(G95&lt;=3,F95*R95,0)</f>
        <v>78742542584.9811</v>
      </c>
      <c r="U95" s="35" t="n">
        <f aca="false">F95*P95</f>
        <v>997745029.139817</v>
      </c>
      <c r="V95" s="35" t="n">
        <f aca="false">H95^$AB$7*E95</f>
        <v>0.0653358766726601</v>
      </c>
      <c r="W95" s="35" t="n">
        <f aca="false">I95^$AB$7*E95</f>
        <v>0.00899606948547438</v>
      </c>
      <c r="X95" s="35" t="n">
        <f aca="false">J95^$AB$7*E95</f>
        <v>0.00470491065178965</v>
      </c>
      <c r="Y95" s="35" t="n">
        <f aca="false">K95^$AB$7*E95</f>
        <v>0.00328253094132464</v>
      </c>
    </row>
    <row r="96" customFormat="false" ht="15" hidden="false" customHeight="false" outlineLevel="0" collapsed="false">
      <c r="A96" s="35" t="n">
        <v>94</v>
      </c>
      <c r="B96" s="35" t="n">
        <f aca="false">C95</f>
        <v>0.00034145488738336</v>
      </c>
      <c r="C96" s="35" t="n">
        <f aca="false">Inputs!$B$21*(Inputs!$B$22/Inputs!$B$21)^(33/60)</f>
        <v>0.000354813389233576</v>
      </c>
      <c r="D96" s="35" t="n">
        <f aca="false">(B96+C96)/2</f>
        <v>0.000348134138308468</v>
      </c>
      <c r="E96" s="35" t="n">
        <f aca="false">C96-B96</f>
        <v>1.33585018502154E-005</v>
      </c>
      <c r="F96" s="35" t="n">
        <f aca="false">Inputs!$B$16*E96</f>
        <v>30.2489915896278</v>
      </c>
      <c r="G96" s="35" t="n">
        <f aca="false">IF(D96&lt;=Inputs!$B$21,1,IF(D96&lt;=Inputs!$B$22,2,IF(D96&lt;=Inputs!$B$23,3,IF(D96&lt;=Inputs!$B$24,4,5))))</f>
        <v>2</v>
      </c>
      <c r="H96" s="35" t="n">
        <f aca="false">Fit!$B$10*D96^(-1/Fit!$B$9)</f>
        <v>4956.52248648212</v>
      </c>
      <c r="I96" s="35" t="n">
        <f aca="false">EXP(Fit!$B$16+Fit!$B$15*-NORMSINV(D96))</f>
        <v>693.77849669302</v>
      </c>
      <c r="J96" s="35" t="n">
        <f aca="false">Fit!$B$22*LN(1/D96)^(1/Fit!$B$21)</f>
        <v>364.445342674805</v>
      </c>
      <c r="K96" s="35" t="n">
        <f aca="false">MAX(0,Fit!$B$28+Fit!$B$27*-NORMSINV(D96))</f>
        <v>254.683678582088</v>
      </c>
      <c r="L96" s="35" t="n">
        <f aca="false">INDEX(H96:K96,1,Inputs!$B$5)</f>
        <v>4956.52248648212</v>
      </c>
      <c r="M96" s="35" t="n">
        <f aca="false">L96*E96</f>
        <v>0.0662117148063056</v>
      </c>
      <c r="N96" s="35" t="n">
        <f aca="false">L96^$AB$7</f>
        <v>4956.52248648212</v>
      </c>
      <c r="O96" s="35" t="n">
        <f aca="false">N96*E96</f>
        <v>0.0662117148063056</v>
      </c>
      <c r="P96" s="35" t="n">
        <f aca="false">N96*$AB$3/($AB$4*$AB$1)</f>
        <v>33426567.6845428</v>
      </c>
      <c r="Q96" s="35" t="n">
        <f aca="false">IF(G96&lt;=3,F96*SQRT(P96),0)</f>
        <v>174886.704211972</v>
      </c>
      <c r="R96" s="35" t="n">
        <f aca="false">SQRT(P96/$AB$6)</f>
        <v>2671304665.35028</v>
      </c>
      <c r="S96" s="35" t="n">
        <f aca="false">2*$AB$6*R96</f>
        <v>0.0250263986119754</v>
      </c>
      <c r="T96" s="35" t="n">
        <f aca="false">IF(G96&lt;=3,F96*R96,0)</f>
        <v>80804272355.5139</v>
      </c>
      <c r="U96" s="35" t="n">
        <f aca="false">F96*P96</f>
        <v>1011119964.75986</v>
      </c>
      <c r="V96" s="35" t="n">
        <f aca="false">H96^$AB$7*E96</f>
        <v>0.0662117148063056</v>
      </c>
      <c r="W96" s="35" t="n">
        <f aca="false">I96^$AB$7*E96</f>
        <v>0.00926784133171337</v>
      </c>
      <c r="X96" s="35" t="n">
        <f aca="false">J96^$AB$7*E96</f>
        <v>0.00486844378442377</v>
      </c>
      <c r="Y96" s="35" t="n">
        <f aca="false">K96^$AB$7*E96</f>
        <v>0.00340219239155849</v>
      </c>
    </row>
    <row r="97" customFormat="false" ht="15" hidden="false" customHeight="false" outlineLevel="0" collapsed="false">
      <c r="A97" s="35" t="n">
        <v>95</v>
      </c>
      <c r="B97" s="35" t="n">
        <f aca="false">C96</f>
        <v>0.000354813389233576</v>
      </c>
      <c r="C97" s="35" t="n">
        <f aca="false">Inputs!$B$21*(Inputs!$B$22/Inputs!$B$21)^(34/60)</f>
        <v>0.000368694506451958</v>
      </c>
      <c r="D97" s="35" t="n">
        <f aca="false">(B97+C97)/2</f>
        <v>0.000361753947842767</v>
      </c>
      <c r="E97" s="35" t="n">
        <f aca="false">C97-B97</f>
        <v>1.3881117218382E-005</v>
      </c>
      <c r="F97" s="35" t="n">
        <f aca="false">Inputs!$B$16*E97</f>
        <v>31.4324018293042</v>
      </c>
      <c r="G97" s="35" t="n">
        <f aca="false">IF(D97&lt;=Inputs!$B$21,1,IF(D97&lt;=Inputs!$B$22,2,IF(D97&lt;=Inputs!$B$23,3,IF(D97&lt;=Inputs!$B$24,4,5))))</f>
        <v>2</v>
      </c>
      <c r="H97" s="35" t="n">
        <f aca="false">Fit!$B$10*D97^(-1/Fit!$B$9)</f>
        <v>4833.85397861216</v>
      </c>
      <c r="I97" s="35" t="n">
        <f aca="false">EXP(Fit!$B$16+Fit!$B$15*-NORMSINV(D97))</f>
        <v>687.812085478456</v>
      </c>
      <c r="J97" s="35" t="n">
        <f aca="false">Fit!$B$22*LN(1/D97)^(1/Fit!$B$21)</f>
        <v>362.907285215838</v>
      </c>
      <c r="K97" s="35" t="n">
        <f aca="false">MAX(0,Fit!$B$28+Fit!$B$27*-NORMSINV(D97))</f>
        <v>254.026232264543</v>
      </c>
      <c r="L97" s="35" t="n">
        <f aca="false">INDEX(H97:K97,1,Inputs!$B$5)</f>
        <v>4833.85397861216</v>
      </c>
      <c r="M97" s="35" t="n">
        <f aca="false">L97*E97</f>
        <v>0.0670992936936577</v>
      </c>
      <c r="N97" s="35" t="n">
        <f aca="false">L97^$AB$7</f>
        <v>4833.85397861216</v>
      </c>
      <c r="O97" s="35" t="n">
        <f aca="false">N97*E97</f>
        <v>0.0670992936936577</v>
      </c>
      <c r="P97" s="35" t="n">
        <f aca="false">N97*$AB$3/($AB$4*$AB$1)</f>
        <v>32599296.7113434</v>
      </c>
      <c r="Q97" s="35" t="n">
        <f aca="false">IF(G97&lt;=3,F97*SQRT(P97),0)</f>
        <v>179465.793389269</v>
      </c>
      <c r="R97" s="35" t="n">
        <f aca="false">SQRT(P97/$AB$6)</f>
        <v>2638041636.38787</v>
      </c>
      <c r="S97" s="35" t="n">
        <f aca="false">2*$AB$6*R97</f>
        <v>0.0247147704279451</v>
      </c>
      <c r="T97" s="35" t="n">
        <f aca="false">IF(G97&lt;=3,F97*R97,0)</f>
        <v>82919984757.3788</v>
      </c>
      <c r="U97" s="35" t="n">
        <f aca="false">F97*P97</f>
        <v>1024674193.58366</v>
      </c>
      <c r="V97" s="35" t="n">
        <f aca="false">H97^$AB$7*E97</f>
        <v>0.0670992936936577</v>
      </c>
      <c r="W97" s="35" t="n">
        <f aca="false">I97^$AB$7*E97</f>
        <v>0.00954760018274624</v>
      </c>
      <c r="X97" s="35" t="n">
        <f aca="false">J97^$AB$7*E97</f>
        <v>0.00503755856548585</v>
      </c>
      <c r="Y97" s="35" t="n">
        <f aca="false">K97^$AB$7*E97</f>
        <v>0.00352616790660805</v>
      </c>
    </row>
    <row r="98" customFormat="false" ht="15" hidden="false" customHeight="false" outlineLevel="0" collapsed="false">
      <c r="A98" s="35" t="n">
        <v>96</v>
      </c>
      <c r="B98" s="35" t="n">
        <f aca="false">C97</f>
        <v>0.000368694506451958</v>
      </c>
      <c r="C98" s="35" t="n">
        <f aca="false">Inputs!$B$21*(Inputs!$B$22/Inputs!$B$21)^(35/60)</f>
        <v>0.000383118684955729</v>
      </c>
      <c r="D98" s="35" t="n">
        <f aca="false">(B98+C98)/2</f>
        <v>0.000375906595703843</v>
      </c>
      <c r="E98" s="35" t="n">
        <f aca="false">C98-B98</f>
        <v>1.44241785037713E-005</v>
      </c>
      <c r="F98" s="35" t="n">
        <f aca="false">Inputs!$B$16*E98</f>
        <v>32.6621098039396</v>
      </c>
      <c r="G98" s="35" t="n">
        <f aca="false">IF(D98&lt;=Inputs!$B$21,1,IF(D98&lt;=Inputs!$B$22,2,IF(D98&lt;=Inputs!$B$23,3,IF(D98&lt;=Inputs!$B$24,4,5))))</f>
        <v>2</v>
      </c>
      <c r="H98" s="35" t="n">
        <f aca="false">Fit!$B$10*D98^(-1/Fit!$B$9)</f>
        <v>4714.22138208208</v>
      </c>
      <c r="I98" s="35" t="n">
        <f aca="false">EXP(Fit!$B$16+Fit!$B$15*-NORMSINV(D98))</f>
        <v>681.880915039871</v>
      </c>
      <c r="J98" s="35" t="n">
        <f aca="false">Fit!$B$22*LN(1/D98)^(1/Fit!$B$21)</f>
        <v>361.368299569709</v>
      </c>
      <c r="K98" s="35" t="n">
        <f aca="false">MAX(0,Fit!$B$28+Fit!$B$27*-NORMSINV(D98))</f>
        <v>253.366992096441</v>
      </c>
      <c r="L98" s="35" t="n">
        <f aca="false">INDEX(H98:K98,1,Inputs!$B$5)</f>
        <v>4714.22138208208</v>
      </c>
      <c r="M98" s="35" t="n">
        <f aca="false">L98*E98</f>
        <v>0.0679987707214471</v>
      </c>
      <c r="N98" s="35" t="n">
        <f aca="false">L98^$AB$7</f>
        <v>4714.22138208208</v>
      </c>
      <c r="O98" s="35" t="n">
        <f aca="false">N98*E98</f>
        <v>0.0679987707214471</v>
      </c>
      <c r="P98" s="35" t="n">
        <f aca="false">N98*$AB$3/($AB$4*$AB$1)</f>
        <v>31792499.7894901</v>
      </c>
      <c r="Q98" s="35" t="n">
        <f aca="false">IF(G98&lt;=3,F98*SQRT(P98),0)</f>
        <v>184164.777659729</v>
      </c>
      <c r="R98" s="35" t="n">
        <f aca="false">SQRT(P98/$AB$6)</f>
        <v>2605192797.9557</v>
      </c>
      <c r="S98" s="35" t="n">
        <f aca="false">2*$AB$6*R98</f>
        <v>0.0244070226314443</v>
      </c>
      <c r="T98" s="35" t="n">
        <f aca="false">IF(G98&lt;=3,F98*R98,0)</f>
        <v>85091093227.2616</v>
      </c>
      <c r="U98" s="35" t="n">
        <f aca="false">F98*P98</f>
        <v>1038410119.06605</v>
      </c>
      <c r="V98" s="35" t="n">
        <f aca="false">H98^$AB$7*E98</f>
        <v>0.0679987707214471</v>
      </c>
      <c r="W98" s="35" t="n">
        <f aca="false">I98^$AB$7*E98</f>
        <v>0.00983557203684998</v>
      </c>
      <c r="X98" s="35" t="n">
        <f aca="false">J98^$AB$7*E98</f>
        <v>0.00521244085859776</v>
      </c>
      <c r="Y98" s="35" t="n">
        <f aca="false">K98^$AB$7*E98</f>
        <v>0.00365461072096266</v>
      </c>
    </row>
    <row r="99" customFormat="false" ht="15" hidden="false" customHeight="false" outlineLevel="0" collapsed="false">
      <c r="A99" s="35" t="n">
        <v>97</v>
      </c>
      <c r="B99" s="35" t="n">
        <f aca="false">C98</f>
        <v>0.000383118684955729</v>
      </c>
      <c r="C99" s="35" t="n">
        <f aca="false">Inputs!$B$21*(Inputs!$B$22/Inputs!$B$21)^(36/60)</f>
        <v>0.000398107170553497</v>
      </c>
      <c r="D99" s="35" t="n">
        <f aca="false">(B99+C99)/2</f>
        <v>0.000390612927754613</v>
      </c>
      <c r="E99" s="35" t="n">
        <f aca="false">C99-B99</f>
        <v>1.49884855977684E-005</v>
      </c>
      <c r="F99" s="35" t="n">
        <f aca="false">Inputs!$B$16*E99</f>
        <v>33.9399267875869</v>
      </c>
      <c r="G99" s="35" t="n">
        <f aca="false">IF(D99&lt;=Inputs!$B$21,1,IF(D99&lt;=Inputs!$B$22,2,IF(D99&lt;=Inputs!$B$23,3,IF(D99&lt;=Inputs!$B$24,4,5))))</f>
        <v>2</v>
      </c>
      <c r="H99" s="35" t="n">
        <f aca="false">Fit!$B$10*D99^(-1/Fit!$B$9)</f>
        <v>4597.54956140825</v>
      </c>
      <c r="I99" s="35" t="n">
        <f aca="false">EXP(Fit!$B$16+Fit!$B$15*-NORMSINV(D99))</f>
        <v>675.984833287196</v>
      </c>
      <c r="J99" s="35" t="n">
        <f aca="false">Fit!$B$22*LN(1/D99)^(1/Fit!$B$21)</f>
        <v>359.828380655309</v>
      </c>
      <c r="K99" s="35" t="n">
        <f aca="false">MAX(0,Fit!$B$28+Fit!$B$27*-NORMSINV(D99))</f>
        <v>252.705943828338</v>
      </c>
      <c r="L99" s="35" t="n">
        <f aca="false">INDEX(H99:K99,1,Inputs!$B$5)</f>
        <v>4597.54956140825</v>
      </c>
      <c r="M99" s="35" t="n">
        <f aca="false">L99*E99</f>
        <v>0.0689103053861942</v>
      </c>
      <c r="N99" s="35" t="n">
        <f aca="false">L99^$AB$7</f>
        <v>4597.54956140825</v>
      </c>
      <c r="O99" s="35" t="n">
        <f aca="false">N99*E99</f>
        <v>0.0689103053861942</v>
      </c>
      <c r="P99" s="35" t="n">
        <f aca="false">N99*$AB$3/($AB$4*$AB$1)</f>
        <v>31005670.2086159</v>
      </c>
      <c r="Q99" s="35" t="n">
        <f aca="false">IF(G99&lt;=3,F99*SQRT(P99),0)</f>
        <v>188986.796257548</v>
      </c>
      <c r="R99" s="35" t="n">
        <f aca="false">SQRT(P99/$AB$6)</f>
        <v>2572752992.56207</v>
      </c>
      <c r="S99" s="35" t="n">
        <f aca="false">2*$AB$6*R99</f>
        <v>0.0241031069039698</v>
      </c>
      <c r="T99" s="35" t="n">
        <f aca="false">IF(G99&lt;=3,F99*R99,0)</f>
        <v>87319048210.1016</v>
      </c>
      <c r="U99" s="35" t="n">
        <f aca="false">F99*P99</f>
        <v>1052330176.88049</v>
      </c>
      <c r="V99" s="35" t="n">
        <f aca="false">H99^$AB$7*E99</f>
        <v>0.0689103053861942</v>
      </c>
      <c r="W99" s="35" t="n">
        <f aca="false">I99^$AB$7*E99</f>
        <v>0.010131988938035</v>
      </c>
      <c r="X99" s="35" t="n">
        <f aca="false">J99^$AB$7*E99</f>
        <v>0.00539328250112043</v>
      </c>
      <c r="Y99" s="35" t="n">
        <f aca="false">K99^$AB$7*E99</f>
        <v>0.00378767939954152</v>
      </c>
    </row>
    <row r="100" customFormat="false" ht="15" hidden="false" customHeight="false" outlineLevel="0" collapsed="false">
      <c r="A100" s="35" t="n">
        <v>98</v>
      </c>
      <c r="B100" s="35" t="n">
        <f aca="false">C99</f>
        <v>0.000398107170553497</v>
      </c>
      <c r="C100" s="35" t="n">
        <f aca="false">Inputs!$B$21*(Inputs!$B$22/Inputs!$B$21)^(37/60)</f>
        <v>0.000413682040238851</v>
      </c>
      <c r="D100" s="35" t="n">
        <f aca="false">(B100+C100)/2</f>
        <v>0.000405894605396174</v>
      </c>
      <c r="E100" s="35" t="n">
        <f aca="false">C100-B100</f>
        <v>1.55748696853535E-005</v>
      </c>
      <c r="F100" s="35" t="n">
        <f aca="false">Inputs!$B$16*E100</f>
        <v>35.2677349155146</v>
      </c>
      <c r="G100" s="35" t="n">
        <f aca="false">IF(D100&lt;=Inputs!$B$21,1,IF(D100&lt;=Inputs!$B$22,2,IF(D100&lt;=Inputs!$B$23,3,IF(D100&lt;=Inputs!$B$24,4,5))))</f>
        <v>2</v>
      </c>
      <c r="H100" s="35" t="n">
        <f aca="false">Fit!$B$10*D100^(-1/Fit!$B$9)</f>
        <v>4483.76524062806</v>
      </c>
      <c r="I100" s="35" t="n">
        <f aca="false">EXP(Fit!$B$16+Fit!$B$15*-NORMSINV(D100))</f>
        <v>670.123688621218</v>
      </c>
      <c r="J100" s="35" t="n">
        <f aca="false">Fit!$B$22*LN(1/D100)^(1/Fit!$B$21)</f>
        <v>358.287523338724</v>
      </c>
      <c r="K100" s="35" t="n">
        <f aca="false">MAX(0,Fit!$B$28+Fit!$B$27*-NORMSINV(D100))</f>
        <v>252.043073024556</v>
      </c>
      <c r="L100" s="35" t="n">
        <f aca="false">INDEX(H100:K100,1,Inputs!$B$5)</f>
        <v>4483.76524062806</v>
      </c>
      <c r="M100" s="35" t="n">
        <f aca="false">L100*E100</f>
        <v>0.0698340593224999</v>
      </c>
      <c r="N100" s="35" t="n">
        <f aca="false">L100^$AB$7</f>
        <v>4483.76524062806</v>
      </c>
      <c r="O100" s="35" t="n">
        <f aca="false">N100*E100</f>
        <v>0.0698340593224999</v>
      </c>
      <c r="P100" s="35" t="n">
        <f aca="false">N100*$AB$3/($AB$4*$AB$1)</f>
        <v>30238313.7988806</v>
      </c>
      <c r="Q100" s="35" t="n">
        <f aca="false">IF(G100&lt;=3,F100*SQRT(P100),0)</f>
        <v>193935.070612052</v>
      </c>
      <c r="R100" s="35" t="n">
        <f aca="false">SQRT(P100/$AB$6)</f>
        <v>2540717126.93628</v>
      </c>
      <c r="S100" s="35" t="n">
        <f aca="false">2*$AB$6*R100</f>
        <v>0.0238029755286796</v>
      </c>
      <c r="T100" s="35" t="n">
        <f aca="false">IF(G100&lt;=3,F100*R100,0)</f>
        <v>89605338128.0964</v>
      </c>
      <c r="U100" s="35" t="n">
        <f aca="false">F100*P100</f>
        <v>1066436835.35107</v>
      </c>
      <c r="V100" s="35" t="n">
        <f aca="false">H100^$AB$7*E100</f>
        <v>0.0698340593224999</v>
      </c>
      <c r="W100" s="35" t="n">
        <f aca="false">I100^$AB$7*E100</f>
        <v>0.0104370891233439</v>
      </c>
      <c r="X100" s="35" t="n">
        <f aca="false">J100^$AB$7*E100</f>
        <v>0.00558028148588869</v>
      </c>
      <c r="Y100" s="35" t="n">
        <f aca="false">K100^$AB$7*E100</f>
        <v>0.00392553801745351</v>
      </c>
    </row>
    <row r="101" customFormat="false" ht="15" hidden="false" customHeight="false" outlineLevel="0" collapsed="false">
      <c r="A101" s="35" t="n">
        <v>99</v>
      </c>
      <c r="B101" s="35" t="n">
        <f aca="false">C100</f>
        <v>0.000413682040238851</v>
      </c>
      <c r="C101" s="35" t="n">
        <f aca="false">Inputs!$B$21*(Inputs!$B$22/Inputs!$B$21)^(38/60)</f>
        <v>0.000429866234708228</v>
      </c>
      <c r="D101" s="35" t="n">
        <f aca="false">(B101+C101)/2</f>
        <v>0.000421774137473539</v>
      </c>
      <c r="E101" s="35" t="n">
        <f aca="false">C101-B101</f>
        <v>1.61841944693769E-005</v>
      </c>
      <c r="F101" s="35" t="n">
        <f aca="false">Inputs!$B$16*E101</f>
        <v>36.6474899564572</v>
      </c>
      <c r="G101" s="35" t="n">
        <f aca="false">IF(D101&lt;=Inputs!$B$21,1,IF(D101&lt;=Inputs!$B$22,2,IF(D101&lt;=Inputs!$B$23,3,IF(D101&lt;=Inputs!$B$24,4,5))))</f>
        <v>2</v>
      </c>
      <c r="H101" s="35" t="n">
        <f aca="false">Fit!$B$10*D101^(-1/Fit!$B$9)</f>
        <v>4372.79695727878</v>
      </c>
      <c r="I101" s="35" t="n">
        <f aca="false">EXP(Fit!$B$16+Fit!$B$15*-NORMSINV(D101))</f>
        <v>664.297329931974</v>
      </c>
      <c r="J101" s="35" t="n">
        <f aca="false">Fit!$B$22*LN(1/D101)^(1/Fit!$B$21)</f>
        <v>356.745722432424</v>
      </c>
      <c r="K101" s="35" t="n">
        <f aca="false">MAX(0,Fit!$B$28+Fit!$B$27*-NORMSINV(D101))</f>
        <v>251.378365059803</v>
      </c>
      <c r="L101" s="35" t="n">
        <f aca="false">INDEX(H101:K101,1,Inputs!$B$5)</f>
        <v>4372.79695727878</v>
      </c>
      <c r="M101" s="35" t="n">
        <f aca="false">L101*E101</f>
        <v>0.0707701963316996</v>
      </c>
      <c r="N101" s="35" t="n">
        <f aca="false">L101^$AB$7</f>
        <v>4372.79695727878</v>
      </c>
      <c r="O101" s="35" t="n">
        <f aca="false">N101*E101</f>
        <v>0.0707701963316996</v>
      </c>
      <c r="P101" s="35" t="n">
        <f aca="false">N101*$AB$3/($AB$4*$AB$1)</f>
        <v>29489948.6206073</v>
      </c>
      <c r="Q101" s="35" t="n">
        <f aca="false">IF(G101&lt;=3,F101*SQRT(P101),0)</f>
        <v>199012.906499804</v>
      </c>
      <c r="R101" s="35" t="n">
        <f aca="false">SQRT(P101/$AB$6)</f>
        <v>2509080171.22891</v>
      </c>
      <c r="S101" s="35" t="n">
        <f aca="false">2*$AB$6*R101</f>
        <v>0.0235065813829006</v>
      </c>
      <c r="T101" s="35" t="n">
        <f aca="false">IF(G101&lt;=3,F101*R101,0)</f>
        <v>91951490375.0573</v>
      </c>
      <c r="U101" s="35" t="n">
        <f aca="false">F101*P101</f>
        <v>1080732595.89014</v>
      </c>
      <c r="V101" s="35" t="n">
        <f aca="false">H101^$AB$7*E101</f>
        <v>0.0707701963316996</v>
      </c>
      <c r="W101" s="35" t="n">
        <f aca="false">I101^$AB$7*E101</f>
        <v>0.0107511171731069</v>
      </c>
      <c r="X101" s="35" t="n">
        <f aca="false">J101^$AB$7*E101</f>
        <v>0.00577364214796471</v>
      </c>
      <c r="Y101" s="35" t="n">
        <f aca="false">K101^$AB$7*E101</f>
        <v>0.00406835634552188</v>
      </c>
    </row>
    <row r="102" customFormat="false" ht="15" hidden="false" customHeight="false" outlineLevel="0" collapsed="false">
      <c r="A102" s="35" t="n">
        <v>100</v>
      </c>
      <c r="B102" s="35" t="n">
        <f aca="false">C101</f>
        <v>0.000429866234708228</v>
      </c>
      <c r="C102" s="35" t="n">
        <f aca="false">Inputs!$B$21*(Inputs!$B$22/Inputs!$B$21)^(39/60)</f>
        <v>0.000446683592150963</v>
      </c>
      <c r="D102" s="35" t="n">
        <f aca="false">(B102+C102)/2</f>
        <v>0.000438274913429595</v>
      </c>
      <c r="E102" s="35" t="n">
        <f aca="false">C102-B102</f>
        <v>1.68173574427355E-005</v>
      </c>
      <c r="F102" s="35" t="n">
        <f aca="false">Inputs!$B$16*E102</f>
        <v>38.0812241933302</v>
      </c>
      <c r="G102" s="35" t="n">
        <f aca="false">IF(D102&lt;=Inputs!$B$21,1,IF(D102&lt;=Inputs!$B$22,2,IF(D102&lt;=Inputs!$B$23,3,IF(D102&lt;=Inputs!$B$24,4,5))))</f>
        <v>2</v>
      </c>
      <c r="H102" s="35" t="n">
        <f aca="false">Fit!$B$10*D102^(-1/Fit!$B$9)</f>
        <v>4264.57501751545</v>
      </c>
      <c r="I102" s="35" t="n">
        <f aca="false">EXP(Fit!$B$16+Fit!$B$15*-NORMSINV(D102))</f>
        <v>658.505606597126</v>
      </c>
      <c r="J102" s="35" t="n">
        <f aca="false">Fit!$B$22*LN(1/D102)^(1/Fit!$B$21)</f>
        <v>355.202972694432</v>
      </c>
      <c r="K102" s="35" t="n">
        <f aca="false">MAX(0,Fit!$B$28+Fit!$B$27*-NORMSINV(D102))</f>
        <v>250.711805115701</v>
      </c>
      <c r="L102" s="35" t="n">
        <f aca="false">INDEX(H102:K102,1,Inputs!$B$5)</f>
        <v>4264.57501751545</v>
      </c>
      <c r="M102" s="35" t="n">
        <f aca="false">L102*E102</f>
        <v>0.0717188824109173</v>
      </c>
      <c r="N102" s="35" t="n">
        <f aca="false">L102^$AB$7</f>
        <v>4264.57501751545</v>
      </c>
      <c r="O102" s="35" t="n">
        <f aca="false">N102*E102</f>
        <v>0.0717188824109173</v>
      </c>
      <c r="P102" s="35" t="n">
        <f aca="false">N102*$AB$3/($AB$4*$AB$1)</f>
        <v>28760104.6615982</v>
      </c>
      <c r="Q102" s="35" t="n">
        <f aca="false">IF(G102&lt;=3,F102*SQRT(P102),0)</f>
        <v>204223.696253106</v>
      </c>
      <c r="R102" s="35" t="n">
        <f aca="false">SQRT(P102/$AB$6)</f>
        <v>2477837158.22214</v>
      </c>
      <c r="S102" s="35" t="n">
        <f aca="false">2*$AB$6*R102</f>
        <v>0.0232138779307303</v>
      </c>
      <c r="T102" s="35" t="n">
        <f aca="false">IF(G102&lt;=3,F102*R102,0)</f>
        <v>94359072336.8216</v>
      </c>
      <c r="U102" s="35" t="n">
        <f aca="false">F102*P102</f>
        <v>1095219993.44196</v>
      </c>
      <c r="V102" s="35" t="n">
        <f aca="false">H102^$AB$7*E102</f>
        <v>0.0717188824109173</v>
      </c>
      <c r="W102" s="35" t="n">
        <f aca="false">I102^$AB$7*E102</f>
        <v>0.0110743241641892</v>
      </c>
      <c r="X102" s="35" t="n">
        <f aca="false">J102^$AB$7*E102</f>
        <v>0.00597357535652448</v>
      </c>
      <c r="Y102" s="35" t="n">
        <f aca="false">K102^$AB$7*E102</f>
        <v>0.00421631004174419</v>
      </c>
    </row>
    <row r="103" customFormat="false" ht="15" hidden="false" customHeight="false" outlineLevel="0" collapsed="false">
      <c r="A103" s="35" t="n">
        <v>101</v>
      </c>
      <c r="B103" s="35" t="n">
        <f aca="false">C102</f>
        <v>0.000446683592150963</v>
      </c>
      <c r="C103" s="35" t="n">
        <f aca="false">Inputs!$B$21*(Inputs!$B$22/Inputs!$B$21)^(40/60)</f>
        <v>0.000464158883361278</v>
      </c>
      <c r="D103" s="35" t="n">
        <f aca="false">(B103+C103)/2</f>
        <v>0.000455421237756121</v>
      </c>
      <c r="E103" s="35" t="n">
        <f aca="false">C103-B103</f>
        <v>1.74752912103146E-005</v>
      </c>
      <c r="F103" s="35" t="n">
        <f aca="false">Inputs!$B$16*E103</f>
        <v>39.5710494166365</v>
      </c>
      <c r="G103" s="35" t="n">
        <f aca="false">IF(D103&lt;=Inputs!$B$21,1,IF(D103&lt;=Inputs!$B$22,2,IF(D103&lt;=Inputs!$B$23,3,IF(D103&lt;=Inputs!$B$24,4,5))))</f>
        <v>2</v>
      </c>
      <c r="H103" s="35" t="n">
        <f aca="false">Fit!$B$10*D103^(-1/Fit!$B$9)</f>
        <v>4159.0314523395</v>
      </c>
      <c r="I103" s="35" t="n">
        <f aca="false">EXP(Fit!$B$16+Fit!$B$15*-NORMSINV(D103))</f>
        <v>652.748368480331</v>
      </c>
      <c r="J103" s="35" t="n">
        <f aca="false">Fit!$B$22*LN(1/D103)^(1/Fit!$B$21)</f>
        <v>353.659268827483</v>
      </c>
      <c r="K103" s="35" t="n">
        <f aca="false">MAX(0,Fit!$B$28+Fit!$B$27*-NORMSINV(D103))</f>
        <v>250.043378177245</v>
      </c>
      <c r="L103" s="35" t="n">
        <f aca="false">INDEX(H103:K103,1,Inputs!$B$5)</f>
        <v>4159.0314523395</v>
      </c>
      <c r="M103" s="35" t="n">
        <f aca="false">L103*E103</f>
        <v>0.0726802857824906</v>
      </c>
      <c r="N103" s="35" t="n">
        <f aca="false">L103^$AB$7</f>
        <v>4159.0314523395</v>
      </c>
      <c r="O103" s="35" t="n">
        <f aca="false">N103*E103</f>
        <v>0.0726802857824906</v>
      </c>
      <c r="P103" s="35" t="n">
        <f aca="false">N103*$AB$3/($AB$4*$AB$1)</f>
        <v>28048323.5419435</v>
      </c>
      <c r="Q103" s="35" t="n">
        <f aca="false">IF(G103&lt;=3,F103*SQRT(P103),0)</f>
        <v>209570.921026277</v>
      </c>
      <c r="R103" s="35" t="n">
        <f aca="false">SQRT(P103/$AB$6)</f>
        <v>2446983182.54982</v>
      </c>
      <c r="S103" s="35" t="n">
        <f aca="false">2*$AB$6*R103</f>
        <v>0.0229248192157303</v>
      </c>
      <c r="T103" s="35" t="n">
        <f aca="false">IF(G103&lt;=3,F103*R103,0)</f>
        <v>96829692438.3573</v>
      </c>
      <c r="U103" s="35" t="n">
        <f aca="false">F103*P103</f>
        <v>1109901596.93205</v>
      </c>
      <c r="V103" s="35" t="n">
        <f aca="false">H103^$AB$7*E103</f>
        <v>0.0726802857824906</v>
      </c>
      <c r="W103" s="35" t="n">
        <f aca="false">I103^$AB$7*E103</f>
        <v>0.0114069678262515</v>
      </c>
      <c r="X103" s="35" t="n">
        <f aca="false">J103^$AB$7*E103</f>
        <v>0.00618029871198722</v>
      </c>
      <c r="Y103" s="35" t="n">
        <f aca="false">K103^$AB$7*E103</f>
        <v>0.00436958084885818</v>
      </c>
    </row>
    <row r="104" customFormat="false" ht="15" hidden="false" customHeight="false" outlineLevel="0" collapsed="false">
      <c r="A104" s="35" t="n">
        <v>102</v>
      </c>
      <c r="B104" s="35" t="n">
        <f aca="false">C103</f>
        <v>0.000464158883361278</v>
      </c>
      <c r="C104" s="35" t="n">
        <f aca="false">Inputs!$B$21*(Inputs!$B$22/Inputs!$B$21)^(41/60)</f>
        <v>0.000482317848223931</v>
      </c>
      <c r="D104" s="35" t="n">
        <f aca="false">(B104+C104)/2</f>
        <v>0.000473238365792604</v>
      </c>
      <c r="E104" s="35" t="n">
        <f aca="false">C104-B104</f>
        <v>1.81589648626528E-005</v>
      </c>
      <c r="F104" s="35" t="n">
        <f aca="false">Inputs!$B$16*E104</f>
        <v>41.1191600349911</v>
      </c>
      <c r="G104" s="35" t="n">
        <f aca="false">IF(D104&lt;=Inputs!$B$21,1,IF(D104&lt;=Inputs!$B$22,2,IF(D104&lt;=Inputs!$B$23,3,IF(D104&lt;=Inputs!$B$24,4,5))))</f>
        <v>2</v>
      </c>
      <c r="H104" s="35" t="n">
        <f aca="false">Fit!$B$10*D104^(-1/Fit!$B$9)</f>
        <v>4056.0999749107</v>
      </c>
      <c r="I104" s="35" t="n">
        <f aca="false">EXP(Fit!$B$16+Fit!$B$15*-NORMSINV(D104))</f>
        <v>647.025465929625</v>
      </c>
      <c r="J104" s="35" t="n">
        <f aca="false">Fit!$B$22*LN(1/D104)^(1/Fit!$B$21)</f>
        <v>352.114605478161</v>
      </c>
      <c r="K104" s="35" t="n">
        <f aca="false">MAX(0,Fit!$B$28+Fit!$B$27*-NORMSINV(D104))</f>
        <v>249.373069029167</v>
      </c>
      <c r="L104" s="35" t="n">
        <f aca="false">INDEX(H104:K104,1,Inputs!$B$5)</f>
        <v>4056.0999749107</v>
      </c>
      <c r="M104" s="35" t="n">
        <f aca="false">L104*E104</f>
        <v>0.0736545769238104</v>
      </c>
      <c r="N104" s="35" t="n">
        <f aca="false">L104^$AB$7</f>
        <v>4056.0999749107</v>
      </c>
      <c r="O104" s="35" t="n">
        <f aca="false">N104*E104</f>
        <v>0.0736545769238104</v>
      </c>
      <c r="P104" s="35" t="n">
        <f aca="false">N104*$AB$3/($AB$4*$AB$1)</f>
        <v>27354158.2261344</v>
      </c>
      <c r="Q104" s="35" t="n">
        <f aca="false">IF(G104&lt;=3,F104*SQRT(P104),0)</f>
        <v>215058.153121323</v>
      </c>
      <c r="R104" s="35" t="n">
        <f aca="false">SQRT(P104/$AB$6)</f>
        <v>2416513399.92733</v>
      </c>
      <c r="S104" s="35" t="n">
        <f aca="false">2*$AB$6*R104</f>
        <v>0.0226393598537108</v>
      </c>
      <c r="T104" s="35" t="n">
        <f aca="false">IF(G104&lt;=3,F104*R104,0)</f>
        <v>99365001218.3121</v>
      </c>
      <c r="U104" s="35" t="n">
        <f aca="false">F104*P104</f>
        <v>1124780009.72289</v>
      </c>
      <c r="V104" s="35" t="n">
        <f aca="false">H104^$AB$7*E104</f>
        <v>0.0736545769238104</v>
      </c>
      <c r="W104" s="35" t="n">
        <f aca="false">I104^$AB$7*E104</f>
        <v>0.0117493127010576</v>
      </c>
      <c r="X104" s="35" t="n">
        <f aca="false">J104^$AB$7*E104</f>
        <v>0.00639403674850478</v>
      </c>
      <c r="Y104" s="35" t="n">
        <f aca="false">K104^$AB$7*E104</f>
        <v>0.00452835679819253</v>
      </c>
    </row>
    <row r="105" customFormat="false" ht="15" hidden="false" customHeight="false" outlineLevel="0" collapsed="false">
      <c r="A105" s="35" t="n">
        <v>103</v>
      </c>
      <c r="B105" s="35" t="n">
        <f aca="false">C104</f>
        <v>0.000482317848223931</v>
      </c>
      <c r="C105" s="35" t="n">
        <f aca="false">Inputs!$B$21*(Inputs!$B$22/Inputs!$B$21)^(42/60)</f>
        <v>0.000501187233627272</v>
      </c>
      <c r="D105" s="35" t="n">
        <f aca="false">(B105+C105)/2</f>
        <v>0.000491752540925601</v>
      </c>
      <c r="E105" s="35" t="n">
        <f aca="false">C105-B105</f>
        <v>1.88693854033415E-005</v>
      </c>
      <c r="F105" s="35" t="n">
        <f aca="false">Inputs!$B$16*E105</f>
        <v>42.7278363073266</v>
      </c>
      <c r="G105" s="35" t="n">
        <f aca="false">IF(D105&lt;=Inputs!$B$21,1,IF(D105&lt;=Inputs!$B$22,2,IF(D105&lt;=Inputs!$B$23,3,IF(D105&lt;=Inputs!$B$24,4,5))))</f>
        <v>2</v>
      </c>
      <c r="H105" s="35" t="n">
        <f aca="false">Fit!$B$10*D105^(-1/Fit!$B$9)</f>
        <v>3955.71593891557</v>
      </c>
      <c r="I105" s="35" t="n">
        <f aca="false">EXP(Fit!$B$16+Fit!$B$15*-NORMSINV(D105))</f>
        <v>641.336749775778</v>
      </c>
      <c r="J105" s="35" t="n">
        <f aca="false">Fit!$B$22*LN(1/D105)^(1/Fit!$B$21)</f>
        <v>350.568977236016</v>
      </c>
      <c r="K105" s="35" t="n">
        <f aca="false">MAX(0,Fit!$B$28+Fit!$B$27*-NORMSINV(D105))</f>
        <v>248.700862252225</v>
      </c>
      <c r="L105" s="35" t="n">
        <f aca="false">INDEX(H105:K105,1,Inputs!$B$5)</f>
        <v>3955.71593891557</v>
      </c>
      <c r="M105" s="35" t="n">
        <f aca="false">L105*E105</f>
        <v>0.074641928597539</v>
      </c>
      <c r="N105" s="35" t="n">
        <f aca="false">L105^$AB$7</f>
        <v>3955.71593891557</v>
      </c>
      <c r="O105" s="35" t="n">
        <f aca="false">N105*E105</f>
        <v>0.074641928597539</v>
      </c>
      <c r="P105" s="35" t="n">
        <f aca="false">N105*$AB$3/($AB$4*$AB$1)</f>
        <v>26677172.7423017</v>
      </c>
      <c r="Q105" s="35" t="n">
        <f aca="false">IF(G105&lt;=3,F105*SQRT(P105),0)</f>
        <v>220689.05837444</v>
      </c>
      <c r="R105" s="35" t="n">
        <f aca="false">SQRT(P105/$AB$6)</f>
        <v>2386423026.39096</v>
      </c>
      <c r="S105" s="35" t="n">
        <f aca="false">2*$AB$6*R105</f>
        <v>0.0223574550256048</v>
      </c>
      <c r="T105" s="35" t="n">
        <f aca="false">IF(G105&lt;=3,F105*R105,0)</f>
        <v>101966692431.668</v>
      </c>
      <c r="U105" s="35" t="n">
        <f aca="false">F105*P105</f>
        <v>1139857870.07534</v>
      </c>
      <c r="V105" s="35" t="n">
        <f aca="false">H105^$AB$7*E105</f>
        <v>0.074641928597539</v>
      </c>
      <c r="W105" s="35" t="n">
        <f aca="false">I105^$AB$7*E105</f>
        <v>0.0121016303048456</v>
      </c>
      <c r="X105" s="35" t="n">
        <f aca="false">J105^$AB$7*E105</f>
        <v>0.00661502114192165</v>
      </c>
      <c r="Y105" s="35" t="n">
        <f aca="false">K105^$AB$7*E105</f>
        <v>0.0046928324199806</v>
      </c>
    </row>
    <row r="106" customFormat="false" ht="15" hidden="false" customHeight="false" outlineLevel="0" collapsed="false">
      <c r="A106" s="35" t="n">
        <v>104</v>
      </c>
      <c r="B106" s="35" t="n">
        <f aca="false">C105</f>
        <v>0.000501187233627272</v>
      </c>
      <c r="C106" s="35" t="n">
        <f aca="false">Inputs!$B$21*(Inputs!$B$22/Inputs!$B$21)^(43/60)</f>
        <v>0.000520794832859546</v>
      </c>
      <c r="D106" s="35" t="n">
        <f aca="false">(B106+C106)/2</f>
        <v>0.000510991033243409</v>
      </c>
      <c r="E106" s="35" t="n">
        <f aca="false">C106-B106</f>
        <v>1.96075992322742E-005</v>
      </c>
      <c r="F106" s="35" t="n">
        <f aca="false">Inputs!$B$16*E106</f>
        <v>44.3994477015617</v>
      </c>
      <c r="G106" s="35" t="n">
        <f aca="false">IF(D106&lt;=Inputs!$B$21,1,IF(D106&lt;=Inputs!$B$22,2,IF(D106&lt;=Inputs!$B$23,3,IF(D106&lt;=Inputs!$B$24,4,5))))</f>
        <v>2</v>
      </c>
      <c r="H106" s="35" t="n">
        <f aca="false">Fit!$B$10*D106^(-1/Fit!$B$9)</f>
        <v>3857.81629796619</v>
      </c>
      <c r="I106" s="35" t="n">
        <f aca="false">EXP(Fit!$B$16+Fit!$B$15*-NORMSINV(D106))</f>
        <v>635.682071330661</v>
      </c>
      <c r="J106" s="35" t="n">
        <f aca="false">Fit!$B$22*LN(1/D106)^(1/Fit!$B$21)</f>
        <v>349.022378632672</v>
      </c>
      <c r="K106" s="35" t="n">
        <f aca="false">MAX(0,Fit!$B$28+Fit!$B$27*-NORMSINV(D106))</f>
        <v>248.0267422194</v>
      </c>
      <c r="L106" s="35" t="n">
        <f aca="false">INDEX(H106:K106,1,Inputs!$B$5)</f>
        <v>3857.81629796619</v>
      </c>
      <c r="M106" s="35" t="n">
        <f aca="false">L106*E106</f>
        <v>0.0756425158822567</v>
      </c>
      <c r="N106" s="35" t="n">
        <f aca="false">L106^$AB$7</f>
        <v>3857.81629796619</v>
      </c>
      <c r="O106" s="35" t="n">
        <f aca="false">N106*E106</f>
        <v>0.0756425158822567</v>
      </c>
      <c r="P106" s="35" t="n">
        <f aca="false">N106*$AB$3/($AB$4*$AB$1)</f>
        <v>26016941.9084032</v>
      </c>
      <c r="Q106" s="35" t="n">
        <f aca="false">IF(G106&lt;=3,F106*SQRT(P106),0)</f>
        <v>226467.398605077</v>
      </c>
      <c r="R106" s="35" t="n">
        <f aca="false">SQRT(P106/$AB$6)</f>
        <v>2356707337.54684</v>
      </c>
      <c r="S106" s="35" t="n">
        <f aca="false">2*$AB$6*R106</f>
        <v>0.0220790604704315</v>
      </c>
      <c r="T106" s="35" t="n">
        <f aca="false">IF(G106&lt;=3,F106*R106,0)</f>
        <v>104636504181.298</v>
      </c>
      <c r="U106" s="35" t="n">
        <f aca="false">F106*P106</f>
        <v>1155137851.61671</v>
      </c>
      <c r="V106" s="35" t="n">
        <f aca="false">H106^$AB$7*E106</f>
        <v>0.0756425158822567</v>
      </c>
      <c r="W106" s="35" t="n">
        <f aca="false">I106^$AB$7*E106</f>
        <v>0.0124641992937935</v>
      </c>
      <c r="X106" s="35" t="n">
        <f aca="false">J106^$AB$7*E106</f>
        <v>0.0068434909233245</v>
      </c>
      <c r="Y106" s="35" t="n">
        <f aca="false">K106^$AB$7*E106</f>
        <v>0.00486320896032457</v>
      </c>
    </row>
    <row r="107" customFormat="false" ht="15" hidden="false" customHeight="false" outlineLevel="0" collapsed="false">
      <c r="A107" s="35" t="n">
        <v>105</v>
      </c>
      <c r="B107" s="35" t="n">
        <f aca="false">C106</f>
        <v>0.000520794832859546</v>
      </c>
      <c r="C107" s="35" t="n">
        <f aca="false">Inputs!$B$21*(Inputs!$B$22/Inputs!$B$21)^(44/60)</f>
        <v>0.000541169526546464</v>
      </c>
      <c r="D107" s="35" t="n">
        <f aca="false">(B107+C107)/2</f>
        <v>0.000530982179703005</v>
      </c>
      <c r="E107" s="35" t="n">
        <f aca="false">C107-B107</f>
        <v>2.03746936869172E-005</v>
      </c>
      <c r="F107" s="35" t="n">
        <f aca="false">Inputs!$B$16*E107</f>
        <v>46.1364563846554</v>
      </c>
      <c r="G107" s="35" t="n">
        <f aca="false">IF(D107&lt;=Inputs!$B$21,1,IF(D107&lt;=Inputs!$B$22,2,IF(D107&lt;=Inputs!$B$23,3,IF(D107&lt;=Inputs!$B$24,4,5))))</f>
        <v>2</v>
      </c>
      <c r="H107" s="35" t="n">
        <f aca="false">Fit!$B$10*D107^(-1/Fit!$B$9)</f>
        <v>3762.3395660037</v>
      </c>
      <c r="I107" s="35" t="n">
        <f aca="false">EXP(Fit!$B$16+Fit!$B$15*-NORMSINV(D107))</f>
        <v>630.061282385599</v>
      </c>
      <c r="J107" s="35" t="n">
        <f aca="false">Fit!$B$22*LN(1/D107)^(1/Fit!$B$21)</f>
        <v>347.474804140906</v>
      </c>
      <c r="K107" s="35" t="n">
        <f aca="false">MAX(0,Fit!$B$28+Fit!$B$27*-NORMSINV(D107))</f>
        <v>247.350693091992</v>
      </c>
      <c r="L107" s="35" t="n">
        <f aca="false">INDEX(H107:K107,1,Inputs!$B$5)</f>
        <v>3762.3395660037</v>
      </c>
      <c r="M107" s="35" t="n">
        <f aca="false">L107*E107</f>
        <v>0.0766565162034945</v>
      </c>
      <c r="N107" s="35" t="n">
        <f aca="false">L107^$AB$7</f>
        <v>3762.3395660037</v>
      </c>
      <c r="O107" s="35" t="n">
        <f aca="false">N107*E107</f>
        <v>0.0766565162034945</v>
      </c>
      <c r="P107" s="35" t="n">
        <f aca="false">N107*$AB$3/($AB$4*$AB$1)</f>
        <v>25373051.0651865</v>
      </c>
      <c r="Q107" s="35" t="n">
        <f aca="false">IF(G107&lt;=3,F107*SQRT(P107),0)</f>
        <v>232397.034129035</v>
      </c>
      <c r="R107" s="35" t="n">
        <f aca="false">SQRT(P107/$AB$6)</f>
        <v>2327361667.82913</v>
      </c>
      <c r="S107" s="35" t="n">
        <f aca="false">2*$AB$6*R107</f>
        <v>0.021804132478347</v>
      </c>
      <c r="T107" s="35" t="n">
        <f aca="false">IF(G107&lt;=3,F107*R107,0)</f>
        <v>107376220079.118</v>
      </c>
      <c r="U107" s="35" t="n">
        <f aca="false">F107*P107</f>
        <v>1170622663.81461</v>
      </c>
      <c r="V107" s="35" t="n">
        <f aca="false">H107^$AB$7*E107</f>
        <v>0.0766565162034945</v>
      </c>
      <c r="W107" s="35" t="n">
        <f aca="false">I107^$AB$7*E107</f>
        <v>0.0128373056325928</v>
      </c>
      <c r="X107" s="35" t="n">
        <f aca="false">J107^$AB$7*E107</f>
        <v>0.00707969269829252</v>
      </c>
      <c r="Y107" s="35" t="n">
        <f aca="false">K107^$AB$7*E107</f>
        <v>0.00503969460499601</v>
      </c>
    </row>
    <row r="108" customFormat="false" ht="15" hidden="false" customHeight="false" outlineLevel="0" collapsed="false">
      <c r="A108" s="35" t="n">
        <v>106</v>
      </c>
      <c r="B108" s="35" t="n">
        <f aca="false">C107</f>
        <v>0.000541169526546464</v>
      </c>
      <c r="C108" s="35" t="n">
        <f aca="false">Inputs!$B$21*(Inputs!$B$22/Inputs!$B$21)^(45/60)</f>
        <v>0.000562341325190349</v>
      </c>
      <c r="D108" s="35" t="n">
        <f aca="false">(B108+C108)/2</f>
        <v>0.000551755425868406</v>
      </c>
      <c r="E108" s="35" t="n">
        <f aca="false">C108-B108</f>
        <v>2.11717986438855E-005</v>
      </c>
      <c r="F108" s="35" t="n">
        <f aca="false">Inputs!$B$16*E108</f>
        <v>47.9414208492142</v>
      </c>
      <c r="G108" s="35" t="n">
        <f aca="false">IF(D108&lt;=Inputs!$B$21,1,IF(D108&lt;=Inputs!$B$22,2,IF(D108&lt;=Inputs!$B$23,3,IF(D108&lt;=Inputs!$B$24,4,5))))</f>
        <v>2</v>
      </c>
      <c r="H108" s="35" t="n">
        <f aca="false">Fit!$B$10*D108^(-1/Fit!$B$9)</f>
        <v>3669.22577868195</v>
      </c>
      <c r="I108" s="35" t="n">
        <f aca="false">EXP(Fit!$B$16+Fit!$B$15*-NORMSINV(D108))</f>
        <v>624.474235209722</v>
      </c>
      <c r="J108" s="35" t="n">
        <f aca="false">Fit!$B$22*LN(1/D108)^(1/Fit!$B$21)</f>
        <v>345.926248173712</v>
      </c>
      <c r="K108" s="35" t="n">
        <f aca="false">MAX(0,Fit!$B$28+Fit!$B$27*-NORMSINV(D108))</f>
        <v>246.672698815641</v>
      </c>
      <c r="L108" s="35" t="n">
        <f aca="false">INDEX(H108:K108,1,Inputs!$B$5)</f>
        <v>3669.22577868195</v>
      </c>
      <c r="M108" s="35" t="n">
        <f aca="false">L108*E108</f>
        <v>0.077684109365208</v>
      </c>
      <c r="N108" s="35" t="n">
        <f aca="false">L108^$AB$7</f>
        <v>3669.22577868195</v>
      </c>
      <c r="O108" s="35" t="n">
        <f aca="false">N108*E108</f>
        <v>0.077684109365208</v>
      </c>
      <c r="P108" s="35" t="n">
        <f aca="false">N108*$AB$3/($AB$4*$AB$1)</f>
        <v>24745095.8157625</v>
      </c>
      <c r="Q108" s="35" t="n">
        <f aca="false">IF(G108&lt;=3,F108*SQRT(P108),0)</f>
        <v>238481.926337464</v>
      </c>
      <c r="R108" s="35" t="n">
        <f aca="false">SQRT(P108/$AB$6)</f>
        <v>2298381409.76754</v>
      </c>
      <c r="S108" s="35" t="n">
        <f aca="false">2*$AB$6*R108</f>
        <v>0.0215326278837813</v>
      </c>
      <c r="T108" s="35" t="n">
        <f aca="false">IF(G108&lt;=3,F108*R108,0)</f>
        <v>110187670437.676</v>
      </c>
      <c r="U108" s="35" t="n">
        <f aca="false">F108*P108</f>
        <v>1186315052.4576</v>
      </c>
      <c r="V108" s="35" t="n">
        <f aca="false">H108^$AB$7*E108</f>
        <v>0.077684109365208</v>
      </c>
      <c r="W108" s="35" t="n">
        <f aca="false">I108^$AB$7*E108</f>
        <v>0.0132212427661546</v>
      </c>
      <c r="X108" s="35" t="n">
        <f aca="false">J108^$AB$7*E108</f>
        <v>0.00732388087196858</v>
      </c>
      <c r="Y108" s="35" t="n">
        <f aca="false">K108^$AB$7*E108</f>
        <v>0.00522250471026855</v>
      </c>
    </row>
    <row r="109" customFormat="false" ht="15" hidden="false" customHeight="false" outlineLevel="0" collapsed="false">
      <c r="A109" s="35" t="n">
        <v>107</v>
      </c>
      <c r="B109" s="35" t="n">
        <f aca="false">C108</f>
        <v>0.000562341325190349</v>
      </c>
      <c r="C109" s="35" t="n">
        <f aca="false">Inputs!$B$21*(Inputs!$B$22/Inputs!$B$21)^(46/60)</f>
        <v>0.000584341413373518</v>
      </c>
      <c r="D109" s="35" t="n">
        <f aca="false">(B109+C109)/2</f>
        <v>0.000573341369281933</v>
      </c>
      <c r="E109" s="35" t="n">
        <f aca="false">C109-B109</f>
        <v>2.20000881831687E-005</v>
      </c>
      <c r="F109" s="35" t="n">
        <f aca="false">Inputs!$B$16*E109</f>
        <v>49.8169996819671</v>
      </c>
      <c r="G109" s="35" t="n">
        <f aca="false">IF(D109&lt;=Inputs!$B$21,1,IF(D109&lt;=Inputs!$B$22,2,IF(D109&lt;=Inputs!$B$23,3,IF(D109&lt;=Inputs!$B$24,4,5))))</f>
        <v>2</v>
      </c>
      <c r="H109" s="35" t="n">
        <f aca="false">Fit!$B$10*D109^(-1/Fit!$B$9)</f>
        <v>3578.41645570673</v>
      </c>
      <c r="I109" s="35" t="n">
        <f aca="false">EXP(Fit!$B$16+Fit!$B$15*-NORMSINV(D109))</f>
        <v>618.920782548307</v>
      </c>
      <c r="J109" s="35" t="n">
        <f aca="false">Fit!$B$22*LN(1/D109)^(1/Fit!$B$21)</f>
        <v>344.376705083347</v>
      </c>
      <c r="K109" s="35" t="n">
        <f aca="false">MAX(0,Fit!$B$28+Fit!$B$27*-NORMSINV(D109))</f>
        <v>245.992743116235</v>
      </c>
      <c r="L109" s="35" t="n">
        <f aca="false">INDEX(H109:K109,1,Inputs!$B$5)</f>
        <v>3578.41645570673</v>
      </c>
      <c r="M109" s="35" t="n">
        <f aca="false">L109*E109</f>
        <v>0.0787254775816499</v>
      </c>
      <c r="N109" s="35" t="n">
        <f aca="false">L109^$AB$7</f>
        <v>3578.41645570673</v>
      </c>
      <c r="O109" s="35" t="n">
        <f aca="false">N109*E109</f>
        <v>0.0787254775816499</v>
      </c>
      <c r="P109" s="35" t="n">
        <f aca="false">N109*$AB$3/($AB$4*$AB$1)</f>
        <v>24132681.7716223</v>
      </c>
      <c r="Q109" s="35" t="n">
        <f aca="false">IF(G109&lt;=3,F109*SQRT(P109),0)</f>
        <v>244726.140343293</v>
      </c>
      <c r="R109" s="35" t="n">
        <f aca="false">SQRT(P109/$AB$6)</f>
        <v>2269762013.26387</v>
      </c>
      <c r="S109" s="35" t="n">
        <f aca="false">2*$AB$6*R109</f>
        <v>0.0212645040586612</v>
      </c>
      <c r="T109" s="35" t="n">
        <f aca="false">IF(G109&lt;=3,F109*R109,0)</f>
        <v>113072733492.907</v>
      </c>
      <c r="U109" s="35" t="n">
        <f aca="false">F109*P109</f>
        <v>1202217800.14192</v>
      </c>
      <c r="V109" s="35" t="n">
        <f aca="false">H109^$AB$7*E109</f>
        <v>0.0787254775816499</v>
      </c>
      <c r="W109" s="35" t="n">
        <f aca="false">I109^$AB$7*E109</f>
        <v>0.0136163117944585</v>
      </c>
      <c r="X109" s="35" t="n">
        <f aca="false">J109^$AB$7*E109</f>
        <v>0.0075763178800627</v>
      </c>
      <c r="Y109" s="35" t="n">
        <f aca="false">K109^$AB$7*E109</f>
        <v>0.00541186204097672</v>
      </c>
    </row>
    <row r="110" customFormat="false" ht="15" hidden="false" customHeight="false" outlineLevel="0" collapsed="false">
      <c r="A110" s="35" t="n">
        <v>108</v>
      </c>
      <c r="B110" s="35" t="n">
        <f aca="false">C109</f>
        <v>0.000584341413373518</v>
      </c>
      <c r="C110" s="35" t="n">
        <f aca="false">Inputs!$B$21*(Inputs!$B$22/Inputs!$B$21)^(47/60)</f>
        <v>0.000607202195690989</v>
      </c>
      <c r="D110" s="35" t="n">
        <f aca="false">(B110+C110)/2</f>
        <v>0.000595771804532253</v>
      </c>
      <c r="E110" s="35" t="n">
        <f aca="false">C110-B110</f>
        <v>2.28607823174708E-005</v>
      </c>
      <c r="F110" s="35" t="n">
        <f aca="false">Inputs!$B$16*E110</f>
        <v>51.7659554796808</v>
      </c>
      <c r="G110" s="35" t="n">
        <f aca="false">IF(D110&lt;=Inputs!$B$21,1,IF(D110&lt;=Inputs!$B$22,2,IF(D110&lt;=Inputs!$B$23,3,IF(D110&lt;=Inputs!$B$24,4,5))))</f>
        <v>2</v>
      </c>
      <c r="H110" s="35" t="n">
        <f aca="false">Fit!$B$10*D110^(-1/Fit!$B$9)</f>
        <v>3489.85456410713</v>
      </c>
      <c r="I110" s="35" t="n">
        <f aca="false">EXP(Fit!$B$16+Fit!$B$15*-NORMSINV(D110))</f>
        <v>613.400777621119</v>
      </c>
      <c r="J110" s="35" t="n">
        <f aca="false">Fit!$B$22*LN(1/D110)^(1/Fit!$B$21)</f>
        <v>342.826169160354</v>
      </c>
      <c r="K110" s="35" t="n">
        <f aca="false">MAX(0,Fit!$B$28+Fit!$B$27*-NORMSINV(D110))</f>
        <v>245.310809495727</v>
      </c>
      <c r="L110" s="35" t="n">
        <f aca="false">INDEX(H110:K110,1,Inputs!$B$5)</f>
        <v>3489.85456410713</v>
      </c>
      <c r="M110" s="35" t="n">
        <f aca="false">L110*E110</f>
        <v>0.0797808055096848</v>
      </c>
      <c r="N110" s="35" t="n">
        <f aca="false">L110^$AB$7</f>
        <v>3489.85456410713</v>
      </c>
      <c r="O110" s="35" t="n">
        <f aca="false">N110*E110</f>
        <v>0.0797808055096848</v>
      </c>
      <c r="P110" s="35" t="n">
        <f aca="false">N110*$AB$3/($AB$4*$AB$1)</f>
        <v>23535424.304941</v>
      </c>
      <c r="Q110" s="35" t="n">
        <f aca="false">IF(G110&lt;=3,F110*SQRT(P110),0)</f>
        <v>251133.847697018</v>
      </c>
      <c r="R110" s="35" t="n">
        <f aca="false">SQRT(P110/$AB$6)</f>
        <v>2241498984.87768</v>
      </c>
      <c r="S110" s="35" t="n">
        <f aca="false">2*$AB$6*R110</f>
        <v>0.0209997189057173</v>
      </c>
      <c r="T110" s="35" t="n">
        <f aca="false">IF(G110&lt;=3,F110*R110,0)</f>
        <v>116033336658.928</v>
      </c>
      <c r="U110" s="35" t="n">
        <f aca="false">F110*P110</f>
        <v>1218333726.76497</v>
      </c>
      <c r="V110" s="35" t="n">
        <f aca="false">H110^$AB$7*E110</f>
        <v>0.0797808055096848</v>
      </c>
      <c r="W110" s="35" t="n">
        <f aca="false">I110^$AB$7*E110</f>
        <v>0.0140228216505637</v>
      </c>
      <c r="X110" s="35" t="n">
        <f aca="false">J110^$AB$7*E110</f>
        <v>0.00783727442590727</v>
      </c>
      <c r="Y110" s="35" t="n">
        <f aca="false">K110^$AB$7*E110</f>
        <v>0.00560799701600436</v>
      </c>
    </row>
    <row r="111" customFormat="false" ht="15" hidden="false" customHeight="false" outlineLevel="0" collapsed="false">
      <c r="A111" s="35" t="n">
        <v>109</v>
      </c>
      <c r="B111" s="35" t="n">
        <f aca="false">C110</f>
        <v>0.000607202195690989</v>
      </c>
      <c r="C111" s="35" t="n">
        <f aca="false">Inputs!$B$21*(Inputs!$B$22/Inputs!$B$21)^(48/60)</f>
        <v>0.000630957344480193</v>
      </c>
      <c r="D111" s="35" t="n">
        <f aca="false">(B111+C111)/2</f>
        <v>0.000619079770085591</v>
      </c>
      <c r="E111" s="35" t="n">
        <f aca="false">C111-B111</f>
        <v>2.37551487892049E-005</v>
      </c>
      <c r="F111" s="35" t="n">
        <f aca="false">Inputs!$B$16*E111</f>
        <v>53.7911589182756</v>
      </c>
      <c r="G111" s="35" t="n">
        <f aca="false">IF(D111&lt;=Inputs!$B$21,1,IF(D111&lt;=Inputs!$B$22,2,IF(D111&lt;=Inputs!$B$23,3,IF(D111&lt;=Inputs!$B$24,4,5))))</f>
        <v>2</v>
      </c>
      <c r="H111" s="35" t="n">
        <f aca="false">Fit!$B$10*D111^(-1/Fit!$B$9)</f>
        <v>3403.48448241584</v>
      </c>
      <c r="I111" s="35" t="n">
        <f aca="false">EXP(Fit!$B$16+Fit!$B$15*-NORMSINV(D111))</f>
        <v>607.914074120734</v>
      </c>
      <c r="J111" s="35" t="n">
        <f aca="false">Fit!$B$22*LN(1/D111)^(1/Fit!$B$21)</f>
        <v>341.274634632566</v>
      </c>
      <c r="K111" s="35" t="n">
        <f aca="false">MAX(0,Fit!$B$28+Fit!$B$27*-NORMSINV(D111))</f>
        <v>244.626881227851</v>
      </c>
      <c r="L111" s="35" t="n">
        <f aca="false">INDEX(H111:K111,1,Inputs!$B$5)</f>
        <v>3403.48448241584</v>
      </c>
      <c r="M111" s="35" t="n">
        <f aca="false">L111*E111</f>
        <v>0.0808502802815382</v>
      </c>
      <c r="N111" s="35" t="n">
        <f aca="false">L111^$AB$7</f>
        <v>3403.48448241584</v>
      </c>
      <c r="O111" s="35" t="n">
        <f aca="false">N111*E111</f>
        <v>0.0808502802815382</v>
      </c>
      <c r="P111" s="35" t="n">
        <f aca="false">N111*$AB$3/($AB$4*$AB$1)</f>
        <v>22952948.3070115</v>
      </c>
      <c r="Q111" s="35" t="n">
        <f aca="false">IF(G111&lt;=3,F111*SQRT(P111),0)</f>
        <v>257709.329173586</v>
      </c>
      <c r="R111" s="35" t="n">
        <f aca="false">SQRT(P111/$AB$6)</f>
        <v>2213587887.12073</v>
      </c>
      <c r="S111" s="35" t="n">
        <f aca="false">2*$AB$6*R111</f>
        <v>0.0207382308518746</v>
      </c>
      <c r="T111" s="35" t="n">
        <f aca="false">IF(G111&lt;=3,F111*R111,0)</f>
        <v>119071457815.681</v>
      </c>
      <c r="U111" s="35" t="n">
        <f aca="false">F111*P111</f>
        <v>1234665690.02542</v>
      </c>
      <c r="V111" s="35" t="n">
        <f aca="false">H111^$AB$7*E111</f>
        <v>0.0808502802815382</v>
      </c>
      <c r="W111" s="35" t="n">
        <f aca="false">I111^$AB$7*E111</f>
        <v>0.0144410892817898</v>
      </c>
      <c r="X111" s="35" t="n">
        <f aca="false">J111^$AB$7*E111</f>
        <v>0.00810702972367814</v>
      </c>
      <c r="Y111" s="35" t="n">
        <f aca="false">K111^$AB$7*E111</f>
        <v>0.00581114796140677</v>
      </c>
    </row>
    <row r="112" customFormat="false" ht="15" hidden="false" customHeight="false" outlineLevel="0" collapsed="false">
      <c r="A112" s="35" t="n">
        <v>110</v>
      </c>
      <c r="B112" s="35" t="n">
        <f aca="false">C111</f>
        <v>0.000630957344480193</v>
      </c>
      <c r="C112" s="35" t="n">
        <f aca="false">Inputs!$B$21*(Inputs!$B$22/Inputs!$B$21)^(49/60)</f>
        <v>0.000655641849417979</v>
      </c>
      <c r="D112" s="35" t="n">
        <f aca="false">(B112+C112)/2</f>
        <v>0.000643299596949086</v>
      </c>
      <c r="E112" s="35" t="n">
        <f aca="false">C112-B112</f>
        <v>2.46845049377855E-005</v>
      </c>
      <c r="F112" s="35" t="n">
        <f aca="false">Inputs!$B$16*E112</f>
        <v>55.8955929811214</v>
      </c>
      <c r="G112" s="35" t="n">
        <f aca="false">IF(D112&lt;=Inputs!$B$21,1,IF(D112&lt;=Inputs!$B$22,2,IF(D112&lt;=Inputs!$B$23,3,IF(D112&lt;=Inputs!$B$24,4,5))))</f>
        <v>2</v>
      </c>
      <c r="H112" s="35" t="n">
        <f aca="false">Fit!$B$10*D112^(-1/Fit!$B$9)</f>
        <v>3319.25196573602</v>
      </c>
      <c r="I112" s="35" t="n">
        <f aca="false">EXP(Fit!$B$16+Fit!$B$15*-NORMSINV(D112))</f>
        <v>602.460526210875</v>
      </c>
      <c r="J112" s="35" t="n">
        <f aca="false">Fit!$B$22*LN(1/D112)^(1/Fit!$B$21)</f>
        <v>339.722095664084</v>
      </c>
      <c r="K112" s="35" t="n">
        <f aca="false">MAX(0,Fit!$B$28+Fit!$B$27*-NORMSINV(D112))</f>
        <v>243.940941353726</v>
      </c>
      <c r="L112" s="35" t="n">
        <f aca="false">INDEX(H112:K112,1,Inputs!$B$5)</f>
        <v>3319.25196573602</v>
      </c>
      <c r="M112" s="35" t="n">
        <f aca="false">L112*E112</f>
        <v>0.0819340915379649</v>
      </c>
      <c r="N112" s="35" t="n">
        <f aca="false">L112^$AB$7</f>
        <v>3319.25196573602</v>
      </c>
      <c r="O112" s="35" t="n">
        <f aca="false">N112*E112</f>
        <v>0.0819340915379649</v>
      </c>
      <c r="P112" s="35" t="n">
        <f aca="false">N112*$AB$3/($AB$4*$AB$1)</f>
        <v>22384887.952657</v>
      </c>
      <c r="Q112" s="35" t="n">
        <f aca="false">IF(G112&lt;=3,F112*SQRT(P112),0)</f>
        <v>264456.977632196</v>
      </c>
      <c r="R112" s="35" t="n">
        <f aca="false">SQRT(P112/$AB$6)</f>
        <v>2186024337.7603</v>
      </c>
      <c r="S112" s="35" t="n">
        <f aca="false">2*$AB$6*R112</f>
        <v>0.0204799988417252</v>
      </c>
      <c r="T112" s="35" t="n">
        <f aca="false">IF(G112&lt;=3,F112*R112,0)</f>
        <v>122189126630.275</v>
      </c>
      <c r="U112" s="35" t="n">
        <f aca="false">F112*P112</f>
        <v>1251216585.92972</v>
      </c>
      <c r="V112" s="35" t="n">
        <f aca="false">H112^$AB$7*E112</f>
        <v>0.0819340915379649</v>
      </c>
      <c r="W112" s="35" t="n">
        <f aca="false">I112^$AB$7*E112</f>
        <v>0.0148714398340732</v>
      </c>
      <c r="X112" s="35" t="n">
        <f aca="false">J112^$AB$7*E112</f>
        <v>0.0083858717478949</v>
      </c>
      <c r="Y112" s="35" t="n">
        <f aca="false">K112^$AB$7*E112</f>
        <v>0.00602156137137409</v>
      </c>
    </row>
    <row r="113" customFormat="false" ht="15" hidden="false" customHeight="false" outlineLevel="0" collapsed="false">
      <c r="A113" s="35" t="n">
        <v>111</v>
      </c>
      <c r="B113" s="35" t="n">
        <f aca="false">C112</f>
        <v>0.000655641849417979</v>
      </c>
      <c r="C113" s="35" t="n">
        <f aca="false">Inputs!$B$21*(Inputs!$B$22/Inputs!$B$21)^(50/60)</f>
        <v>0.000681292069057961</v>
      </c>
      <c r="D113" s="35" t="n">
        <f aca="false">(B113+C113)/2</f>
        <v>0.00066846695923797</v>
      </c>
      <c r="E113" s="35" t="n">
        <f aca="false">C113-B113</f>
        <v>2.56502196399825E-005</v>
      </c>
      <c r="F113" s="35" t="n">
        <f aca="false">Inputs!$B$16*E113</f>
        <v>58.0823573527764</v>
      </c>
      <c r="G113" s="35" t="n">
        <f aca="false">IF(D113&lt;=Inputs!$B$21,1,IF(D113&lt;=Inputs!$B$22,2,IF(D113&lt;=Inputs!$B$23,3,IF(D113&lt;=Inputs!$B$24,4,5))))</f>
        <v>2</v>
      </c>
      <c r="H113" s="35" t="n">
        <f aca="false">Fit!$B$10*D113^(-1/Fit!$B$9)</f>
        <v>3237.10411167267</v>
      </c>
      <c r="I113" s="35" t="n">
        <f aca="false">EXP(Fit!$B$16+Fit!$B$15*-NORMSINV(D113))</f>
        <v>597.039988524716</v>
      </c>
      <c r="J113" s="35" t="n">
        <f aca="false">Fit!$B$22*LN(1/D113)^(1/Fit!$B$21)</f>
        <v>338.168546354243</v>
      </c>
      <c r="K113" s="35" t="n">
        <f aca="false">MAX(0,Fit!$B$28+Fit!$B$27*-NORMSINV(D113))</f>
        <v>243.252972677357</v>
      </c>
      <c r="L113" s="35" t="n">
        <f aca="false">INDEX(H113:K113,1,Inputs!$B$5)</f>
        <v>3237.10411167267</v>
      </c>
      <c r="M113" s="35" t="n">
        <f aca="false">L113*E113</f>
        <v>0.0830324314618945</v>
      </c>
      <c r="N113" s="35" t="n">
        <f aca="false">L113^$AB$7</f>
        <v>3237.10411167267</v>
      </c>
      <c r="O113" s="35" t="n">
        <f aca="false">N113*E113</f>
        <v>0.0830324314618945</v>
      </c>
      <c r="P113" s="35" t="n">
        <f aca="false">N113*$AB$3/($AB$4*$AB$1)</f>
        <v>21830886.4704732</v>
      </c>
      <c r="Q113" s="35" t="n">
        <f aca="false">IF(G113&lt;=3,F113*SQRT(P113),0)</f>
        <v>271381.30095108</v>
      </c>
      <c r="R113" s="35" t="n">
        <f aca="false">SQRT(P113/$AB$6)</f>
        <v>2158804009.13113</v>
      </c>
      <c r="S113" s="35" t="n">
        <f aca="false">2*$AB$6*R113</f>
        <v>0.0202249823310821</v>
      </c>
      <c r="T113" s="35" t="n">
        <f aca="false">IF(G113&lt;=3,F113*R113,0)</f>
        <v>125388425912.961</v>
      </c>
      <c r="U113" s="35" t="n">
        <f aca="false">F113*P113</f>
        <v>1267989349.30591</v>
      </c>
      <c r="V113" s="35" t="n">
        <f aca="false">H113^$AB$7*E113</f>
        <v>0.0830324314618945</v>
      </c>
      <c r="W113" s="35" t="n">
        <f aca="false">I113^$AB$7*E113</f>
        <v>0.0153142068395116</v>
      </c>
      <c r="X113" s="35" t="n">
        <f aca="false">J113^$AB$7*E113</f>
        <v>0.00867409748931995</v>
      </c>
      <c r="Y113" s="35" t="n">
        <f aca="false">K113^$AB$7*E113</f>
        <v>0.00623949217725287</v>
      </c>
    </row>
    <row r="114" customFormat="false" ht="15" hidden="false" customHeight="false" outlineLevel="0" collapsed="false">
      <c r="A114" s="35" t="n">
        <v>112</v>
      </c>
      <c r="B114" s="35" t="n">
        <f aca="false">C113</f>
        <v>0.000681292069057961</v>
      </c>
      <c r="C114" s="35" t="n">
        <f aca="false">Inputs!$B$21*(Inputs!$B$22/Inputs!$B$21)^(51/60)</f>
        <v>0.000707945784384138</v>
      </c>
      <c r="D114" s="35" t="n">
        <f aca="false">(B114+C114)/2</f>
        <v>0.00069461892672105</v>
      </c>
      <c r="E114" s="35" t="n">
        <f aca="false">C114-B114</f>
        <v>2.66537153261765E-005</v>
      </c>
      <c r="F114" s="35" t="n">
        <f aca="false">Inputs!$B$16*E114</f>
        <v>60.3546729845941</v>
      </c>
      <c r="G114" s="35" t="n">
        <f aca="false">IF(D114&lt;=Inputs!$B$21,1,IF(D114&lt;=Inputs!$B$22,2,IF(D114&lt;=Inputs!$B$23,3,IF(D114&lt;=Inputs!$B$24,4,5))))</f>
        <v>2</v>
      </c>
      <c r="H114" s="35" t="n">
        <f aca="false">Fit!$B$10*D114^(-1/Fit!$B$9)</f>
        <v>3156.98932710717</v>
      </c>
      <c r="I114" s="35" t="n">
        <f aca="false">EXP(Fit!$B$16+Fit!$B$15*-NORMSINV(D114))</f>
        <v>591.652316163199</v>
      </c>
      <c r="J114" s="35" t="n">
        <f aca="false">Fit!$B$22*LN(1/D114)^(1/Fit!$B$21)</f>
        <v>336.613980736544</v>
      </c>
      <c r="K114" s="35" t="n">
        <f aca="false">MAX(0,Fit!$B$28+Fit!$B$27*-NORMSINV(D114))</f>
        <v>242.562957761022</v>
      </c>
      <c r="L114" s="35" t="n">
        <f aca="false">INDEX(H114:K114,1,Inputs!$B$5)</f>
        <v>3156.98932710717</v>
      </c>
      <c r="M114" s="35" t="n">
        <f aca="false">L114*E114</f>
        <v>0.084145494812492</v>
      </c>
      <c r="N114" s="35" t="n">
        <f aca="false">L114^$AB$7</f>
        <v>3156.98932710717</v>
      </c>
      <c r="O114" s="35" t="n">
        <f aca="false">N114*E114</f>
        <v>0.084145494812492</v>
      </c>
      <c r="P114" s="35" t="n">
        <f aca="false">N114*$AB$3/($AB$4*$AB$1)</f>
        <v>21290595.9187577</v>
      </c>
      <c r="Q114" s="35" t="n">
        <f aca="false">IF(G114&lt;=3,F114*SQRT(P114),0)</f>
        <v>278486.925039004</v>
      </c>
      <c r="R114" s="35" t="n">
        <f aca="false">SQRT(P114/$AB$6)</f>
        <v>2131922627.45598</v>
      </c>
      <c r="S114" s="35" t="n">
        <f aca="false">2*$AB$6*R114</f>
        <v>0.0199731412806137</v>
      </c>
      <c r="T114" s="35" t="n">
        <f aca="false">IF(G114&lt;=3,F114*R114,0)</f>
        <v>128671493008.563</v>
      </c>
      <c r="U114" s="35" t="n">
        <f aca="false">F114*P114</f>
        <v>1284986954.32376</v>
      </c>
      <c r="V114" s="35" t="n">
        <f aca="false">H114^$AB$7*E114</f>
        <v>0.084145494812492</v>
      </c>
      <c r="W114" s="35" t="n">
        <f aca="false">I114^$AB$7*E114</f>
        <v>0.0157697324070869</v>
      </c>
      <c r="X114" s="35" t="n">
        <f aca="false">J114^$AB$7*E114</f>
        <v>0.00897201321736292</v>
      </c>
      <c r="Y114" s="35" t="n">
        <f aca="false">K114^$AB$7*E114</f>
        <v>0.00646520402483767</v>
      </c>
    </row>
    <row r="115" customFormat="false" ht="15" hidden="false" customHeight="false" outlineLevel="0" collapsed="false">
      <c r="A115" s="35" t="n">
        <v>113</v>
      </c>
      <c r="B115" s="35" t="n">
        <f aca="false">C114</f>
        <v>0.000707945784384138</v>
      </c>
      <c r="C115" s="35" t="n">
        <f aca="false">Inputs!$B$21*(Inputs!$B$22/Inputs!$B$21)^(52/60)</f>
        <v>0.000735642254459641</v>
      </c>
      <c r="D115" s="35" t="n">
        <f aca="false">(B115+C115)/2</f>
        <v>0.00072179401942189</v>
      </c>
      <c r="E115" s="35" t="n">
        <f aca="false">C115-B115</f>
        <v>2.76964700755035E-005</v>
      </c>
      <c r="F115" s="35" t="n">
        <f aca="false">Inputs!$B$16*E115</f>
        <v>62.7158868389701</v>
      </c>
      <c r="G115" s="35" t="n">
        <f aca="false">IF(D115&lt;=Inputs!$B$21,1,IF(D115&lt;=Inputs!$B$22,2,IF(D115&lt;=Inputs!$B$23,3,IF(D115&lt;=Inputs!$B$24,4,5))))</f>
        <v>2</v>
      </c>
      <c r="H115" s="35" t="n">
        <f aca="false">Fit!$B$10*D115^(-1/Fit!$B$9)</f>
        <v>3078.85729579413</v>
      </c>
      <c r="I115" s="35" t="n">
        <f aca="false">EXP(Fit!$B$16+Fit!$B$15*-NORMSINV(D115))</f>
        <v>586.297364693331</v>
      </c>
      <c r="J115" s="35" t="n">
        <f aca="false">Fit!$B$22*LN(1/D115)^(1/Fit!$B$21)</f>
        <v>335.058392777571</v>
      </c>
      <c r="K115" s="35" t="n">
        <f aca="false">MAX(0,Fit!$B$28+Fit!$B$27*-NORMSINV(D115))</f>
        <v>241.87087892055</v>
      </c>
      <c r="L115" s="35" t="n">
        <f aca="false">INDEX(H115:K115,1,Inputs!$B$5)</f>
        <v>3078.85729579413</v>
      </c>
      <c r="M115" s="35" t="n">
        <f aca="false">L115*E115</f>
        <v>0.0852734789597077</v>
      </c>
      <c r="N115" s="35" t="n">
        <f aca="false">L115^$AB$7</f>
        <v>3078.85729579413</v>
      </c>
      <c r="O115" s="35" t="n">
        <f aca="false">N115*E115</f>
        <v>0.0852734789597077</v>
      </c>
      <c r="P115" s="35" t="n">
        <f aca="false">N115*$AB$3/($AB$4*$AB$1)</f>
        <v>20763676.9669848</v>
      </c>
      <c r="Q115" s="35" t="n">
        <f aca="false">IF(G115&lt;=3,F115*SQRT(P115),0)</f>
        <v>285778.596925738</v>
      </c>
      <c r="R115" s="35" t="n">
        <f aca="false">SQRT(P115/$AB$6)</f>
        <v>2105375972.17457</v>
      </c>
      <c r="S115" s="35" t="n">
        <f aca="false">2*$AB$6*R115</f>
        <v>0.0197244361495573</v>
      </c>
      <c r="T115" s="35" t="n">
        <f aca="false">IF(G115&lt;=3,F115*R115,0)</f>
        <v>132040521224.387</v>
      </c>
      <c r="U115" s="35" t="n">
        <f aca="false">F115*P115</f>
        <v>1302212415.02235</v>
      </c>
      <c r="V115" s="35" t="n">
        <f aca="false">H115^$AB$7*E115</f>
        <v>0.0852734789597077</v>
      </c>
      <c r="W115" s="35" t="n">
        <f aca="false">I115^$AB$7*E115</f>
        <v>0.0162383674165754</v>
      </c>
      <c r="X115" s="35" t="n">
        <f aca="false">J115^$AB$7*E115</f>
        <v>0.0092799347491103</v>
      </c>
      <c r="Y115" s="35" t="n">
        <f aca="false">K115^$AB$7*E115</f>
        <v>0.00669896956015874</v>
      </c>
    </row>
    <row r="116" customFormat="false" ht="15" hidden="false" customHeight="false" outlineLevel="0" collapsed="false">
      <c r="A116" s="35" t="n">
        <v>114</v>
      </c>
      <c r="B116" s="35" t="n">
        <f aca="false">C115</f>
        <v>0.000735642254459641</v>
      </c>
      <c r="C116" s="35" t="n">
        <f aca="false">Inputs!$B$21*(Inputs!$B$22/Inputs!$B$21)^(53/60)</f>
        <v>0.0007644222742526</v>
      </c>
      <c r="D116" s="35" t="n">
        <f aca="false">(B116+C116)/2</f>
        <v>0.000750032264356121</v>
      </c>
      <c r="E116" s="35" t="n">
        <f aca="false">C116-B116</f>
        <v>2.87800197929588E-005</v>
      </c>
      <c r="F116" s="35" t="n">
        <f aca="false">Inputs!$B$16*E116</f>
        <v>65.1694768191759</v>
      </c>
      <c r="G116" s="35" t="n">
        <f aca="false">IF(D116&lt;=Inputs!$B$21,1,IF(D116&lt;=Inputs!$B$22,2,IF(D116&lt;=Inputs!$B$23,3,IF(D116&lt;=Inputs!$B$24,4,5))))</f>
        <v>2</v>
      </c>
      <c r="H116" s="35" t="n">
        <f aca="false">Fit!$B$10*D116^(-1/Fit!$B$9)</f>
        <v>3002.65894676018</v>
      </c>
      <c r="I116" s="35" t="n">
        <f aca="false">EXP(Fit!$B$16+Fit!$B$15*-NORMSINV(D116))</f>
        <v>580.974990146477</v>
      </c>
      <c r="J116" s="35" t="n">
        <f aca="false">Fit!$B$22*LN(1/D116)^(1/Fit!$B$21)</f>
        <v>333.50177637588</v>
      </c>
      <c r="K116" s="35" t="n">
        <f aca="false">MAX(0,Fit!$B$28+Fit!$B$27*-NORMSINV(D116))</f>
        <v>241.176718220466</v>
      </c>
      <c r="L116" s="35" t="n">
        <f aca="false">INDEX(H116:K116,1,Inputs!$B$5)</f>
        <v>3002.65894676018</v>
      </c>
      <c r="M116" s="35" t="n">
        <f aca="false">L116*E116</f>
        <v>0.0864165839192627</v>
      </c>
      <c r="N116" s="35" t="n">
        <f aca="false">L116^$AB$7</f>
        <v>3002.65894676018</v>
      </c>
      <c r="O116" s="35" t="n">
        <f aca="false">N116*E116</f>
        <v>0.0864165839192627</v>
      </c>
      <c r="P116" s="35" t="n">
        <f aca="false">N116*$AB$3/($AB$4*$AB$1)</f>
        <v>20249798.6826876</v>
      </c>
      <c r="Q116" s="35" t="n">
        <f aca="false">IF(G116&lt;=3,F116*SQRT(P116),0)</f>
        <v>293261.187933344</v>
      </c>
      <c r="R116" s="35" t="n">
        <f aca="false">SQRT(P116/$AB$6)</f>
        <v>2079159875.28096</v>
      </c>
      <c r="S116" s="35" t="n">
        <f aca="false">2*$AB$6*R116</f>
        <v>0.0194788278895112</v>
      </c>
      <c r="T116" s="35" t="n">
        <f aca="false">IF(G116&lt;=3,F116*R116,0)</f>
        <v>135497761295.483</v>
      </c>
      <c r="U116" s="35" t="n">
        <f aca="false">F116*P116</f>
        <v>1319668785.84439</v>
      </c>
      <c r="V116" s="35" t="n">
        <f aca="false">H116^$AB$7*E116</f>
        <v>0.0864165839192627</v>
      </c>
      <c r="W116" s="35" t="n">
        <f aca="false">I116^$AB$7*E116</f>
        <v>0.0167204717156296</v>
      </c>
      <c r="X116" s="35" t="n">
        <f aca="false">J116^$AB$7*E116</f>
        <v>0.00959818772508475</v>
      </c>
      <c r="Y116" s="35" t="n">
        <f aca="false">K116^$AB$7*E116</f>
        <v>0.00694107072398587</v>
      </c>
    </row>
    <row r="117" customFormat="false" ht="15" hidden="false" customHeight="false" outlineLevel="0" collapsed="false">
      <c r="A117" s="35" t="n">
        <v>115</v>
      </c>
      <c r="B117" s="35" t="n">
        <f aca="false">C116</f>
        <v>0.0007644222742526</v>
      </c>
      <c r="C117" s="35" t="n">
        <f aca="false">Inputs!$B$21*(Inputs!$B$22/Inputs!$B$21)^(54/60)</f>
        <v>0.000794328234724282</v>
      </c>
      <c r="D117" s="35" t="n">
        <f aca="false">(B117+C117)/2</f>
        <v>0.000779375254488441</v>
      </c>
      <c r="E117" s="35" t="n">
        <f aca="false">C117-B117</f>
        <v>2.99059604716815E-005</v>
      </c>
      <c r="F117" s="35" t="n">
        <f aca="false">Inputs!$B$16*E117</f>
        <v>67.7190568920755</v>
      </c>
      <c r="G117" s="35" t="n">
        <f aca="false">IF(D117&lt;=Inputs!$B$21,1,IF(D117&lt;=Inputs!$B$22,2,IF(D117&lt;=Inputs!$B$23,3,IF(D117&lt;=Inputs!$B$24,4,5))))</f>
        <v>2</v>
      </c>
      <c r="H117" s="35" t="n">
        <f aca="false">Fit!$B$10*D117^(-1/Fit!$B$9)</f>
        <v>2928.34642348484</v>
      </c>
      <c r="I117" s="35" t="n">
        <f aca="false">EXP(Fit!$B$16+Fit!$B$15*-NORMSINV(D117))</f>
        <v>575.685049016646</v>
      </c>
      <c r="J117" s="35" t="n">
        <f aca="false">Fit!$B$22*LN(1/D117)^(1/Fit!$B$21)</f>
        <v>331.944125360865</v>
      </c>
      <c r="K117" s="35" t="n">
        <f aca="false">MAX(0,Fit!$B$28+Fit!$B$27*-NORMSINV(D117))</f>
        <v>240.480457469034</v>
      </c>
      <c r="L117" s="35" t="n">
        <f aca="false">INDEX(H117:K117,1,Inputs!$B$5)</f>
        <v>2928.34642348484</v>
      </c>
      <c r="M117" s="35" t="n">
        <f aca="false">L117*E117</f>
        <v>0.0875750123881274</v>
      </c>
      <c r="N117" s="35" t="n">
        <f aca="false">L117^$AB$7</f>
        <v>2928.34642348484</v>
      </c>
      <c r="O117" s="35" t="n">
        <f aca="false">N117*E117</f>
        <v>0.0875750123881274</v>
      </c>
      <c r="P117" s="35" t="n">
        <f aca="false">N117*$AB$3/($AB$4*$AB$1)</f>
        <v>19748638.323616</v>
      </c>
      <c r="Q117" s="35" t="n">
        <f aca="false">IF(G117&lt;=3,F117*SQRT(P117),0)</f>
        <v>300939.696930578</v>
      </c>
      <c r="R117" s="35" t="n">
        <f aca="false">SQRT(P117/$AB$6)</f>
        <v>2053270220.6691</v>
      </c>
      <c r="S117" s="35" t="n">
        <f aca="false">2*$AB$6*R117</f>
        <v>0.0192362779383031</v>
      </c>
      <c r="T117" s="35" t="n">
        <f aca="false">IF(G117&lt;=3,F117*R117,0)</f>
        <v>139045522888.295</v>
      </c>
      <c r="U117" s="35" t="n">
        <f aca="false">F117*P117</f>
        <v>1337359162.17797</v>
      </c>
      <c r="V117" s="35" t="n">
        <f aca="false">H117^$AB$7*E117</f>
        <v>0.0875750123881274</v>
      </c>
      <c r="W117" s="35" t="n">
        <f aca="false">I117^$AB$7*E117</f>
        <v>0.0172164143200298</v>
      </c>
      <c r="X117" s="35" t="n">
        <f aca="false">J117^$AB$7*E117</f>
        <v>0.00992710789184892</v>
      </c>
      <c r="Y117" s="35" t="n">
        <f aca="false">K117^$AB$7*E117</f>
        <v>0.00719179905528079</v>
      </c>
    </row>
    <row r="118" customFormat="false" ht="15" hidden="false" customHeight="false" outlineLevel="0" collapsed="false">
      <c r="A118" s="35" t="n">
        <v>116</v>
      </c>
      <c r="B118" s="35" t="n">
        <f aca="false">C117</f>
        <v>0.000794328234724282</v>
      </c>
      <c r="C118" s="35" t="n">
        <f aca="false">Inputs!$B$21*(Inputs!$B$22/Inputs!$B$21)^(55/60)</f>
        <v>0.000825404185268018</v>
      </c>
      <c r="D118" s="35" t="n">
        <f aca="false">(B118+C118)/2</f>
        <v>0.00080986620999615</v>
      </c>
      <c r="E118" s="35" t="n">
        <f aca="false">C118-B118</f>
        <v>3.10759505437367E-005</v>
      </c>
      <c r="F118" s="35" t="n">
        <f aca="false">Inputs!$B$16*E118</f>
        <v>70.3683824112374</v>
      </c>
      <c r="G118" s="35" t="n">
        <f aca="false">IF(D118&lt;=Inputs!$B$21,1,IF(D118&lt;=Inputs!$B$22,2,IF(D118&lt;=Inputs!$B$23,3,IF(D118&lt;=Inputs!$B$24,4,5))))</f>
        <v>2</v>
      </c>
      <c r="H118" s="35" t="n">
        <f aca="false">Fit!$B$10*D118^(-1/Fit!$B$9)</f>
        <v>2855.87305384415</v>
      </c>
      <c r="I118" s="35" t="n">
        <f aca="false">EXP(Fit!$B$16+Fit!$B$15*-NORMSINV(D118))</f>
        <v>570.427398258764</v>
      </c>
      <c r="J118" s="35" t="n">
        <f aca="false">Fit!$B$22*LN(1/D118)^(1/Fit!$B$21)</f>
        <v>330.3854334916</v>
      </c>
      <c r="K118" s="35" t="n">
        <f aca="false">MAX(0,Fit!$B$28+Fit!$B$27*-NORMSINV(D118))</f>
        <v>239.782078213152</v>
      </c>
      <c r="L118" s="35" t="n">
        <f aca="false">INDEX(H118:K118,1,Inputs!$B$5)</f>
        <v>2855.87305384415</v>
      </c>
      <c r="M118" s="35" t="n">
        <f aca="false">L118*E118</f>
        <v>0.0887489697804512</v>
      </c>
      <c r="N118" s="35" t="n">
        <f aca="false">L118^$AB$7</f>
        <v>2855.87305384415</v>
      </c>
      <c r="O118" s="35" t="n">
        <f aca="false">N118*E118</f>
        <v>0.0887489697804512</v>
      </c>
      <c r="P118" s="35" t="n">
        <f aca="false">N118*$AB$3/($AB$4*$AB$1)</f>
        <v>19259881.135037</v>
      </c>
      <c r="Q118" s="35" t="n">
        <f aca="false">IF(G118&lt;=3,F118*SQRT(P118),0)</f>
        <v>308819.253672432</v>
      </c>
      <c r="R118" s="35" t="n">
        <f aca="false">SQRT(P118/$AB$6)</f>
        <v>2027702943.48666</v>
      </c>
      <c r="S118" s="35" t="n">
        <f aca="false">2*$AB$6*R118</f>
        <v>0.0189967482139365</v>
      </c>
      <c r="T118" s="35" t="n">
        <f aca="false">IF(G118&lt;=3,F118*R118,0)</f>
        <v>142686176143.661</v>
      </c>
      <c r="U118" s="35" t="n">
        <f aca="false">F118*P118</f>
        <v>1355286680.90526</v>
      </c>
      <c r="V118" s="35" t="n">
        <f aca="false">H118^$AB$7*E118</f>
        <v>0.0887489697804512</v>
      </c>
      <c r="W118" s="35" t="n">
        <f aca="false">I118^$AB$7*E118</f>
        <v>0.0177265736170818</v>
      </c>
      <c r="X118" s="35" t="n">
        <f aca="false">J118^$AB$7*E118</f>
        <v>0.010267041391556</v>
      </c>
      <c r="Y118" s="35" t="n">
        <f aca="false">K118^$AB$7*E118</f>
        <v>0.00745145600382633</v>
      </c>
    </row>
    <row r="119" customFormat="false" ht="15" hidden="false" customHeight="false" outlineLevel="0" collapsed="false">
      <c r="A119" s="35" t="n">
        <v>117</v>
      </c>
      <c r="B119" s="35" t="n">
        <f aca="false">C118</f>
        <v>0.000825404185268018</v>
      </c>
      <c r="C119" s="35" t="n">
        <f aca="false">Inputs!$B$21*(Inputs!$B$22/Inputs!$B$21)^(56/60)</f>
        <v>0.000857695898590894</v>
      </c>
      <c r="D119" s="35" t="n">
        <f aca="false">(B119+C119)/2</f>
        <v>0.000841550041929456</v>
      </c>
      <c r="E119" s="35" t="n">
        <f aca="false">C119-B119</f>
        <v>3.22917133228759E-005</v>
      </c>
      <c r="F119" s="35" t="n">
        <f aca="false">Inputs!$B$16*E119</f>
        <v>73.1213556483201</v>
      </c>
      <c r="G119" s="35" t="n">
        <f aca="false">IF(D119&lt;=Inputs!$B$21,1,IF(D119&lt;=Inputs!$B$22,2,IF(D119&lt;=Inputs!$B$23,3,IF(D119&lt;=Inputs!$B$24,4,5))))</f>
        <v>2</v>
      </c>
      <c r="H119" s="35" t="n">
        <f aca="false">Fit!$B$10*D119^(-1/Fit!$B$9)</f>
        <v>2785.19332079815</v>
      </c>
      <c r="I119" s="35" t="n">
        <f aca="false">EXP(Fit!$B$16+Fit!$B$15*-NORMSINV(D119))</f>
        <v>565.201895286939</v>
      </c>
      <c r="J119" s="35" t="n">
        <f aca="false">Fit!$B$22*LN(1/D119)^(1/Fit!$B$21)</f>
        <v>328.825694455653</v>
      </c>
      <c r="K119" s="35" t="n">
        <f aca="false">MAX(0,Fit!$B$28+Fit!$B$27*-NORMSINV(D119))</f>
        <v>239.08156173314</v>
      </c>
      <c r="L119" s="35" t="n">
        <f aca="false">INDEX(H119:K119,1,Inputs!$B$5)</f>
        <v>2785.19332079815</v>
      </c>
      <c r="M119" s="35" t="n">
        <f aca="false">L119*E119</f>
        <v>0.0899386642640024</v>
      </c>
      <c r="N119" s="35" t="n">
        <f aca="false">L119^$AB$7</f>
        <v>2785.19332079815</v>
      </c>
      <c r="O119" s="35" t="n">
        <f aca="false">N119*E119</f>
        <v>0.0899386642640024</v>
      </c>
      <c r="P119" s="35" t="n">
        <f aca="false">N119*$AB$3/($AB$4*$AB$1)</f>
        <v>18783220.1520532</v>
      </c>
      <c r="Q119" s="35" t="n">
        <f aca="false">IF(G119&lt;=3,F119*SQRT(P119),0)</f>
        <v>316905.122227197</v>
      </c>
      <c r="R119" s="35" t="n">
        <f aca="false">SQRT(P119/$AB$6)</f>
        <v>2002454029.49672</v>
      </c>
      <c r="S119" s="35" t="n">
        <f aca="false">2*$AB$6*R119</f>
        <v>0.0187602011086108</v>
      </c>
      <c r="T119" s="35" t="n">
        <f aca="false">IF(G119&lt;=3,F119*R119,0)</f>
        <v>146422153260.241</v>
      </c>
      <c r="U119" s="35" t="n">
        <f aca="false">F119*P119</f>
        <v>1373454520.95898</v>
      </c>
      <c r="V119" s="35" t="n">
        <f aca="false">H119^$AB$7*E119</f>
        <v>0.0899386642640024</v>
      </c>
      <c r="W119" s="35" t="n">
        <f aca="false">I119^$AB$7*E119</f>
        <v>0.0182513375721519</v>
      </c>
      <c r="X119" s="35" t="n">
        <f aca="false">J119^$AB$7*E119</f>
        <v>0.0106183450585575</v>
      </c>
      <c r="Y119" s="35" t="n">
        <f aca="false">K119^$AB$7*E119</f>
        <v>0.00772035325227201</v>
      </c>
    </row>
    <row r="120" customFormat="false" ht="15" hidden="false" customHeight="false" outlineLevel="0" collapsed="false">
      <c r="A120" s="35" t="n">
        <v>118</v>
      </c>
      <c r="B120" s="35" t="n">
        <f aca="false">C119</f>
        <v>0.000857695898590894</v>
      </c>
      <c r="C120" s="35" t="n">
        <f aca="false">Inputs!$B$21*(Inputs!$B$22/Inputs!$B$21)^(57/60)</f>
        <v>0.000891250938133746</v>
      </c>
      <c r="D120" s="35" t="n">
        <f aca="false">(B120+C120)/2</f>
        <v>0.00087447341836232</v>
      </c>
      <c r="E120" s="35" t="n">
        <f aca="false">C120-B120</f>
        <v>3.35550395428513E-005</v>
      </c>
      <c r="F120" s="35" t="n">
        <f aca="false">Inputs!$B$16*E120</f>
        <v>75.9820315408325</v>
      </c>
      <c r="G120" s="35" t="n">
        <f aca="false">IF(D120&lt;=Inputs!$B$21,1,IF(D120&lt;=Inputs!$B$22,2,IF(D120&lt;=Inputs!$B$23,3,IF(D120&lt;=Inputs!$B$24,4,5))))</f>
        <v>2</v>
      </c>
      <c r="H120" s="35" t="n">
        <f aca="false">Fit!$B$10*D120^(-1/Fit!$B$9)</f>
        <v>2716.2628338038</v>
      </c>
      <c r="I120" s="35" t="n">
        <f aca="false">EXP(Fit!$B$16+Fit!$B$15*-NORMSINV(D120))</f>
        <v>560.008397972715</v>
      </c>
      <c r="J120" s="35" t="n">
        <f aca="false">Fit!$B$22*LN(1/D120)^(1/Fit!$B$21)</f>
        <v>327.264901867873</v>
      </c>
      <c r="K120" s="35" t="n">
        <f aca="false">MAX(0,Fit!$B$28+Fit!$B$27*-NORMSINV(D120))</f>
        <v>238.378889037373</v>
      </c>
      <c r="L120" s="35" t="n">
        <f aca="false">INDEX(H120:K120,1,Inputs!$B$5)</f>
        <v>2716.2628338038</v>
      </c>
      <c r="M120" s="35" t="n">
        <f aca="false">L120*E120</f>
        <v>0.0911443067970637</v>
      </c>
      <c r="N120" s="35" t="n">
        <f aca="false">L120^$AB$7</f>
        <v>2716.2628338038</v>
      </c>
      <c r="O120" s="35" t="n">
        <f aca="false">N120*E120</f>
        <v>0.0911443067970637</v>
      </c>
      <c r="P120" s="35" t="n">
        <f aca="false">N120*$AB$3/($AB$4*$AB$1)</f>
        <v>18318356.0068125</v>
      </c>
      <c r="Q120" s="35" t="n">
        <f aca="false">IF(G120&lt;=3,F120*SQRT(P120),0)</f>
        <v>325202.704493154</v>
      </c>
      <c r="R120" s="35" t="n">
        <f aca="false">SQRT(P120/$AB$6)</f>
        <v>1977519514.44757</v>
      </c>
      <c r="S120" s="35" t="n">
        <f aca="false">2*$AB$6*R120</f>
        <v>0.018526599482817</v>
      </c>
      <c r="T120" s="35" t="n">
        <f aca="false">IF(G120&lt;=3,F120*R120,0)</f>
        <v>150255950119.367</v>
      </c>
      <c r="U120" s="35" t="n">
        <f aca="false">F120*P120</f>
        <v>1391865903.88582</v>
      </c>
      <c r="V120" s="35" t="n">
        <f aca="false">H120^$AB$7*E120</f>
        <v>0.0911443067970637</v>
      </c>
      <c r="W120" s="35" t="n">
        <f aca="false">I120^$AB$7*E120</f>
        <v>0.0187911039383033</v>
      </c>
      <c r="X120" s="35" t="n">
        <f aca="false">J120^$AB$7*E120</f>
        <v>0.0109813867231638</v>
      </c>
      <c r="Y120" s="35" t="n">
        <f aca="false">K120^$AB$7*E120</f>
        <v>0.00799881304783002</v>
      </c>
    </row>
    <row r="121" customFormat="false" ht="15" hidden="false" customHeight="false" outlineLevel="0" collapsed="false">
      <c r="A121" s="35" t="n">
        <v>119</v>
      </c>
      <c r="B121" s="35" t="n">
        <f aca="false">C120</f>
        <v>0.000891250938133746</v>
      </c>
      <c r="C121" s="35" t="n">
        <f aca="false">Inputs!$B$21*(Inputs!$B$22/Inputs!$B$21)^(58/60)</f>
        <v>0.000926118728128794</v>
      </c>
      <c r="D121" s="35" t="n">
        <f aca="false">(B121+C121)/2</f>
        <v>0.00090868483313127</v>
      </c>
      <c r="E121" s="35" t="n">
        <f aca="false">C121-B121</f>
        <v>3.48677899950481E-005</v>
      </c>
      <c r="F121" s="35" t="n">
        <f aca="false">Inputs!$B$16*E121</f>
        <v>78.9546236647868</v>
      </c>
      <c r="G121" s="35" t="n">
        <f aca="false">IF(D121&lt;=Inputs!$B$21,1,IF(D121&lt;=Inputs!$B$22,2,IF(D121&lt;=Inputs!$B$23,3,IF(D121&lt;=Inputs!$B$24,4,5))))</f>
        <v>2</v>
      </c>
      <c r="H121" s="35" t="n">
        <f aca="false">Fit!$B$10*D121^(-1/Fit!$B$9)</f>
        <v>2649.03830093543</v>
      </c>
      <c r="I121" s="35" t="n">
        <f aca="false">EXP(Fit!$B$16+Fit!$B$15*-NORMSINV(D121))</f>
        <v>554.846764643319</v>
      </c>
      <c r="J121" s="35" t="n">
        <f aca="false">Fit!$B$22*LN(1/D121)^(1/Fit!$B$21)</f>
        <v>325.703049269156</v>
      </c>
      <c r="K121" s="35" t="n">
        <f aca="false">MAX(0,Fit!$B$28+Fit!$B$27*-NORMSINV(D121))</f>
        <v>237.674040856791</v>
      </c>
      <c r="L121" s="35" t="n">
        <f aca="false">INDEX(H121:K121,1,Inputs!$B$5)</f>
        <v>2649.03830093543</v>
      </c>
      <c r="M121" s="35" t="n">
        <f aca="false">L121*E121</f>
        <v>0.0923661111658554</v>
      </c>
      <c r="N121" s="35" t="n">
        <f aca="false">L121^$AB$7</f>
        <v>2649.03830093543</v>
      </c>
      <c r="O121" s="35" t="n">
        <f aca="false">N121*E121</f>
        <v>0.0923661111658554</v>
      </c>
      <c r="P121" s="35" t="n">
        <f aca="false">N121*$AB$3/($AB$4*$AB$1)</f>
        <v>17864996.7404892</v>
      </c>
      <c r="Q121" s="35" t="n">
        <f aca="false">IF(G121&lt;=3,F121*SQRT(P121),0)</f>
        <v>333717.543807461</v>
      </c>
      <c r="R121" s="35" t="n">
        <f aca="false">SQRT(P121/$AB$6)</f>
        <v>1952895483.45028</v>
      </c>
      <c r="S121" s="35" t="n">
        <f aca="false">2*$AB$6*R121</f>
        <v>0.0182959066595066</v>
      </c>
      <c r="T121" s="35" t="n">
        <f aca="false">IF(G121&lt;=3,F121*R121,0)</f>
        <v>154190127952.479</v>
      </c>
      <c r="U121" s="35" t="n">
        <f aca="false">F121*P121</f>
        <v>1410524094.41797</v>
      </c>
      <c r="V121" s="35" t="n">
        <f aca="false">H121^$AB$7*E121</f>
        <v>0.0923661111658554</v>
      </c>
      <c r="W121" s="35" t="n">
        <f aca="false">I121^$AB$7*E121</f>
        <v>0.0193462804690151</v>
      </c>
      <c r="X121" s="35" t="n">
        <f aca="false">J121^$AB$7*E121</f>
        <v>0.0113565455226637</v>
      </c>
      <c r="Y121" s="35" t="n">
        <f aca="false">K121^$AB$7*E121</f>
        <v>0.00828716854386905</v>
      </c>
    </row>
    <row r="122" customFormat="false" ht="15" hidden="false" customHeight="false" outlineLevel="0" collapsed="false">
      <c r="A122" s="35" t="n">
        <v>120</v>
      </c>
      <c r="B122" s="35" t="n">
        <f aca="false">C121</f>
        <v>0.000926118728128794</v>
      </c>
      <c r="C122" s="35" t="n">
        <f aca="false">Inputs!$B$21*(Inputs!$B$22/Inputs!$B$21)^(59/60)</f>
        <v>0.000962350626398089</v>
      </c>
      <c r="D122" s="35" t="n">
        <f aca="false">(B122+C122)/2</f>
        <v>0.000944234677263441</v>
      </c>
      <c r="E122" s="35" t="n">
        <f aca="false">C122-B122</f>
        <v>3.6231898269295E-005</v>
      </c>
      <c r="F122" s="35" t="n">
        <f aca="false">Inputs!$B$16*E122</f>
        <v>82.0435104409915</v>
      </c>
      <c r="G122" s="35" t="n">
        <f aca="false">IF(D122&lt;=Inputs!$B$21,1,IF(D122&lt;=Inputs!$B$22,2,IF(D122&lt;=Inputs!$B$23,3,IF(D122&lt;=Inputs!$B$24,4,5))))</f>
        <v>2</v>
      </c>
      <c r="H122" s="35" t="n">
        <f aca="false">Fit!$B$10*D122^(-1/Fit!$B$9)</f>
        <v>2583.47750169516</v>
      </c>
      <c r="I122" s="35" t="n">
        <f aca="false">EXP(Fit!$B$16+Fit!$B$15*-NORMSINV(D122))</f>
        <v>549.716854079896</v>
      </c>
      <c r="J122" s="35" t="n">
        <f aca="false">Fit!$B$22*LN(1/D122)^(1/Fit!$B$21)</f>
        <v>324.140130125175</v>
      </c>
      <c r="K122" s="35" t="n">
        <f aca="false">MAX(0,Fit!$B$28+Fit!$B$27*-NORMSINV(D122))</f>
        <v>236.966997639258</v>
      </c>
      <c r="L122" s="35" t="n">
        <f aca="false">INDEX(H122:K122,1,Inputs!$B$5)</f>
        <v>2583.47750169516</v>
      </c>
      <c r="M122" s="35" t="n">
        <f aca="false">L122*E122</f>
        <v>0.0936042940224315</v>
      </c>
      <c r="N122" s="35" t="n">
        <f aca="false">L122^$AB$7</f>
        <v>2583.47750169516</v>
      </c>
      <c r="O122" s="35" t="n">
        <f aca="false">N122*E122</f>
        <v>0.0936042940224315</v>
      </c>
      <c r="P122" s="35" t="n">
        <f aca="false">N122*$AB$3/($AB$4*$AB$1)</f>
        <v>17422857.6199195</v>
      </c>
      <c r="Q122" s="35" t="n">
        <f aca="false">IF(G122&lt;=3,F122*SQRT(P122),0)</f>
        <v>342455.32864942</v>
      </c>
      <c r="R122" s="35" t="n">
        <f aca="false">SQRT(P122/$AB$6)</f>
        <v>1928578070.36403</v>
      </c>
      <c r="S122" s="35" t="n">
        <f aca="false">2*$AB$6*R122</f>
        <v>0.0180680864183329</v>
      </c>
      <c r="T122" s="35" t="n">
        <f aca="false">IF(G122&lt;=3,F122*R122,0)</f>
        <v>158227315052.178</v>
      </c>
      <c r="U122" s="35" t="n">
        <f aca="false">F122*P122</f>
        <v>1429432401.05177</v>
      </c>
      <c r="V122" s="35" t="n">
        <f aca="false">H122^$AB$7*E122</f>
        <v>0.0936042940224315</v>
      </c>
      <c r="W122" s="35" t="n">
        <f aca="false">I122^$AB$7*E122</f>
        <v>0.0199172851339396</v>
      </c>
      <c r="X122" s="35" t="n">
        <f aca="false">J122^$AB$7*E122</f>
        <v>0.0117442122196914</v>
      </c>
      <c r="Y122" s="35" t="n">
        <f aca="false">K122^$AB$7*E122</f>
        <v>0.00858576415164584</v>
      </c>
    </row>
    <row r="123" customFormat="false" ht="15" hidden="false" customHeight="false" outlineLevel="0" collapsed="false">
      <c r="A123" s="35" t="n">
        <v>121</v>
      </c>
      <c r="B123" s="35" t="n">
        <f aca="false">C122</f>
        <v>0.000962350626398089</v>
      </c>
      <c r="C123" s="35" t="n">
        <f aca="false">Inputs!$B$21*(Inputs!$B$22/Inputs!$B$21)^(60/60)</f>
        <v>0.001</v>
      </c>
      <c r="D123" s="35" t="n">
        <f aca="false">(B123+C123)/2</f>
        <v>0.000981175313199044</v>
      </c>
      <c r="E123" s="35" t="n">
        <f aca="false">C123-B123</f>
        <v>3.76493736019115E-005</v>
      </c>
      <c r="F123" s="35" t="n">
        <f aca="false">Inputs!$B$16*E123</f>
        <v>85.2532415841684</v>
      </c>
      <c r="G123" s="35" t="n">
        <f aca="false">IF(D123&lt;=Inputs!$B$21,1,IF(D123&lt;=Inputs!$B$22,2,IF(D123&lt;=Inputs!$B$23,3,IF(D123&lt;=Inputs!$B$24,4,5))))</f>
        <v>2</v>
      </c>
      <c r="H123" s="35" t="n">
        <f aca="false">Fit!$B$10*D123^(-1/Fit!$B$9)</f>
        <v>2519.53926049625</v>
      </c>
      <c r="I123" s="35" t="n">
        <f aca="false">EXP(Fit!$B$16+Fit!$B$15*-NORMSINV(D123))</f>
        <v>544.618525515725</v>
      </c>
      <c r="J123" s="35" t="n">
        <f aca="false">Fit!$B$22*LN(1/D123)^(1/Fit!$B$21)</f>
        <v>322.576137825082</v>
      </c>
      <c r="K123" s="35" t="n">
        <f aca="false">MAX(0,Fit!$B$28+Fit!$B$27*-NORMSINV(D123))</f>
        <v>236.25773954378</v>
      </c>
      <c r="L123" s="35" t="n">
        <f aca="false">INDEX(H123:K123,1,Inputs!$B$5)</f>
        <v>2519.53926049625</v>
      </c>
      <c r="M123" s="35" t="n">
        <f aca="false">L123*E123</f>
        <v>0.0948590749231071</v>
      </c>
      <c r="N123" s="35" t="n">
        <f aca="false">L123^$AB$7</f>
        <v>2519.53926049625</v>
      </c>
      <c r="O123" s="35" t="n">
        <f aca="false">N123*E123</f>
        <v>0.0948590749231071</v>
      </c>
      <c r="P123" s="35" t="n">
        <f aca="false">N123*$AB$3/($AB$4*$AB$1)</f>
        <v>16991660.9587734</v>
      </c>
      <c r="Q123" s="35" t="n">
        <f aca="false">IF(G123&lt;=3,F123*SQRT(P123),0)</f>
        <v>351421.8964408</v>
      </c>
      <c r="R123" s="35" t="n">
        <f aca="false">SQRT(P123/$AB$6)</f>
        <v>1904563457.18909</v>
      </c>
      <c r="S123" s="35" t="n">
        <f aca="false">2*$AB$6*R123</f>
        <v>0.017843102989964</v>
      </c>
      <c r="T123" s="35" t="n">
        <f aca="false">IF(G123&lt;=3,F123*R123,0)</f>
        <v>162370208528.121</v>
      </c>
      <c r="U123" s="35" t="n">
        <f aca="false">F123*P123</f>
        <v>1448594176.6346</v>
      </c>
      <c r="V123" s="35" t="n">
        <f aca="false">H123^$AB$7*E123</f>
        <v>0.0948590749231071</v>
      </c>
      <c r="W123" s="35" t="n">
        <f aca="false">I123^$AB$7*E123</f>
        <v>0.0205045463376637</v>
      </c>
      <c r="X123" s="35" t="n">
        <f aca="false">J123^$AB$7*E123</f>
        <v>0.0121447895280382</v>
      </c>
      <c r="Y123" s="35" t="n">
        <f aca="false">K123^$AB$7*E123</f>
        <v>0.00889495590242689</v>
      </c>
    </row>
    <row r="124" customFormat="false" ht="15" hidden="false" customHeight="false" outlineLevel="0" collapsed="false">
      <c r="A124" s="35" t="n">
        <v>122</v>
      </c>
      <c r="B124" s="35" t="n">
        <f aca="false">C123</f>
        <v>0.001</v>
      </c>
      <c r="C124" s="35" t="n">
        <f aca="false">Inputs!$B$22*(Inputs!$B$23/Inputs!$B$22)^(1/60)</f>
        <v>0.00103912230383517</v>
      </c>
      <c r="D124" s="35" t="n">
        <f aca="false">(B124+C124)/2</f>
        <v>0.00101956115191758</v>
      </c>
      <c r="E124" s="35" t="n">
        <f aca="false">C124-B124</f>
        <v>3.91223038351692E-005</v>
      </c>
      <c r="F124" s="35" t="n">
        <f aca="false">Inputs!$B$16*E124</f>
        <v>88.5885448043571</v>
      </c>
      <c r="G124" s="35" t="n">
        <f aca="false">IF(D124&lt;=Inputs!$B$21,1,IF(D124&lt;=Inputs!$B$22,2,IF(D124&lt;=Inputs!$B$23,3,IF(D124&lt;=Inputs!$B$24,4,5))))</f>
        <v>3</v>
      </c>
      <c r="H124" s="35" t="n">
        <f aca="false">Fit!$B$10*D124^(-1/Fit!$B$9)</f>
        <v>2457.18342080264</v>
      </c>
      <c r="I124" s="35" t="n">
        <f aca="false">EXP(Fit!$B$16+Fit!$B$15*-NORMSINV(D124))</f>
        <v>539.551638634439</v>
      </c>
      <c r="J124" s="35" t="n">
        <f aca="false">Fit!$B$22*LN(1/D124)^(1/Fit!$B$21)</f>
        <v>321.01106568019</v>
      </c>
      <c r="K124" s="35" t="n">
        <f aca="false">MAX(0,Fit!$B$28+Fit!$B$27*-NORMSINV(D124))</f>
        <v>235.546246434568</v>
      </c>
      <c r="L124" s="35" t="n">
        <f aca="false">INDEX(H124:K124,1,Inputs!$B$5)</f>
        <v>2457.18342080264</v>
      </c>
      <c r="M124" s="35" t="n">
        <f aca="false">L124*E124</f>
        <v>0.0961306763673813</v>
      </c>
      <c r="N124" s="35" t="n">
        <f aca="false">L124^$AB$7</f>
        <v>2457.18342080264</v>
      </c>
      <c r="O124" s="35" t="n">
        <f aca="false">N124*E124</f>
        <v>0.0961306763673813</v>
      </c>
      <c r="P124" s="35" t="n">
        <f aca="false">N124*$AB$3/($AB$4*$AB$1)</f>
        <v>16571135.9431542</v>
      </c>
      <c r="Q124" s="35" t="n">
        <f aca="false">IF(G124&lt;=3,F124*SQRT(P124),0)</f>
        <v>360623.237445591</v>
      </c>
      <c r="R124" s="35" t="n">
        <f aca="false">SQRT(P124/$AB$6)</f>
        <v>1880847873.46742</v>
      </c>
      <c r="S124" s="35" t="n">
        <f aca="false">2*$AB$6*R124</f>
        <v>0.0176209210504672</v>
      </c>
      <c r="T124" s="35" t="n">
        <f aca="false">IF(G124&lt;=3,F124*R124,0)</f>
        <v>166621576108.848</v>
      </c>
      <c r="U124" s="35" t="n">
        <f aca="false">F124*P124</f>
        <v>1468012818.95921</v>
      </c>
      <c r="V124" s="35" t="n">
        <f aca="false">H124^$AB$7*E124</f>
        <v>0.0961306763673813</v>
      </c>
      <c r="W124" s="35" t="n">
        <f aca="false">I124^$AB$7*E124</f>
        <v>0.0211085031414199</v>
      </c>
      <c r="X124" s="35" t="n">
        <f aca="false">J124^$AB$7*E124</f>
        <v>0.0125586924459918</v>
      </c>
      <c r="Y124" s="35" t="n">
        <f aca="false">K124^$AB$7*E124</f>
        <v>0.00921511182024683</v>
      </c>
    </row>
    <row r="125" customFormat="false" ht="15" hidden="false" customHeight="false" outlineLevel="0" collapsed="false">
      <c r="A125" s="35" t="n">
        <v>123</v>
      </c>
      <c r="B125" s="35" t="n">
        <f aca="false">C124</f>
        <v>0.00103912230383517</v>
      </c>
      <c r="C125" s="35" t="n">
        <f aca="false">Inputs!$B$22*(Inputs!$B$23/Inputs!$B$22)^(2/60)</f>
        <v>0.00107977516232771</v>
      </c>
      <c r="D125" s="35" t="n">
        <f aca="false">(B125+C125)/2</f>
        <v>0.00105944873308144</v>
      </c>
      <c r="E125" s="35" t="n">
        <f aca="false">C125-B125</f>
        <v>4.06528584925405E-005</v>
      </c>
      <c r="F125" s="35" t="n">
        <f aca="false">Inputs!$B$16*E125</f>
        <v>92.0543327705087</v>
      </c>
      <c r="G125" s="35" t="n">
        <f aca="false">IF(D125&lt;=Inputs!$B$21,1,IF(D125&lt;=Inputs!$B$22,2,IF(D125&lt;=Inputs!$B$23,3,IF(D125&lt;=Inputs!$B$24,4,5))))</f>
        <v>3</v>
      </c>
      <c r="H125" s="35" t="n">
        <f aca="false">Fit!$B$10*D125^(-1/Fit!$B$9)</f>
        <v>2396.37081990863</v>
      </c>
      <c r="I125" s="35" t="n">
        <f aca="false">EXP(Fit!$B$16+Fit!$B$15*-NORMSINV(D125))</f>
        <v>534.516053568216</v>
      </c>
      <c r="J125" s="35" t="n">
        <f aca="false">Fit!$B$22*LN(1/D125)^(1/Fit!$B$21)</f>
        <v>319.44490692261</v>
      </c>
      <c r="K125" s="35" t="n">
        <f aca="false">MAX(0,Fit!$B$28+Fit!$B$27*-NORMSINV(D125))</f>
        <v>234.832497874944</v>
      </c>
      <c r="L125" s="35" t="n">
        <f aca="false">INDEX(H125:K125,1,Inputs!$B$5)</f>
        <v>2396.37081990863</v>
      </c>
      <c r="M125" s="35" t="n">
        <f aca="false">L125*E125</f>
        <v>0.0974193238373985</v>
      </c>
      <c r="N125" s="35" t="n">
        <f aca="false">L125^$AB$7</f>
        <v>2396.37081990863</v>
      </c>
      <c r="O125" s="35" t="n">
        <f aca="false">N125*E125</f>
        <v>0.0974193238373985</v>
      </c>
      <c r="P125" s="35" t="n">
        <f aca="false">N125*$AB$3/($AB$4*$AB$1)</f>
        <v>16161018.4615125</v>
      </c>
      <c r="Q125" s="35" t="n">
        <f aca="false">IF(G125&lt;=3,F125*SQRT(P125),0)</f>
        <v>370065.49877192</v>
      </c>
      <c r="R125" s="35" t="n">
        <f aca="false">SQRT(P125/$AB$6)</f>
        <v>1857427595.69059</v>
      </c>
      <c r="S125" s="35" t="n">
        <f aca="false">2*$AB$6*R125</f>
        <v>0.0174015057157625</v>
      </c>
      <c r="T125" s="35" t="n">
        <f aca="false">IF(G125&lt;=3,F125*R125,0)</f>
        <v>170984257990.828</v>
      </c>
      <c r="U125" s="35" t="n">
        <f aca="false">F125*P125</f>
        <v>1487691771.3664</v>
      </c>
      <c r="V125" s="35" t="n">
        <f aca="false">H125^$AB$7*E125</f>
        <v>0.0974193238373985</v>
      </c>
      <c r="W125" s="35" t="n">
        <f aca="false">I125^$AB$7*E125</f>
        <v>0.0217296054876999</v>
      </c>
      <c r="X125" s="35" t="n">
        <f aca="false">J125^$AB$7*E125</f>
        <v>0.0129863485972876</v>
      </c>
      <c r="Y125" s="35" t="n">
        <f aca="false">K125^$AB$7*E125</f>
        <v>0.0095466123055599</v>
      </c>
    </row>
    <row r="126" customFormat="false" ht="15" hidden="false" customHeight="false" outlineLevel="0" collapsed="false">
      <c r="A126" s="35" t="n">
        <v>124</v>
      </c>
      <c r="B126" s="35" t="n">
        <f aca="false">C125</f>
        <v>0.00107977516232771</v>
      </c>
      <c r="C126" s="35" t="n">
        <f aca="false">Inputs!$B$22*(Inputs!$B$23/Inputs!$B$22)^(3/60)</f>
        <v>0.00112201845430196</v>
      </c>
      <c r="D126" s="35" t="n">
        <f aca="false">(B126+C126)/2</f>
        <v>0.00110089680831484</v>
      </c>
      <c r="E126" s="35" t="n">
        <f aca="false">C126-B126</f>
        <v>4.22432919742538E-005</v>
      </c>
      <c r="F126" s="35" t="n">
        <f aca="false">Inputs!$B$16*E126</f>
        <v>95.6557103465002</v>
      </c>
      <c r="G126" s="35" t="n">
        <f aca="false">IF(D126&lt;=Inputs!$B$21,1,IF(D126&lt;=Inputs!$B$22,2,IF(D126&lt;=Inputs!$B$23,3,IF(D126&lt;=Inputs!$B$24,4,5))))</f>
        <v>3</v>
      </c>
      <c r="H126" s="35" t="n">
        <f aca="false">Fit!$B$10*D126^(-1/Fit!$B$9)</f>
        <v>2337.0632643426</v>
      </c>
      <c r="I126" s="35" t="n">
        <f aca="false">EXP(Fit!$B$16+Fit!$B$15*-NORMSINV(D126))</f>
        <v>529.511630895967</v>
      </c>
      <c r="J126" s="35" t="n">
        <f aca="false">Fit!$B$22*LN(1/D126)^(1/Fit!$B$21)</f>
        <v>317.877654703869</v>
      </c>
      <c r="K126" s="35" t="n">
        <f aca="false">MAX(0,Fit!$B$28+Fit!$B$27*-NORMSINV(D126))</f>
        <v>234.116473121085</v>
      </c>
      <c r="L126" s="35" t="n">
        <f aca="false">INDEX(H126:K126,1,Inputs!$B$5)</f>
        <v>2337.0632643426</v>
      </c>
      <c r="M126" s="35" t="n">
        <f aca="false">L126*E126</f>
        <v>0.0987252458379271</v>
      </c>
      <c r="N126" s="35" t="n">
        <f aca="false">L126^$AB$7</f>
        <v>2337.0632643426</v>
      </c>
      <c r="O126" s="35" t="n">
        <f aca="false">N126*E126</f>
        <v>0.0987252458379271</v>
      </c>
      <c r="P126" s="35" t="n">
        <f aca="false">N126*$AB$3/($AB$4*$AB$1)</f>
        <v>15761050.9387706</v>
      </c>
      <c r="Q126" s="35" t="n">
        <f aca="false">IF(G126&lt;=3,F126*SQRT(P126),0)</f>
        <v>379754.988478724</v>
      </c>
      <c r="R126" s="35" t="n">
        <f aca="false">SQRT(P126/$AB$6)</f>
        <v>1834298946.71527</v>
      </c>
      <c r="S126" s="35" t="n">
        <f aca="false">2*$AB$6*R126</f>
        <v>0.0171848225361459</v>
      </c>
      <c r="T126" s="35" t="n">
        <f aca="false">IF(G126&lt;=3,F126*R126,0)</f>
        <v>175461168735.886</v>
      </c>
      <c r="U126" s="35" t="n">
        <f aca="false">F126*P126</f>
        <v>1507634523.35548</v>
      </c>
      <c r="V126" s="35" t="n">
        <f aca="false">H126^$AB$7*E126</f>
        <v>0.0987252458379271</v>
      </c>
      <c r="W126" s="35" t="n">
        <f aca="false">I126^$AB$7*E126</f>
        <v>0.0223683144277016</v>
      </c>
      <c r="X126" s="35" t="n">
        <f aca="false">J126^$AB$7*E126</f>
        <v>0.0134281985797466</v>
      </c>
      <c r="Y126" s="35" t="n">
        <f aca="false">K126^$AB$7*E126</f>
        <v>0.00988985053003652</v>
      </c>
    </row>
    <row r="127" customFormat="false" ht="15" hidden="false" customHeight="false" outlineLevel="0" collapsed="false">
      <c r="A127" s="35" t="n">
        <v>125</v>
      </c>
      <c r="B127" s="35" t="n">
        <f aca="false">C126</f>
        <v>0.00112201845430196</v>
      </c>
      <c r="C127" s="35" t="n">
        <f aca="false">Inputs!$B$22*(Inputs!$B$23/Inputs!$B$22)^(4/60)</f>
        <v>0.00116591440117983</v>
      </c>
      <c r="D127" s="35" t="n">
        <f aca="false">(B127+C127)/2</f>
        <v>0.0011439664277409</v>
      </c>
      <c r="E127" s="35" t="n">
        <f aca="false">C127-B127</f>
        <v>4.38959468778682E-005</v>
      </c>
      <c r="F127" s="35" t="n">
        <f aca="false">Inputs!$B$16*E127</f>
        <v>99.3979821102447</v>
      </c>
      <c r="G127" s="35" t="n">
        <f aca="false">IF(D127&lt;=Inputs!$B$21,1,IF(D127&lt;=Inputs!$B$22,2,IF(D127&lt;=Inputs!$B$23,3,IF(D127&lt;=Inputs!$B$24,4,5))))</f>
        <v>3</v>
      </c>
      <c r="H127" s="35" t="n">
        <f aca="false">Fit!$B$10*D127^(-1/Fit!$B$9)</f>
        <v>2279.22350587959</v>
      </c>
      <c r="I127" s="35" t="n">
        <f aca="false">EXP(Fit!$B$16+Fit!$B$15*-NORMSINV(D127))</f>
        <v>524.53823164151</v>
      </c>
      <c r="J127" s="35" t="n">
        <f aca="false">Fit!$B$22*LN(1/D127)^(1/Fit!$B$21)</f>
        <v>316.309302093489</v>
      </c>
      <c r="K127" s="35" t="n">
        <f aca="false">MAX(0,Fit!$B$28+Fit!$B$27*-NORMSINV(D127))</f>
        <v>233.398151115607</v>
      </c>
      <c r="L127" s="35" t="n">
        <f aca="false">INDEX(H127:K127,1,Inputs!$B$5)</f>
        <v>2279.22350587959</v>
      </c>
      <c r="M127" s="35" t="n">
        <f aca="false">L127*E127</f>
        <v>0.100048673936879</v>
      </c>
      <c r="N127" s="35" t="n">
        <f aca="false">L127^$AB$7</f>
        <v>2279.22350587959</v>
      </c>
      <c r="O127" s="35" t="n">
        <f aca="false">N127*E127</f>
        <v>0.100048673936879</v>
      </c>
      <c r="P127" s="35" t="n">
        <f aca="false">N127*$AB$3/($AB$4*$AB$1)</f>
        <v>15370982.1745525</v>
      </c>
      <c r="Q127" s="35" t="n">
        <f aca="false">IF(G127&lt;=3,F127*SQRT(P127),0)</f>
        <v>389698.179789944</v>
      </c>
      <c r="R127" s="35" t="n">
        <f aca="false">SQRT(P127/$AB$6)</f>
        <v>1811458295.1858</v>
      </c>
      <c r="S127" s="35" t="n">
        <f aca="false">2*$AB$6*R127</f>
        <v>0.0169708374908801</v>
      </c>
      <c r="T127" s="35" t="n">
        <f aca="false">IF(G127&lt;=3,F127*R127,0)</f>
        <v>180055299218.333</v>
      </c>
      <c r="U127" s="35" t="n">
        <f aca="false">F127*P127</f>
        <v>1527844611.20306</v>
      </c>
      <c r="V127" s="35" t="n">
        <f aca="false">H127^$AB$7*E127</f>
        <v>0.100048673936879</v>
      </c>
      <c r="W127" s="35" t="n">
        <f aca="false">I127^$AB$7*E127</f>
        <v>0.0230251023515466</v>
      </c>
      <c r="X127" s="35" t="n">
        <f aca="false">J127^$AB$7*E127</f>
        <v>0.0138846963216714</v>
      </c>
      <c r="Y127" s="35" t="n">
        <f aca="false">K127^$AB$7*E127</f>
        <v>0.0102452328427633</v>
      </c>
    </row>
    <row r="128" customFormat="false" ht="15" hidden="false" customHeight="false" outlineLevel="0" collapsed="false">
      <c r="A128" s="35" t="n">
        <v>126</v>
      </c>
      <c r="B128" s="35" t="n">
        <f aca="false">C127</f>
        <v>0.00116591440117983</v>
      </c>
      <c r="C128" s="35" t="n">
        <f aca="false">Inputs!$B$22*(Inputs!$B$23/Inputs!$B$22)^(5/60)</f>
        <v>0.00121152765862859</v>
      </c>
      <c r="D128" s="35" t="n">
        <f aca="false">(B128+C128)/2</f>
        <v>0.00118872102990421</v>
      </c>
      <c r="E128" s="35" t="n">
        <f aca="false">C128-B128</f>
        <v>4.56132574487567E-005</v>
      </c>
      <c r="F128" s="35" t="n">
        <f aca="false">Inputs!$B$16*E128</f>
        <v>103.286660166965</v>
      </c>
      <c r="G128" s="35" t="n">
        <f aca="false">IF(D128&lt;=Inputs!$B$21,1,IF(D128&lt;=Inputs!$B$22,2,IF(D128&lt;=Inputs!$B$23,3,IF(D128&lt;=Inputs!$B$24,4,5))))</f>
        <v>3</v>
      </c>
      <c r="H128" s="35" t="n">
        <f aca="false">Fit!$B$10*D128^(-1/Fit!$B$9)</f>
        <v>2222.81521814744</v>
      </c>
      <c r="I128" s="35" t="n">
        <f aca="false">EXP(Fit!$B$16+Fit!$B$15*-NORMSINV(D128))</f>
        <v>519.595717271724</v>
      </c>
      <c r="J128" s="35" t="n">
        <f aca="false">Fit!$B$22*LN(1/D128)^(1/Fit!$B$21)</f>
        <v>314.739842077535</v>
      </c>
      <c r="K128" s="35" t="n">
        <f aca="false">MAX(0,Fit!$B$28+Fit!$B$27*-NORMSINV(D128))</f>
        <v>232.677510480968</v>
      </c>
      <c r="L128" s="35" t="n">
        <f aca="false">INDEX(H128:K128,1,Inputs!$B$5)</f>
        <v>2222.81521814744</v>
      </c>
      <c r="M128" s="35" t="n">
        <f aca="false">L128*E128</f>
        <v>0.101389842806373</v>
      </c>
      <c r="N128" s="35" t="n">
        <f aca="false">L128^$AB$7</f>
        <v>2222.81521814744</v>
      </c>
      <c r="O128" s="35" t="n">
        <f aca="false">N128*E128</f>
        <v>0.101389842806373</v>
      </c>
      <c r="P128" s="35" t="n">
        <f aca="false">N128*$AB$3/($AB$4*$AB$1)</f>
        <v>14990567.1854164</v>
      </c>
      <c r="Q128" s="35" t="n">
        <f aca="false">IF(G128&lt;=3,F128*SQRT(P128),0)</f>
        <v>399901.715419084</v>
      </c>
      <c r="R128" s="35" t="n">
        <f aca="false">SQRT(P128/$AB$6)</f>
        <v>1788902054.96412</v>
      </c>
      <c r="S128" s="35" t="n">
        <f aca="false">2*$AB$6*R128</f>
        <v>0.0167595169828536</v>
      </c>
      <c r="T128" s="35" t="n">
        <f aca="false">IF(G128&lt;=3,F128*R128,0)</f>
        <v>184769718623.063</v>
      </c>
      <c r="U128" s="35" t="n">
        <f aca="false">F128*P128</f>
        <v>1548325618.59015</v>
      </c>
      <c r="V128" s="35" t="n">
        <f aca="false">H128^$AB$7*E128</f>
        <v>0.101389842806373</v>
      </c>
      <c r="W128" s="35" t="n">
        <f aca="false">I128^$AB$7*E128</f>
        <v>0.0237004532211865</v>
      </c>
      <c r="X128" s="35" t="n">
        <f aca="false">J128^$AB$7*E128</f>
        <v>0.0143563094460636</v>
      </c>
      <c r="Y128" s="35" t="n">
        <f aca="false">K128^$AB$7*E128</f>
        <v>0.0106131791881042</v>
      </c>
    </row>
    <row r="129" customFormat="false" ht="15" hidden="false" customHeight="false" outlineLevel="0" collapsed="false">
      <c r="A129" s="35" t="n">
        <v>127</v>
      </c>
      <c r="B129" s="35" t="n">
        <f aca="false">C128</f>
        <v>0.00121152765862859</v>
      </c>
      <c r="C129" s="35" t="n">
        <f aca="false">Inputs!$B$22*(Inputs!$B$23/Inputs!$B$22)^(6/60)</f>
        <v>0.00125892541179417</v>
      </c>
      <c r="D129" s="35" t="n">
        <f aca="false">(B129+C129)/2</f>
        <v>0.00123522653521138</v>
      </c>
      <c r="E129" s="35" t="n">
        <f aca="false">C129-B129</f>
        <v>4.7397753165579E-005</v>
      </c>
      <c r="F129" s="35" t="n">
        <f aca="false">Inputs!$B$16*E129</f>
        <v>107.327472268137</v>
      </c>
      <c r="G129" s="35" t="n">
        <f aca="false">IF(D129&lt;=Inputs!$B$21,1,IF(D129&lt;=Inputs!$B$22,2,IF(D129&lt;=Inputs!$B$23,3,IF(D129&lt;=Inputs!$B$24,4,5))))</f>
        <v>3</v>
      </c>
      <c r="H129" s="35" t="n">
        <f aca="false">Fit!$B$10*D129^(-1/Fit!$B$9)</f>
        <v>2167.80297381194</v>
      </c>
      <c r="I129" s="35" t="n">
        <f aca="false">EXP(Fit!$B$16+Fit!$B$15*-NORMSINV(D129))</f>
        <v>514.683949694695</v>
      </c>
      <c r="J129" s="35" t="n">
        <f aca="false">Fit!$B$22*LN(1/D129)^(1/Fit!$B$21)</f>
        <v>313.169267557129</v>
      </c>
      <c r="K129" s="35" t="n">
        <f aca="false">MAX(0,Fit!$B$28+Fit!$B$27*-NORMSINV(D129))</f>
        <v>231.954529512698</v>
      </c>
      <c r="L129" s="35" t="n">
        <f aca="false">INDEX(H129:K129,1,Inputs!$B$5)</f>
        <v>2167.80297381194</v>
      </c>
      <c r="M129" s="35" t="n">
        <f aca="false">L129*E129</f>
        <v>0.102748990264346</v>
      </c>
      <c r="N129" s="35" t="n">
        <f aca="false">L129^$AB$7</f>
        <v>2167.80297381194</v>
      </c>
      <c r="O129" s="35" t="n">
        <f aca="false">N129*E129</f>
        <v>0.102748990264346</v>
      </c>
      <c r="P129" s="35" t="n">
        <f aca="false">N129*$AB$3/($AB$4*$AB$1)</f>
        <v>14619567.0509926</v>
      </c>
      <c r="Q129" s="35" t="n">
        <f aca="false">IF(G129&lt;=3,F129*SQRT(P129),0)</f>
        <v>410372.412006975</v>
      </c>
      <c r="R129" s="35" t="n">
        <f aca="false">SQRT(P129/$AB$6)</f>
        <v>1766626684.56664</v>
      </c>
      <c r="S129" s="35" t="n">
        <f aca="false">2*$AB$6*R129</f>
        <v>0.0165508278333052</v>
      </c>
      <c r="T129" s="35" t="n">
        <f aca="false">IF(G129&lt;=3,F129*R129,0)</f>
        <v>189607576495.977</v>
      </c>
      <c r="U129" s="35" t="n">
        <f aca="false">F129*P129</f>
        <v>1569081177.23758</v>
      </c>
      <c r="V129" s="35" t="n">
        <f aca="false">H129^$AB$7*E129</f>
        <v>0.102748990264346</v>
      </c>
      <c r="W129" s="35" t="n">
        <f aca="false">I129^$AB$7*E129</f>
        <v>0.0243948628059144</v>
      </c>
      <c r="X129" s="35" t="n">
        <f aca="false">J129^$AB$7*E129</f>
        <v>0.014843519642718</v>
      </c>
      <c r="Y129" s="35" t="n">
        <f aca="false">K129^$AB$7*E129</f>
        <v>0.0109941235354808</v>
      </c>
    </row>
    <row r="130" customFormat="false" ht="15" hidden="false" customHeight="false" outlineLevel="0" collapsed="false">
      <c r="A130" s="35" t="n">
        <v>128</v>
      </c>
      <c r="B130" s="35" t="n">
        <f aca="false">C129</f>
        <v>0.00125892541179417</v>
      </c>
      <c r="C130" s="35" t="n">
        <f aca="false">Inputs!$B$22*(Inputs!$B$23/Inputs!$B$22)^(7/60)</f>
        <v>0.00130817747426019</v>
      </c>
      <c r="D130" s="35" t="n">
        <f aca="false">(B130+C130)/2</f>
        <v>0.00128355144302718</v>
      </c>
      <c r="E130" s="35" t="n">
        <f aca="false">C130-B130</f>
        <v>4.9252062466027E-005</v>
      </c>
      <c r="F130" s="35" t="n">
        <f aca="false">Inputs!$B$16*E130</f>
        <v>111.526370248072</v>
      </c>
      <c r="G130" s="35" t="n">
        <f aca="false">IF(D130&lt;=Inputs!$B$21,1,IF(D130&lt;=Inputs!$B$22,2,IF(D130&lt;=Inputs!$B$23,3,IF(D130&lt;=Inputs!$B$24,4,5))))</f>
        <v>3</v>
      </c>
      <c r="H130" s="35" t="n">
        <f aca="false">Fit!$B$10*D130^(-1/Fit!$B$9)</f>
        <v>2114.15222232663</v>
      </c>
      <c r="I130" s="35" t="n">
        <f aca="false">EXP(Fit!$B$16+Fit!$B$15*-NORMSINV(D130))</f>
        <v>509.802791257846</v>
      </c>
      <c r="J130" s="35" t="n">
        <f aca="false">Fit!$B$22*LN(1/D130)^(1/Fit!$B$21)</f>
        <v>311.597571346926</v>
      </c>
      <c r="K130" s="35" t="n">
        <f aca="false">MAX(0,Fit!$B$28+Fit!$B$27*-NORMSINV(D130))</f>
        <v>231.229186172444</v>
      </c>
      <c r="L130" s="35" t="n">
        <f aca="false">INDEX(H130:K130,1,Inputs!$B$5)</f>
        <v>2114.15222232663</v>
      </c>
      <c r="M130" s="35" t="n">
        <f aca="false">L130*E130</f>
        <v>0.104126357316721</v>
      </c>
      <c r="N130" s="35" t="n">
        <f aca="false">L130^$AB$7</f>
        <v>2114.15222232663</v>
      </c>
      <c r="O130" s="35" t="n">
        <f aca="false">N130*E130</f>
        <v>0.104126357316721</v>
      </c>
      <c r="P130" s="35" t="n">
        <f aca="false">N130*$AB$3/($AB$4*$AB$1)</f>
        <v>14257748.7639292</v>
      </c>
      <c r="Q130" s="35" t="n">
        <f aca="false">IF(G130&lt;=3,F130*SQRT(P130),0)</f>
        <v>421117.264675739</v>
      </c>
      <c r="R130" s="35" t="n">
        <f aca="false">SQRT(P130/$AB$6)</f>
        <v>1744628686.60829</v>
      </c>
      <c r="S130" s="35" t="n">
        <f aca="false">2*$AB$6*R130</f>
        <v>0.016344737276615</v>
      </c>
      <c r="T130" s="35" t="n">
        <f aca="false">IF(G130&lt;=3,F130*R130,0)</f>
        <v>194572104848.083</v>
      </c>
      <c r="U130" s="35" t="n">
        <f aca="false">F130*P130</f>
        <v>1590114967.54996</v>
      </c>
      <c r="V130" s="35" t="n">
        <f aca="false">H130^$AB$7*E130</f>
        <v>0.104126357316721</v>
      </c>
      <c r="W130" s="35" t="n">
        <f aca="false">I130^$AB$7*E130</f>
        <v>0.0251088389203863</v>
      </c>
      <c r="X130" s="35" t="n">
        <f aca="false">J130^$AB$7*E130</f>
        <v>0.0153468230482411</v>
      </c>
      <c r="Y130" s="35" t="n">
        <f aca="false">K130^$AB$7*E130</f>
        <v>0.0113885143213338</v>
      </c>
    </row>
    <row r="131" customFormat="false" ht="15" hidden="false" customHeight="false" outlineLevel="0" collapsed="false">
      <c r="A131" s="35" t="n">
        <v>129</v>
      </c>
      <c r="B131" s="35" t="n">
        <f aca="false">C130</f>
        <v>0.00130817747426019</v>
      </c>
      <c r="C131" s="35" t="n">
        <f aca="false">Inputs!$B$22*(Inputs!$B$23/Inputs!$B$22)^(8/60)</f>
        <v>0.00135935639087853</v>
      </c>
      <c r="D131" s="35" t="n">
        <f aca="false">(B131+C131)/2</f>
        <v>0.00133376693256936</v>
      </c>
      <c r="E131" s="35" t="n">
        <f aca="false">C131-B131</f>
        <v>5.11789166183314E-005</v>
      </c>
      <c r="F131" s="35" t="n">
        <f aca="false">Inputs!$B$16*E131</f>
        <v>115.88953879055</v>
      </c>
      <c r="G131" s="35" t="n">
        <f aca="false">IF(D131&lt;=Inputs!$B$21,1,IF(D131&lt;=Inputs!$B$22,2,IF(D131&lt;=Inputs!$B$23,3,IF(D131&lt;=Inputs!$B$24,4,5))))</f>
        <v>3</v>
      </c>
      <c r="H131" s="35" t="n">
        <f aca="false">Fit!$B$10*D131^(-1/Fit!$B$9)</f>
        <v>2061.82926823331</v>
      </c>
      <c r="I131" s="35" t="n">
        <f aca="false">EXP(Fit!$B$16+Fit!$B$15*-NORMSINV(D131))</f>
        <v>504.952104746042</v>
      </c>
      <c r="J131" s="35" t="n">
        <f aca="false">Fit!$B$22*LN(1/D131)^(1/Fit!$B$21)</f>
        <v>310.024746173561</v>
      </c>
      <c r="K131" s="35" t="n">
        <f aca="false">MAX(0,Fit!$B$28+Fit!$B$27*-NORMSINV(D131))</f>
        <v>230.501458080829</v>
      </c>
      <c r="L131" s="35" t="n">
        <f aca="false">INDEX(H131:K131,1,Inputs!$B$5)</f>
        <v>2061.82926823331</v>
      </c>
      <c r="M131" s="35" t="n">
        <f aca="false">L131*E131</f>
        <v>0.105522188200148</v>
      </c>
      <c r="N131" s="35" t="n">
        <f aca="false">L131^$AB$7</f>
        <v>2061.82926823331</v>
      </c>
      <c r="O131" s="35" t="n">
        <f aca="false">N131*E131</f>
        <v>0.105522188200148</v>
      </c>
      <c r="P131" s="35" t="n">
        <f aca="false">N131*$AB$3/($AB$4*$AB$1)</f>
        <v>13904885.0835514</v>
      </c>
      <c r="Q131" s="35" t="n">
        <f aca="false">IF(G131&lt;=3,F131*SQRT(P131),0)</f>
        <v>432143.451702017</v>
      </c>
      <c r="R131" s="35" t="n">
        <f aca="false">SQRT(P131/$AB$6)</f>
        <v>1722904607.25335</v>
      </c>
      <c r="S131" s="35" t="n">
        <f aca="false">2*$AB$6*R131</f>
        <v>0.01614121295516</v>
      </c>
      <c r="T131" s="35" t="n">
        <f aca="false">IF(G131&lt;=3,F131*R131,0)</f>
        <v>199666620314.704</v>
      </c>
      <c r="U131" s="35" t="n">
        <f aca="false">F131*P131</f>
        <v>1611430719.26836</v>
      </c>
      <c r="V131" s="35" t="n">
        <f aca="false">H131^$AB$7*E131</f>
        <v>0.105522188200148</v>
      </c>
      <c r="W131" s="35" t="n">
        <f aca="false">I131^$AB$7*E131</f>
        <v>0.0258429016650486</v>
      </c>
      <c r="X131" s="35" t="n">
        <f aca="false">J131^$AB$7*E131</f>
        <v>0.015866730634036</v>
      </c>
      <c r="Y131" s="35" t="n">
        <f aca="false">K131^$AB$7*E131</f>
        <v>0.0117968149035225</v>
      </c>
    </row>
    <row r="132" customFormat="false" ht="15" hidden="false" customHeight="false" outlineLevel="0" collapsed="false">
      <c r="A132" s="35" t="n">
        <v>130</v>
      </c>
      <c r="B132" s="35" t="n">
        <f aca="false">C131</f>
        <v>0.00135935639087853</v>
      </c>
      <c r="C132" s="35" t="n">
        <f aca="false">Inputs!$B$22*(Inputs!$B$23/Inputs!$B$22)^(9/60)</f>
        <v>0.00141253754462275</v>
      </c>
      <c r="D132" s="35" t="n">
        <f aca="false">(B132+C132)/2</f>
        <v>0.00138594696775064</v>
      </c>
      <c r="E132" s="35" t="n">
        <f aca="false">C132-B132</f>
        <v>5.31811537442287E-005</v>
      </c>
      <c r="F132" s="35" t="n">
        <f aca="false">Inputs!$B$16*E132</f>
        <v>120.423404538432</v>
      </c>
      <c r="G132" s="35" t="n">
        <f aca="false">IF(D132&lt;=Inputs!$B$21,1,IF(D132&lt;=Inputs!$B$22,2,IF(D132&lt;=Inputs!$B$23,3,IF(D132&lt;=Inputs!$B$24,4,5))))</f>
        <v>3</v>
      </c>
      <c r="H132" s="35" t="n">
        <f aca="false">Fit!$B$10*D132^(-1/Fit!$B$9)</f>
        <v>2010.80124999944</v>
      </c>
      <c r="I132" s="35" t="n">
        <f aca="false">EXP(Fit!$B$16+Fit!$B$15*-NORMSINV(D132))</f>
        <v>500.131753379696</v>
      </c>
      <c r="J132" s="35" t="n">
        <f aca="false">Fit!$B$22*LN(1/D132)^(1/Fit!$B$21)</f>
        <v>308.450784674048</v>
      </c>
      <c r="K132" s="35" t="n">
        <f aca="false">MAX(0,Fit!$B$28+Fit!$B$27*-NORMSINV(D132))</f>
        <v>229.771322510105</v>
      </c>
      <c r="L132" s="35" t="n">
        <f aca="false">INDEX(H132:K132,1,Inputs!$B$5)</f>
        <v>2010.80124999944</v>
      </c>
      <c r="M132" s="35" t="n">
        <f aca="false">L132*E132</f>
        <v>0.106936730425308</v>
      </c>
      <c r="N132" s="35" t="n">
        <f aca="false">L132^$AB$7</f>
        <v>2010.80124999944</v>
      </c>
      <c r="O132" s="35" t="n">
        <f aca="false">N132*E132</f>
        <v>0.106936730425308</v>
      </c>
      <c r="P132" s="35" t="n">
        <f aca="false">N132*$AB$3/($AB$4*$AB$1)</f>
        <v>13560754.393142</v>
      </c>
      <c r="Q132" s="35" t="n">
        <f aca="false">IF(G132&lt;=3,F132*SQRT(P132),0)</f>
        <v>443458.339312522</v>
      </c>
      <c r="R132" s="35" t="n">
        <f aca="false">SQRT(P132/$AB$6)</f>
        <v>1701451035.67318</v>
      </c>
      <c r="S132" s="35" t="n">
        <f aca="false">2*$AB$6*R132</f>
        <v>0.0159402229142336</v>
      </c>
      <c r="T132" s="35" t="n">
        <f aca="false">IF(G132&lt;=3,F132*R132,0)</f>
        <v>204894526371.205</v>
      </c>
      <c r="U132" s="35" t="n">
        <f aca="false">F132*P132</f>
        <v>1633032212.13166</v>
      </c>
      <c r="V132" s="35" t="n">
        <f aca="false">H132^$AB$7*E132</f>
        <v>0.106936730425308</v>
      </c>
      <c r="W132" s="35" t="n">
        <f aca="false">I132^$AB$7*E132</f>
        <v>0.0265975836688563</v>
      </c>
      <c r="X132" s="35" t="n">
        <f aca="false">J132^$AB$7*E132</f>
        <v>0.0164037686022785</v>
      </c>
      <c r="Y132" s="35" t="n">
        <f aca="false">K132^$AB$7*E132</f>
        <v>0.0122195040284247</v>
      </c>
    </row>
    <row r="133" customFormat="false" ht="15" hidden="false" customHeight="false" outlineLevel="0" collapsed="false">
      <c r="A133" s="35" t="n">
        <v>131</v>
      </c>
      <c r="B133" s="35" t="n">
        <f aca="false">C132</f>
        <v>0.00141253754462275</v>
      </c>
      <c r="C133" s="35" t="n">
        <f aca="false">Inputs!$B$22*(Inputs!$B$23/Inputs!$B$22)^(10/60)</f>
        <v>0.00146779926762207</v>
      </c>
      <c r="D133" s="35" t="n">
        <f aca="false">(B133+C133)/2</f>
        <v>0.00144016840612241</v>
      </c>
      <c r="E133" s="35" t="n">
        <f aca="false">C133-B133</f>
        <v>5.52617229993152E-005</v>
      </c>
      <c r="F133" s="35" t="n">
        <f aca="false">Inputs!$B$16*E133</f>
        <v>125.134645559649</v>
      </c>
      <c r="G133" s="35" t="n">
        <f aca="false">IF(D133&lt;=Inputs!$B$21,1,IF(D133&lt;=Inputs!$B$22,2,IF(D133&lt;=Inputs!$B$23,3,IF(D133&lt;=Inputs!$B$24,4,5))))</f>
        <v>3</v>
      </c>
      <c r="H133" s="35" t="n">
        <f aca="false">Fit!$B$10*D133^(-1/Fit!$B$9)</f>
        <v>1961.0361193795</v>
      </c>
      <c r="I133" s="35" t="n">
        <f aca="false">EXP(Fit!$B$16+Fit!$B$15*-NORMSINV(D133))</f>
        <v>495.341600812839</v>
      </c>
      <c r="J133" s="35" t="n">
        <f aca="false">Fit!$B$22*LN(1/D133)^(1/Fit!$B$21)</f>
        <v>306.875679394152</v>
      </c>
      <c r="K133" s="35" t="n">
        <f aca="false">MAX(0,Fit!$B$28+Fit!$B$27*-NORMSINV(D133))</f>
        <v>229.038756376618</v>
      </c>
      <c r="L133" s="35" t="n">
        <f aca="false">INDEX(H133:K133,1,Inputs!$B$5)</f>
        <v>1961.0361193795</v>
      </c>
      <c r="M133" s="35" t="n">
        <f aca="false">L133*E133</f>
        <v>0.108370234820802</v>
      </c>
      <c r="N133" s="35" t="n">
        <f aca="false">L133^$AB$7</f>
        <v>1961.0361193795</v>
      </c>
      <c r="O133" s="35" t="n">
        <f aca="false">N133*E133</f>
        <v>0.108370234820802</v>
      </c>
      <c r="P133" s="35" t="n">
        <f aca="false">N133*$AB$3/($AB$4*$AB$1)</f>
        <v>13225140.5607556</v>
      </c>
      <c r="Q133" s="35" t="n">
        <f aca="false">IF(G133&lt;=3,F133*SQRT(P133),0)</f>
        <v>455069.48660516</v>
      </c>
      <c r="R133" s="35" t="n">
        <f aca="false">SQRT(P133/$AB$6)</f>
        <v>1680264603.51072</v>
      </c>
      <c r="S133" s="35" t="n">
        <f aca="false">2*$AB$6*R133</f>
        <v>0.0157417355970283</v>
      </c>
      <c r="T133" s="35" t="n">
        <f aca="false">IF(G133&lt;=3,F133*R133,0)</f>
        <v>210259315606.738</v>
      </c>
      <c r="U133" s="35" t="n">
        <f aca="false">F133*P133</f>
        <v>1654923276.5467</v>
      </c>
      <c r="V133" s="35" t="n">
        <f aca="false">H133^$AB$7*E133</f>
        <v>0.108370234820802</v>
      </c>
      <c r="W133" s="35" t="n">
        <f aca="false">I133^$AB$7*E133</f>
        <v>0.0273734303341565</v>
      </c>
      <c r="X133" s="35" t="n">
        <f aca="false">J133^$AB$7*E133</f>
        <v>0.0169584787899063</v>
      </c>
      <c r="Y133" s="35" t="n">
        <f aca="false">K133^$AB$7*E133</f>
        <v>0.0126570763109923</v>
      </c>
    </row>
    <row r="134" customFormat="false" ht="15" hidden="false" customHeight="false" outlineLevel="0" collapsed="false">
      <c r="A134" s="35" t="n">
        <v>132</v>
      </c>
      <c r="B134" s="35" t="n">
        <f aca="false">C133</f>
        <v>0.00146779926762207</v>
      </c>
      <c r="C134" s="35" t="n">
        <f aca="false">Inputs!$B$22*(Inputs!$B$23/Inputs!$B$22)^(11/60)</f>
        <v>0.00152522295653902</v>
      </c>
      <c r="D134" s="35" t="n">
        <f aca="false">(B134+C134)/2</f>
        <v>0.00149651111208054</v>
      </c>
      <c r="E134" s="35" t="n">
        <f aca="false">C134-B134</f>
        <v>5.74236889169493E-005</v>
      </c>
      <c r="F134" s="35" t="n">
        <f aca="false">Inputs!$B$16*E134</f>
        <v>130.03020118354</v>
      </c>
      <c r="G134" s="35" t="n">
        <f aca="false">IF(D134&lt;=Inputs!$B$21,1,IF(D134&lt;=Inputs!$B$22,2,IF(D134&lt;=Inputs!$B$23,3,IF(D134&lt;=Inputs!$B$24,4,5))))</f>
        <v>3</v>
      </c>
      <c r="H134" s="35" t="n">
        <f aca="false">Fit!$B$10*D134^(-1/Fit!$B$9)</f>
        <v>1912.50262128694</v>
      </c>
      <c r="I134" s="35" t="n">
        <f aca="false">EXP(Fit!$B$16+Fit!$B$15*-NORMSINV(D134))</f>
        <v>490.581511131184</v>
      </c>
      <c r="J134" s="35" t="n">
        <f aca="false">Fit!$B$22*LN(1/D134)^(1/Fit!$B$21)</f>
        <v>305.299422786713</v>
      </c>
      <c r="K134" s="35" t="n">
        <f aca="false">MAX(0,Fit!$B$28+Fit!$B$27*-NORMSINV(D134))</f>
        <v>228.303736233048</v>
      </c>
      <c r="L134" s="35" t="n">
        <f aca="false">INDEX(H134:K134,1,Inputs!$B$5)</f>
        <v>1912.50262128694</v>
      </c>
      <c r="M134" s="35" t="n">
        <f aca="false">L134*E134</f>
        <v>0.109822955577632</v>
      </c>
      <c r="N134" s="35" t="n">
        <f aca="false">L134^$AB$7</f>
        <v>1912.50262128694</v>
      </c>
      <c r="O134" s="35" t="n">
        <f aca="false">N134*E134</f>
        <v>0.109822955577632</v>
      </c>
      <c r="P134" s="35" t="n">
        <f aca="false">N134*$AB$3/($AB$4*$AB$1)</f>
        <v>12897832.8034756</v>
      </c>
      <c r="Q134" s="35" t="n">
        <f aca="false">IF(G134&lt;=3,F134*SQRT(P134),0)</f>
        <v>466984.650599031</v>
      </c>
      <c r="R134" s="35" t="n">
        <f aca="false">SQRT(P134/$AB$6)</f>
        <v>1659341984.35161</v>
      </c>
      <c r="S134" s="35" t="n">
        <f aca="false">2*$AB$6*R134</f>
        <v>0.0155457198396815</v>
      </c>
      <c r="T134" s="35" t="n">
        <f aca="false">IF(G134&lt;=3,F134*R134,0)</f>
        <v>215764572057.534</v>
      </c>
      <c r="U134" s="35" t="n">
        <f aca="false">F134*P134</f>
        <v>1677107794.2676</v>
      </c>
      <c r="V134" s="35" t="n">
        <f aca="false">H134^$AB$7*E134</f>
        <v>0.109822955577632</v>
      </c>
      <c r="W134" s="35" t="n">
        <f aca="false">I134^$AB$7*E134</f>
        <v>0.0281710000836041</v>
      </c>
      <c r="X134" s="35" t="n">
        <f aca="false">J134^$AB$7*E134</f>
        <v>0.0175314190806284</v>
      </c>
      <c r="Y134" s="35" t="n">
        <f aca="false">K134^$AB$7*E134</f>
        <v>0.0131100427280238</v>
      </c>
    </row>
    <row r="135" customFormat="false" ht="15" hidden="false" customHeight="false" outlineLevel="0" collapsed="false">
      <c r="A135" s="35" t="n">
        <v>133</v>
      </c>
      <c r="B135" s="35" t="n">
        <f aca="false">C134</f>
        <v>0.00152522295653902</v>
      </c>
      <c r="C135" s="35" t="n">
        <f aca="false">Inputs!$B$22*(Inputs!$B$23/Inputs!$B$22)^(12/60)</f>
        <v>0.00158489319246111</v>
      </c>
      <c r="D135" s="35" t="n">
        <f aca="false">(B135+C135)/2</f>
        <v>0.00155505807450007</v>
      </c>
      <c r="E135" s="35" t="n">
        <f aca="false">C135-B135</f>
        <v>5.96702359220947E-005</v>
      </c>
      <c r="F135" s="35" t="n">
        <f aca="false">Inputs!$B$16*E135</f>
        <v>135.117282221991</v>
      </c>
      <c r="G135" s="35" t="n">
        <f aca="false">IF(D135&lt;=Inputs!$B$21,1,IF(D135&lt;=Inputs!$B$22,2,IF(D135&lt;=Inputs!$B$23,3,IF(D135&lt;=Inputs!$B$24,4,5))))</f>
        <v>3</v>
      </c>
      <c r="H135" s="35" t="n">
        <f aca="false">Fit!$B$10*D135^(-1/Fit!$B$9)</f>
        <v>1865.17027416445</v>
      </c>
      <c r="I135" s="35" t="n">
        <f aca="false">EXP(Fit!$B$16+Fit!$B$15*-NORMSINV(D135))</f>
        <v>485.851348850167</v>
      </c>
      <c r="J135" s="35" t="n">
        <f aca="false">Fit!$B$22*LN(1/D135)^(1/Fit!$B$21)</f>
        <v>303.722007209931</v>
      </c>
      <c r="K135" s="35" t="n">
        <f aca="false">MAX(0,Fit!$B$28+Fit!$B$27*-NORMSINV(D135))</f>
        <v>227.566238260446</v>
      </c>
      <c r="L135" s="35" t="n">
        <f aca="false">INDEX(H135:K135,1,Inputs!$B$5)</f>
        <v>1865.17027416445</v>
      </c>
      <c r="M135" s="35" t="n">
        <f aca="false">L135*E135</f>
        <v>0.111295150294271</v>
      </c>
      <c r="N135" s="35" t="n">
        <f aca="false">L135^$AB$7</f>
        <v>1865.17027416445</v>
      </c>
      <c r="O135" s="35" t="n">
        <f aca="false">N135*E135</f>
        <v>0.111295150294271</v>
      </c>
      <c r="P135" s="35" t="n">
        <f aca="false">N135*$AB$3/($AB$4*$AB$1)</f>
        <v>12578625.5550321</v>
      </c>
      <c r="Q135" s="35" t="n">
        <f aca="false">IF(G135&lt;=3,F135*SQRT(P135),0)</f>
        <v>479211.791416619</v>
      </c>
      <c r="R135" s="35" t="n">
        <f aca="false">SQRT(P135/$AB$6)</f>
        <v>1638679893.20193</v>
      </c>
      <c r="S135" s="35" t="n">
        <f aca="false">2*$AB$6*R135</f>
        <v>0.0153521448663825</v>
      </c>
      <c r="T135" s="35" t="n">
        <f aca="false">IF(G135&lt;=3,F135*R135,0)</f>
        <v>221413973601.268</v>
      </c>
      <c r="U135" s="35" t="n">
        <f aca="false">F135*P135</f>
        <v>1699589699.08402</v>
      </c>
      <c r="V135" s="35" t="n">
        <f aca="false">H135^$AB$7*E135</f>
        <v>0.111295150294271</v>
      </c>
      <c r="W135" s="35" t="n">
        <f aca="false">I135^$AB$7*E135</f>
        <v>0.0289908646089574</v>
      </c>
      <c r="X135" s="35" t="n">
        <f aca="false">J135^$AB$7*E135</f>
        <v>0.0181231638249488</v>
      </c>
      <c r="Y135" s="35" t="n">
        <f aca="false">K135^$AB$7*E135</f>
        <v>0.0135789311249045</v>
      </c>
    </row>
    <row r="136" customFormat="false" ht="15" hidden="false" customHeight="false" outlineLevel="0" collapsed="false">
      <c r="A136" s="35" t="n">
        <v>134</v>
      </c>
      <c r="B136" s="35" t="n">
        <f aca="false">C135</f>
        <v>0.00158489319246111</v>
      </c>
      <c r="C136" s="35" t="n">
        <f aca="false">Inputs!$B$22*(Inputs!$B$23/Inputs!$B$22)^(13/60)</f>
        <v>0.00164689786548287</v>
      </c>
      <c r="D136" s="35" t="n">
        <f aca="false">(B136+C136)/2</f>
        <v>0.00161589552897199</v>
      </c>
      <c r="E136" s="35" t="n">
        <f aca="false">C136-B136</f>
        <v>6.20046730217549E-005</v>
      </c>
      <c r="F136" s="35" t="n">
        <f aca="false">Inputs!$B$16*E136</f>
        <v>140.403381590462</v>
      </c>
      <c r="G136" s="35" t="n">
        <f aca="false">IF(D136&lt;=Inputs!$B$21,1,IF(D136&lt;=Inputs!$B$22,2,IF(D136&lt;=Inputs!$B$23,3,IF(D136&lt;=Inputs!$B$24,4,5))))</f>
        <v>3</v>
      </c>
      <c r="H136" s="35" t="n">
        <f aca="false">Fit!$B$10*D136^(-1/Fit!$B$9)</f>
        <v>1819.00935083985</v>
      </c>
      <c r="I136" s="35" t="n">
        <f aca="false">EXP(Fit!$B$16+Fit!$B$15*-NORMSINV(D136))</f>
        <v>481.150978912968</v>
      </c>
      <c r="J136" s="35" t="n">
        <f aca="false">Fit!$B$22*LN(1/D136)^(1/Fit!$B$21)</f>
        <v>302.143424925616</v>
      </c>
      <c r="K136" s="35" t="n">
        <f aca="false">MAX(0,Fit!$B$28+Fit!$B$27*-NORMSINV(D136))</f>
        <v>226.82623826004</v>
      </c>
      <c r="L136" s="35" t="n">
        <f aca="false">INDEX(H136:K136,1,Inputs!$B$5)</f>
        <v>1819.00935083985</v>
      </c>
      <c r="M136" s="35" t="n">
        <f aca="false">L136*E136</f>
        <v>0.112787080022339</v>
      </c>
      <c r="N136" s="35" t="n">
        <f aca="false">L136^$AB$7</f>
        <v>1819.00935083985</v>
      </c>
      <c r="O136" s="35" t="n">
        <f aca="false">N136*E136</f>
        <v>0.112787080022339</v>
      </c>
      <c r="P136" s="35" t="n">
        <f aca="false">N136*$AB$3/($AB$4*$AB$1)</f>
        <v>12267318.3366953</v>
      </c>
      <c r="Q136" s="35" t="n">
        <f aca="false">IF(G136&lt;=3,F136*SQRT(P136),0)</f>
        <v>491759.077601682</v>
      </c>
      <c r="R136" s="35" t="n">
        <f aca="false">SQRT(P136/$AB$6)</f>
        <v>1618275085.97245</v>
      </c>
      <c r="S136" s="35" t="n">
        <f aca="false">2*$AB$6*R136</f>
        <v>0.01516098028454</v>
      </c>
      <c r="T136" s="35" t="n">
        <f aca="false">IF(G136&lt;=3,F136*R136,0)</f>
        <v>227211294414.127</v>
      </c>
      <c r="U136" s="35" t="n">
        <f aca="false">F136*P136</f>
        <v>1722372977.5187</v>
      </c>
      <c r="V136" s="35" t="n">
        <f aca="false">H136^$AB$7*E136</f>
        <v>0.112787080022339</v>
      </c>
      <c r="W136" s="35" t="n">
        <f aca="false">I136^$AB$7*E136</f>
        <v>0.0298336091215959</v>
      </c>
      <c r="X136" s="35" t="n">
        <f aca="false">J136^$AB$7*E136</f>
        <v>0.018734304268186</v>
      </c>
      <c r="Y136" s="35" t="n">
        <f aca="false">K136^$AB$7*E136</f>
        <v>0.0140642867360685</v>
      </c>
    </row>
    <row r="137" customFormat="false" ht="15" hidden="false" customHeight="false" outlineLevel="0" collapsed="false">
      <c r="A137" s="35" t="n">
        <v>135</v>
      </c>
      <c r="B137" s="35" t="n">
        <f aca="false">C136</f>
        <v>0.00164689786548287</v>
      </c>
      <c r="C137" s="35" t="n">
        <f aca="false">Inputs!$B$22*(Inputs!$B$23/Inputs!$B$22)^(14/60)</f>
        <v>0.00171132830416178</v>
      </c>
      <c r="D137" s="35" t="n">
        <f aca="false">(B137+C137)/2</f>
        <v>0.00167911308482232</v>
      </c>
      <c r="E137" s="35" t="n">
        <f aca="false">C137-B137</f>
        <v>6.44304386789123E-005</v>
      </c>
      <c r="F137" s="35" t="n">
        <f aca="false">Inputs!$B$16*E137</f>
        <v>145.896285344529</v>
      </c>
      <c r="G137" s="35" t="n">
        <f aca="false">IF(D137&lt;=Inputs!$B$21,1,IF(D137&lt;=Inputs!$B$22,2,IF(D137&lt;=Inputs!$B$23,3,IF(D137&lt;=Inputs!$B$24,4,5))))</f>
        <v>3</v>
      </c>
      <c r="H137" s="35" t="n">
        <f aca="false">Fit!$B$10*D137^(-1/Fit!$B$9)</f>
        <v>1773.99085985598</v>
      </c>
      <c r="I137" s="35" t="n">
        <f aca="false">EXP(Fit!$B$16+Fit!$B$15*-NORMSINV(D137))</f>
        <v>476.480266688516</v>
      </c>
      <c r="J137" s="35" t="n">
        <f aca="false">Fit!$B$22*LN(1/D137)^(1/Fit!$B$21)</f>
        <v>300.563668097383</v>
      </c>
      <c r="K137" s="35" t="n">
        <f aca="false">MAX(0,Fit!$B$28+Fit!$B$27*-NORMSINV(D137))</f>
        <v>226.083711644807</v>
      </c>
      <c r="L137" s="35" t="n">
        <f aca="false">INDEX(H137:K137,1,Inputs!$B$5)</f>
        <v>1773.99085985598</v>
      </c>
      <c r="M137" s="35" t="n">
        <f aca="false">L137*E137</f>
        <v>0.114299009312902</v>
      </c>
      <c r="N137" s="35" t="n">
        <f aca="false">L137^$AB$7</f>
        <v>1773.99085985598</v>
      </c>
      <c r="O137" s="35" t="n">
        <f aca="false">N137*E137</f>
        <v>0.114299009312902</v>
      </c>
      <c r="P137" s="35" t="n">
        <f aca="false">N137*$AB$3/($AB$4*$AB$1)</f>
        <v>11963715.6313646</v>
      </c>
      <c r="Q137" s="35" t="n">
        <f aca="false">IF(G137&lt;=3,F137*SQRT(P137),0)</f>
        <v>504634.8915764</v>
      </c>
      <c r="R137" s="35" t="n">
        <f aca="false">SQRT(P137/$AB$6)</f>
        <v>1598124358.96925</v>
      </c>
      <c r="S137" s="35" t="n">
        <f aca="false">2*$AB$6*R137</f>
        <v>0.0149721960800109</v>
      </c>
      <c r="T137" s="35" t="n">
        <f aca="false">IF(G137&lt;=3,F137*R137,0)</f>
        <v>233160407492.22</v>
      </c>
      <c r="U137" s="35" t="n">
        <f aca="false">F137*P137</f>
        <v>1745461669.53438</v>
      </c>
      <c r="V137" s="35" t="n">
        <f aca="false">H137^$AB$7*E137</f>
        <v>0.114299009312902</v>
      </c>
      <c r="W137" s="35" t="n">
        <f aca="false">I137^$AB$7*E137</f>
        <v>0.0306998326045862</v>
      </c>
      <c r="X137" s="35" t="n">
        <f aca="false">J137^$AB$7*E137</f>
        <v>0.0193654489864574</v>
      </c>
      <c r="Y137" s="35" t="n">
        <f aca="false">K137^$AB$7*E137</f>
        <v>0.0145666727194317</v>
      </c>
    </row>
    <row r="138" customFormat="false" ht="15" hidden="false" customHeight="false" outlineLevel="0" collapsed="false">
      <c r="A138" s="35" t="n">
        <v>136</v>
      </c>
      <c r="B138" s="35" t="n">
        <f aca="false">C137</f>
        <v>0.00171132830416178</v>
      </c>
      <c r="C138" s="35" t="n">
        <f aca="false">Inputs!$B$22*(Inputs!$B$23/Inputs!$B$22)^(15/60)</f>
        <v>0.00177827941003892</v>
      </c>
      <c r="D138" s="35" t="n">
        <f aca="false">(B138+C138)/2</f>
        <v>0.00174480385710035</v>
      </c>
      <c r="E138" s="35" t="n">
        <f aca="false">C138-B138</f>
        <v>6.69511058771419E-005</v>
      </c>
      <c r="F138" s="35" t="n">
        <f aca="false">Inputs!$B$16*E138</f>
        <v>151.6040841482</v>
      </c>
      <c r="G138" s="35" t="n">
        <f aca="false">IF(D138&lt;=Inputs!$B$21,1,IF(D138&lt;=Inputs!$B$22,2,IF(D138&lt;=Inputs!$B$23,3,IF(D138&lt;=Inputs!$B$24,4,5))))</f>
        <v>3</v>
      </c>
      <c r="H138" s="35" t="n">
        <f aca="false">Fit!$B$10*D138^(-1/Fit!$B$9)</f>
        <v>1730.08652726252</v>
      </c>
      <c r="I138" s="35" t="n">
        <f aca="false">EXP(Fit!$B$16+Fit!$B$15*-NORMSINV(D138))</f>
        <v>471.839077969464</v>
      </c>
      <c r="J138" s="35" t="n">
        <f aca="false">Fit!$B$22*LN(1/D138)^(1/Fit!$B$21)</f>
        <v>298.98272878881</v>
      </c>
      <c r="K138" s="35" t="n">
        <f aca="false">MAX(0,Fit!$B$28+Fit!$B$27*-NORMSINV(D138))</f>
        <v>225.338633430813</v>
      </c>
      <c r="L138" s="35" t="n">
        <f aca="false">INDEX(H138:K138,1,Inputs!$B$5)</f>
        <v>1730.08652726252</v>
      </c>
      <c r="M138" s="35" t="n">
        <f aca="false">L138*E138</f>
        <v>0.11583120626337</v>
      </c>
      <c r="N138" s="35" t="n">
        <f aca="false">L138^$AB$7</f>
        <v>1730.08652726252</v>
      </c>
      <c r="O138" s="35" t="n">
        <f aca="false">N138*E138</f>
        <v>0.11583120626337</v>
      </c>
      <c r="P138" s="35" t="n">
        <f aca="false">N138*$AB$3/($AB$4*$AB$1)</f>
        <v>11667626.7607739</v>
      </c>
      <c r="Q138" s="35" t="n">
        <f aca="false">IF(G138&lt;=3,F138*SQRT(P138),0)</f>
        <v>517847.835241372</v>
      </c>
      <c r="R138" s="35" t="n">
        <f aca="false">SQRT(P138/$AB$6)</f>
        <v>1578224548.39075</v>
      </c>
      <c r="S138" s="35" t="n">
        <f aca="false">2*$AB$6*R138</f>
        <v>0.0147857626123873</v>
      </c>
      <c r="T138" s="35" t="n">
        <f aca="false">IF(G138&lt;=3,F138*R138,0)</f>
        <v>239265287238.987</v>
      </c>
      <c r="U138" s="35" t="n">
        <f aca="false">F138*P138</f>
        <v>1768859869.25016</v>
      </c>
      <c r="V138" s="35" t="n">
        <f aca="false">H138^$AB$7*E138</f>
        <v>0.11583120626337</v>
      </c>
      <c r="W138" s="35" t="n">
        <f aca="false">I138^$AB$7*E138</f>
        <v>0.0315901480661066</v>
      </c>
      <c r="X138" s="35" t="n">
        <f aca="false">J138^$AB$7*E138</f>
        <v>0.0200172243305764</v>
      </c>
      <c r="Y138" s="35" t="n">
        <f aca="false">K138^$AB$7*E138</f>
        <v>0.0150866707050368</v>
      </c>
    </row>
    <row r="139" customFormat="false" ht="15" hidden="false" customHeight="false" outlineLevel="0" collapsed="false">
      <c r="A139" s="35" t="n">
        <v>137</v>
      </c>
      <c r="B139" s="35" t="n">
        <f aca="false">C138</f>
        <v>0.00177827941003892</v>
      </c>
      <c r="C139" s="35" t="n">
        <f aca="false">Inputs!$B$22*(Inputs!$B$23/Inputs!$B$22)^(16/60)</f>
        <v>0.00184784979742229</v>
      </c>
      <c r="D139" s="35" t="n">
        <f aca="false">(B139+C139)/2</f>
        <v>0.00181306460373061</v>
      </c>
      <c r="E139" s="35" t="n">
        <f aca="false">C139-B139</f>
        <v>6.95703873833681E-005</v>
      </c>
      <c r="F139" s="35" t="n">
        <f aca="false">Inputs!$B$16*E139</f>
        <v>157.535185190899</v>
      </c>
      <c r="G139" s="35" t="n">
        <f aca="false">IF(D139&lt;=Inputs!$B$21,1,IF(D139&lt;=Inputs!$B$22,2,IF(D139&lt;=Inputs!$B$23,3,IF(D139&lt;=Inputs!$B$24,4,5))))</f>
        <v>3</v>
      </c>
      <c r="H139" s="35" t="n">
        <f aca="false">Fit!$B$10*D139^(-1/Fit!$B$9)</f>
        <v>1687.26877885847</v>
      </c>
      <c r="I139" s="35" t="n">
        <f aca="false">EXP(Fit!$B$16+Fit!$B$15*-NORMSINV(D139))</f>
        <v>467.227278970153</v>
      </c>
      <c r="J139" s="35" t="n">
        <f aca="false">Fit!$B$22*LN(1/D139)^(1/Fit!$B$21)</f>
        <v>297.400598961553</v>
      </c>
      <c r="K139" s="35" t="n">
        <f aca="false">MAX(0,Fit!$B$28+Fit!$B$27*-NORMSINV(D139))</f>
        <v>224.590978228298</v>
      </c>
      <c r="L139" s="35" t="n">
        <f aca="false">INDEX(H139:K139,1,Inputs!$B$5)</f>
        <v>1687.26877885847</v>
      </c>
      <c r="M139" s="35" t="n">
        <f aca="false">L139*E139</f>
        <v>0.117383942565047</v>
      </c>
      <c r="N139" s="35" t="n">
        <f aca="false">L139^$AB$7</f>
        <v>1687.26877885847</v>
      </c>
      <c r="O139" s="35" t="n">
        <f aca="false">N139*E139</f>
        <v>0.117383942565047</v>
      </c>
      <c r="P139" s="35" t="n">
        <f aca="false">N139*$AB$3/($AB$4*$AB$1)</f>
        <v>11378865.7657353</v>
      </c>
      <c r="Q139" s="35" t="n">
        <f aca="false">IF(G139&lt;=3,F139*SQRT(P139),0)</f>
        <v>531406.735722269</v>
      </c>
      <c r="R139" s="35" t="n">
        <f aca="false">SQRT(P139/$AB$6)</f>
        <v>1558572529.83097</v>
      </c>
      <c r="S139" s="35" t="n">
        <f aca="false">2*$AB$6*R139</f>
        <v>0.0146016506103433</v>
      </c>
      <c r="T139" s="35" t="n">
        <f aca="false">IF(G139&lt;=3,F139*R139,0)</f>
        <v>245530012120.369</v>
      </c>
      <c r="U139" s="35" t="n">
        <f aca="false">F139*P139</f>
        <v>1792571725.6675</v>
      </c>
      <c r="V139" s="35" t="n">
        <f aca="false">H139^$AB$7*E139</f>
        <v>0.117383942565047</v>
      </c>
      <c r="W139" s="35" t="n">
        <f aca="false">I139^$AB$7*E139</f>
        <v>0.0325051827940305</v>
      </c>
      <c r="X139" s="35" t="n">
        <f aca="false">J139^$AB$7*E139</f>
        <v>0.0206902748778009</v>
      </c>
      <c r="Y139" s="35" t="n">
        <f aca="false">K139^$AB$7*E139</f>
        <v>0.0156248813581523</v>
      </c>
    </row>
    <row r="140" customFormat="false" ht="15" hidden="false" customHeight="false" outlineLevel="0" collapsed="false">
      <c r="A140" s="35" t="n">
        <v>138</v>
      </c>
      <c r="B140" s="35" t="n">
        <f aca="false">C139</f>
        <v>0.00184784979742229</v>
      </c>
      <c r="C140" s="35" t="n">
        <f aca="false">Inputs!$B$22*(Inputs!$B$23/Inputs!$B$22)^(17/60)</f>
        <v>0.0019201419386388</v>
      </c>
      <c r="D140" s="35" t="n">
        <f aca="false">(B140+C140)/2</f>
        <v>0.00188399586803055</v>
      </c>
      <c r="E140" s="35" t="n">
        <f aca="false">C140-B140</f>
        <v>7.22921412165108E-005</v>
      </c>
      <c r="F140" s="35" t="n">
        <f aca="false">Inputs!$B$16*E140</f>
        <v>163.698324570667</v>
      </c>
      <c r="G140" s="35" t="n">
        <f aca="false">IF(D140&lt;=Inputs!$B$21,1,IF(D140&lt;=Inputs!$B$22,2,IF(D140&lt;=Inputs!$B$23,3,IF(D140&lt;=Inputs!$B$24,4,5))))</f>
        <v>3</v>
      </c>
      <c r="H140" s="35" t="n">
        <f aca="false">Fit!$B$10*D140^(-1/Fit!$B$9)</f>
        <v>1645.51072287414</v>
      </c>
      <c r="I140" s="35" t="n">
        <f aca="false">EXP(Fit!$B$16+Fit!$B$15*-NORMSINV(D140))</f>
        <v>462.644736324541</v>
      </c>
      <c r="J140" s="35" t="n">
        <f aca="false">Fit!$B$22*LN(1/D140)^(1/Fit!$B$21)</f>
        <v>295.817270473401</v>
      </c>
      <c r="K140" s="35" t="n">
        <f aca="false">MAX(0,Fit!$B$28+Fit!$B$27*-NORMSINV(D140))</f>
        <v>223.84072023251</v>
      </c>
      <c r="L140" s="35" t="n">
        <f aca="false">INDEX(H140:K140,1,Inputs!$B$5)</f>
        <v>1645.51072287414</v>
      </c>
      <c r="M140" s="35" t="n">
        <f aca="false">L140*E140</f>
        <v>0.1189574935513</v>
      </c>
      <c r="N140" s="35" t="n">
        <f aca="false">L140^$AB$7</f>
        <v>1645.51072287414</v>
      </c>
      <c r="O140" s="35" t="n">
        <f aca="false">N140*E140</f>
        <v>0.1189574935513</v>
      </c>
      <c r="P140" s="35" t="n">
        <f aca="false">N140*$AB$3/($AB$4*$AB$1)</f>
        <v>11097251.2893475</v>
      </c>
      <c r="Q140" s="35" t="n">
        <f aca="false">IF(G140&lt;=3,F140*SQRT(P140),0)</f>
        <v>545320.651266935</v>
      </c>
      <c r="R140" s="35" t="n">
        <f aca="false">SQRT(P140/$AB$6)</f>
        <v>1539165217.78894</v>
      </c>
      <c r="S140" s="35" t="n">
        <f aca="false">2*$AB$6*R140</f>
        <v>0.0144198311670388</v>
      </c>
      <c r="T140" s="35" t="n">
        <f aca="false">IF(G140&lt;=3,F140*R140,0)</f>
        <v>251958767389.495</v>
      </c>
      <c r="U140" s="35" t="n">
        <f aca="false">F140*P140</f>
        <v>1816601443.40586</v>
      </c>
      <c r="V140" s="35" t="n">
        <f aca="false">H140^$AB$7*E140</f>
        <v>0.1189574935513</v>
      </c>
      <c r="W140" s="35" t="n">
        <f aca="false">I140^$AB$7*E140</f>
        <v>0.0334455786114491</v>
      </c>
      <c r="X140" s="35" t="n">
        <f aca="false">J140^$AB$7*E140</f>
        <v>0.0213852638913459</v>
      </c>
      <c r="Y140" s="35" t="n">
        <f aca="false">K140^$AB$7*E140</f>
        <v>0.0161819249570541</v>
      </c>
    </row>
    <row r="141" customFormat="false" ht="15" hidden="false" customHeight="false" outlineLevel="0" collapsed="false">
      <c r="A141" s="35" t="n">
        <v>139</v>
      </c>
      <c r="B141" s="35" t="n">
        <f aca="false">C140</f>
        <v>0.0019201419386388</v>
      </c>
      <c r="C141" s="35" t="n">
        <f aca="false">Inputs!$B$22*(Inputs!$B$23/Inputs!$B$22)^(18/60)</f>
        <v>0.00199526231496888</v>
      </c>
      <c r="D141" s="35" t="n">
        <f aca="false">(B141+C141)/2</f>
        <v>0.00195770212680384</v>
      </c>
      <c r="E141" s="35" t="n">
        <f aca="false">C141-B141</f>
        <v>7.51203763300777E-005</v>
      </c>
      <c r="F141" s="35" t="n">
        <f aca="false">Inputs!$B$16*E141</f>
        <v>170.102580161828</v>
      </c>
      <c r="G141" s="35" t="n">
        <f aca="false">IF(D141&lt;=Inputs!$B$21,1,IF(D141&lt;=Inputs!$B$22,2,IF(D141&lt;=Inputs!$B$23,3,IF(D141&lt;=Inputs!$B$24,4,5))))</f>
        <v>3</v>
      </c>
      <c r="H141" s="35" t="n">
        <f aca="false">Fit!$B$10*D141^(-1/Fit!$B$9)</f>
        <v>1604.7861330817</v>
      </c>
      <c r="I141" s="35" t="n">
        <f aca="false">EXP(Fit!$B$16+Fit!$B$15*-NORMSINV(D141))</f>
        <v>458.091317084121</v>
      </c>
      <c r="J141" s="35" t="n">
        <f aca="false">Fit!$B$22*LN(1/D141)^(1/Fit!$B$21)</f>
        <v>294.232735076299</v>
      </c>
      <c r="K141" s="35" t="n">
        <f aca="false">MAX(0,Fit!$B$28+Fit!$B$27*-NORMSINV(D141))</f>
        <v>223.087833214267</v>
      </c>
      <c r="L141" s="35" t="n">
        <f aca="false">INDEX(H141:K141,1,Inputs!$B$5)</f>
        <v>1604.7861330817</v>
      </c>
      <c r="M141" s="35" t="n">
        <f aca="false">L141*E141</f>
        <v>0.120552138246388</v>
      </c>
      <c r="N141" s="35" t="n">
        <f aca="false">L141^$AB$7</f>
        <v>1604.7861330817</v>
      </c>
      <c r="O141" s="35" t="n">
        <f aca="false">N141*E141</f>
        <v>0.120552138246388</v>
      </c>
      <c r="P141" s="35" t="n">
        <f aca="false">N141*$AB$3/($AB$4*$AB$1)</f>
        <v>10822606.4630938</v>
      </c>
      <c r="Q141" s="35" t="n">
        <f aca="false">IF(G141&lt;=3,F141*SQRT(P141),0)</f>
        <v>559598.8772969</v>
      </c>
      <c r="R141" s="35" t="n">
        <f aca="false">SQRT(P141/$AB$6)</f>
        <v>1519999565.18431</v>
      </c>
      <c r="S141" s="35" t="n">
        <f aca="false">2*$AB$6*R141</f>
        <v>0.014240275735581</v>
      </c>
      <c r="T141" s="35" t="n">
        <f aca="false">IF(G141&lt;=3,F141*R141,0)</f>
        <v>258555847882.707</v>
      </c>
      <c r="U141" s="35" t="n">
        <f aca="false">F141*P141</f>
        <v>1840953283.44834</v>
      </c>
      <c r="V141" s="35" t="n">
        <f aca="false">H141^$AB$7*E141</f>
        <v>0.120552138246388</v>
      </c>
      <c r="W141" s="35" t="n">
        <f aca="false">I141^$AB$7*E141</f>
        <v>0.0344119921329001</v>
      </c>
      <c r="X141" s="35" t="n">
        <f aca="false">J141^$AB$7*E141</f>
        <v>0.0221028737875596</v>
      </c>
      <c r="Y141" s="35" t="n">
        <f aca="false">K141^$AB$7*E141</f>
        <v>0.0167584419857173</v>
      </c>
    </row>
    <row r="142" customFormat="false" ht="15" hidden="false" customHeight="false" outlineLevel="0" collapsed="false">
      <c r="A142" s="35" t="n">
        <v>140</v>
      </c>
      <c r="B142" s="35" t="n">
        <f aca="false">C141</f>
        <v>0.00199526231496888</v>
      </c>
      <c r="C142" s="35" t="n">
        <f aca="false">Inputs!$B$22*(Inputs!$B$23/Inputs!$B$22)^(19/60)</f>
        <v>0.00207332157348596</v>
      </c>
      <c r="D142" s="35" t="n">
        <f aca="false">(B142+C142)/2</f>
        <v>0.00203429194422742</v>
      </c>
      <c r="E142" s="35" t="n">
        <f aca="false">C142-B142</f>
        <v>7.80592585170759E-005</v>
      </c>
      <c r="F142" s="35" t="n">
        <f aca="false">Inputs!$B$16*E142</f>
        <v>176.757384986067</v>
      </c>
      <c r="G142" s="35" t="n">
        <f aca="false">IF(D142&lt;=Inputs!$B$21,1,IF(D142&lt;=Inputs!$B$22,2,IF(D142&lt;=Inputs!$B$23,3,IF(D142&lt;=Inputs!$B$24,4,5))))</f>
        <v>3</v>
      </c>
      <c r="H142" s="35" t="n">
        <f aca="false">Fit!$B$10*D142^(-1/Fit!$B$9)</f>
        <v>1565.06943232378</v>
      </c>
      <c r="I142" s="35" t="n">
        <f aca="false">EXP(Fit!$B$16+Fit!$B$15*-NORMSINV(D142))</f>
        <v>453.5668887158</v>
      </c>
      <c r="J142" s="35" t="n">
        <f aca="false">Fit!$B$22*LN(1/D142)^(1/Fit!$B$21)</f>
        <v>292.646984414305</v>
      </c>
      <c r="K142" s="35" t="n">
        <f aca="false">MAX(0,Fit!$B$28+Fit!$B$27*-NORMSINV(D142))</f>
        <v>222.332290510252</v>
      </c>
      <c r="L142" s="35" t="n">
        <f aca="false">INDEX(H142:K142,1,Inputs!$B$5)</f>
        <v>1565.06943232378</v>
      </c>
      <c r="M142" s="35" t="n">
        <f aca="false">L142*E142</f>
        <v>0.122168159414935</v>
      </c>
      <c r="N142" s="35" t="n">
        <f aca="false">L142^$AB$7</f>
        <v>1565.06943232378</v>
      </c>
      <c r="O142" s="35" t="n">
        <f aca="false">N142*E142</f>
        <v>0.122168159414935</v>
      </c>
      <c r="P142" s="35" t="n">
        <f aca="false">N142*$AB$3/($AB$4*$AB$1)</f>
        <v>10554758.7957601</v>
      </c>
      <c r="Q142" s="35" t="n">
        <f aca="false">IF(G142&lt;=3,F142*SQRT(P142),0)</f>
        <v>574250.952617358</v>
      </c>
      <c r="R142" s="35" t="n">
        <f aca="false">SQRT(P142/$AB$6)</f>
        <v>1501072562.87888</v>
      </c>
      <c r="S142" s="35" t="n">
        <f aca="false">2*$AB$6*R142</f>
        <v>0.0140629561245424</v>
      </c>
      <c r="T142" s="35" t="n">
        <f aca="false">IF(G142&lt;=3,F142*R142,0)</f>
        <v>265325660888.805</v>
      </c>
      <c r="U142" s="35" t="n">
        <f aca="false">F142*P142</f>
        <v>1865631563.89724</v>
      </c>
      <c r="V142" s="35" t="n">
        <f aca="false">H142^$AB$7*E142</f>
        <v>0.122168159414935</v>
      </c>
      <c r="W142" s="35" t="n">
        <f aca="false">I142^$AB$7*E142</f>
        <v>0.0354050950210524</v>
      </c>
      <c r="X142" s="35" t="n">
        <f aca="false">J142^$AB$7*E142</f>
        <v>0.0228438066106389</v>
      </c>
      <c r="Y142" s="35" t="n">
        <f aca="false">K142^$AB$7*E142</f>
        <v>0.0173550937416334</v>
      </c>
    </row>
    <row r="143" customFormat="false" ht="15" hidden="false" customHeight="false" outlineLevel="0" collapsed="false">
      <c r="A143" s="35" t="n">
        <v>141</v>
      </c>
      <c r="B143" s="35" t="n">
        <f aca="false">C142</f>
        <v>0.00207332157348596</v>
      </c>
      <c r="C143" s="35" t="n">
        <f aca="false">Inputs!$B$22*(Inputs!$B$23/Inputs!$B$22)^(20/60)</f>
        <v>0.00215443469003188</v>
      </c>
      <c r="D143" s="35" t="n">
        <f aca="false">(B143+C143)/2</f>
        <v>0.00211387813175892</v>
      </c>
      <c r="E143" s="35" t="n">
        <f aca="false">C143-B143</f>
        <v>8.11131165459286E-005</v>
      </c>
      <c r="F143" s="35" t="n">
        <f aca="false">Inputs!$B$16*E143</f>
        <v>183.672541106601</v>
      </c>
      <c r="G143" s="35" t="n">
        <f aca="false">IF(D143&lt;=Inputs!$B$21,1,IF(D143&lt;=Inputs!$B$22,2,IF(D143&lt;=Inputs!$B$23,3,IF(D143&lt;=Inputs!$B$24,4,5))))</f>
        <v>3</v>
      </c>
      <c r="H143" s="35" t="n">
        <f aca="false">Fit!$B$10*D143^(-1/Fit!$B$9)</f>
        <v>1526.33567644965</v>
      </c>
      <c r="I143" s="35" t="n">
        <f aca="false">EXP(Fit!$B$16+Fit!$B$15*-NORMSINV(D143))</f>
        <v>449.071319099763</v>
      </c>
      <c r="J143" s="35" t="n">
        <f aca="false">Fit!$B$22*LN(1/D143)^(1/Fit!$B$21)</f>
        <v>291.060010021505</v>
      </c>
      <c r="K143" s="35" t="n">
        <f aca="false">MAX(0,Fit!$B$28+Fit!$B$27*-NORMSINV(D143))</f>
        <v>221.574065013015</v>
      </c>
      <c r="L143" s="35" t="n">
        <f aca="false">INDEX(H143:K143,1,Inputs!$B$5)</f>
        <v>1526.33567644965</v>
      </c>
      <c r="M143" s="35" t="n">
        <f aca="false">L143*E143</f>
        <v>0.123805843612069</v>
      </c>
      <c r="N143" s="35" t="n">
        <f aca="false">L143^$AB$7</f>
        <v>1526.33567644965</v>
      </c>
      <c r="O143" s="35" t="n">
        <f aca="false">N143*E143</f>
        <v>0.123805843612069</v>
      </c>
      <c r="P143" s="35" t="n">
        <f aca="false">N143*$AB$3/($AB$4*$AB$1)</f>
        <v>10293540.0651008</v>
      </c>
      <c r="Q143" s="35" t="n">
        <f aca="false">IF(G143&lt;=3,F143*SQRT(P143),0)</f>
        <v>589286.665789679</v>
      </c>
      <c r="R143" s="35" t="n">
        <f aca="false">SQRT(P143/$AB$6)</f>
        <v>1482381239.20421</v>
      </c>
      <c r="S143" s="35" t="n">
        <f aca="false">2*$AB$6*R143</f>
        <v>0.0138878444935348</v>
      </c>
      <c r="T143" s="35" t="n">
        <f aca="false">IF(G143&lt;=3,F143*R143,0)</f>
        <v>272272729093.39</v>
      </c>
      <c r="U143" s="35" t="n">
        <f aca="false">F143*P143</f>
        <v>1890640660.73967</v>
      </c>
      <c r="V143" s="35" t="n">
        <f aca="false">H143^$AB$7*E143</f>
        <v>0.123805843612069</v>
      </c>
      <c r="W143" s="35" t="n">
        <f aca="false">I143^$AB$7*E143</f>
        <v>0.0364255742435729</v>
      </c>
      <c r="X143" s="35" t="n">
        <f aca="false">J143^$AB$7*E143</f>
        <v>0.0236087845147335</v>
      </c>
      <c r="Y143" s="35" t="n">
        <f aca="false">K143^$AB$7*E143</f>
        <v>0.0179725629589558</v>
      </c>
    </row>
    <row r="144" customFormat="false" ht="15" hidden="false" customHeight="false" outlineLevel="0" collapsed="false">
      <c r="A144" s="35" t="n">
        <v>142</v>
      </c>
      <c r="B144" s="35" t="n">
        <f aca="false">C143</f>
        <v>0.00215443469003188</v>
      </c>
      <c r="C144" s="35" t="n">
        <f aca="false">Inputs!$B$22*(Inputs!$B$23/Inputs!$B$22)^(21/60)</f>
        <v>0.00223872113856834</v>
      </c>
      <c r="D144" s="35" t="n">
        <f aca="false">(B144+C144)/2</f>
        <v>0.00219657791430011</v>
      </c>
      <c r="E144" s="35" t="n">
        <f aca="false">C144-B144</f>
        <v>8.42864485364556E-005</v>
      </c>
      <c r="F144" s="35" t="n">
        <f aca="false">Inputs!$B$16*E144</f>
        <v>190.85823406595</v>
      </c>
      <c r="G144" s="35" t="n">
        <f aca="false">IF(D144&lt;=Inputs!$B$21,1,IF(D144&lt;=Inputs!$B$22,2,IF(D144&lt;=Inputs!$B$23,3,IF(D144&lt;=Inputs!$B$24,4,5))))</f>
        <v>3</v>
      </c>
      <c r="H144" s="35" t="n">
        <f aca="false">Fit!$B$10*D144^(-1/Fit!$B$9)</f>
        <v>1488.56053864903</v>
      </c>
      <c r="I144" s="35" t="n">
        <f aca="false">EXP(Fit!$B$16+Fit!$B$15*-NORMSINV(D144))</f>
        <v>444.604476527304</v>
      </c>
      <c r="J144" s="35" t="n">
        <f aca="false">Fit!$B$22*LN(1/D144)^(1/Fit!$B$21)</f>
        <v>289.471803319873</v>
      </c>
      <c r="K144" s="35" t="n">
        <f aca="false">MAX(0,Fit!$B$28+Fit!$B$27*-NORMSINV(D144))</f>
        <v>220.813129160684</v>
      </c>
      <c r="L144" s="35" t="n">
        <f aca="false">INDEX(H144:K144,1,Inputs!$B$5)</f>
        <v>1488.56053864903</v>
      </c>
      <c r="M144" s="35" t="n">
        <f aca="false">L144*E144</f>
        <v>0.12546548123424</v>
      </c>
      <c r="N144" s="35" t="n">
        <f aca="false">L144^$AB$7</f>
        <v>1488.56053864903</v>
      </c>
      <c r="O144" s="35" t="n">
        <f aca="false">N144*E144</f>
        <v>0.12546548123424</v>
      </c>
      <c r="P144" s="35" t="n">
        <f aca="false">N144*$AB$3/($AB$4*$AB$1)</f>
        <v>10038786.2121869</v>
      </c>
      <c r="Q144" s="35" t="n">
        <f aca="false">IF(G144&lt;=3,F144*SQRT(P144),0)</f>
        <v>604716.061670877</v>
      </c>
      <c r="R144" s="35" t="n">
        <f aca="false">SQRT(P144/$AB$6)</f>
        <v>1463922659.49499</v>
      </c>
      <c r="S144" s="35" t="n">
        <f aca="false">2*$AB$6*R144</f>
        <v>0.0137149133488377</v>
      </c>
      <c r="T144" s="35" t="n">
        <f aca="false">IF(G144&lt;=3,F144*R144,0)</f>
        <v>279401693600.344</v>
      </c>
      <c r="U144" s="35" t="n">
        <f aca="false">F144*P144</f>
        <v>1915985008.62361</v>
      </c>
      <c r="V144" s="35" t="n">
        <f aca="false">H144^$AB$7*E144</f>
        <v>0.12546548123424</v>
      </c>
      <c r="W144" s="35" t="n">
        <f aca="false">I144^$AB$7*E144</f>
        <v>0.0374741323298964</v>
      </c>
      <c r="X144" s="35" t="n">
        <f aca="false">J144^$AB$7*E144</f>
        <v>0.0243985502532755</v>
      </c>
      <c r="Y144" s="35" t="n">
        <f aca="false">K144^$AB$7*E144</f>
        <v>0.0186115544471758</v>
      </c>
    </row>
    <row r="145" customFormat="false" ht="15" hidden="false" customHeight="false" outlineLevel="0" collapsed="false">
      <c r="A145" s="35" t="n">
        <v>143</v>
      </c>
      <c r="B145" s="35" t="n">
        <f aca="false">C144</f>
        <v>0.00223872113856834</v>
      </c>
      <c r="C145" s="35" t="n">
        <f aca="false">Inputs!$B$22*(Inputs!$B$23/Inputs!$B$22)^(22/60)</f>
        <v>0.00232630506715363</v>
      </c>
      <c r="D145" s="35" t="n">
        <f aca="false">(B145+C145)/2</f>
        <v>0.00228251310286098</v>
      </c>
      <c r="E145" s="35" t="n">
        <f aca="false">C145-B145</f>
        <v>8.75839285852864E-005</v>
      </c>
      <c r="F145" s="35" t="n">
        <f aca="false">Inputs!$B$16*E145</f>
        <v>198.325047888522</v>
      </c>
      <c r="G145" s="35" t="n">
        <f aca="false">IF(D145&lt;=Inputs!$B$21,1,IF(D145&lt;=Inputs!$B$22,2,IF(D145&lt;=Inputs!$B$23,3,IF(D145&lt;=Inputs!$B$24,4,5))))</f>
        <v>3</v>
      </c>
      <c r="H145" s="35" t="n">
        <f aca="false">Fit!$B$10*D145^(-1/Fit!$B$9)</f>
        <v>1451.72029417355</v>
      </c>
      <c r="I145" s="35" t="n">
        <f aca="false">EXP(Fit!$B$16+Fit!$B$15*-NORMSINV(D145))</f>
        <v>440.166229698629</v>
      </c>
      <c r="J145" s="35" t="n">
        <f aca="false">Fit!$B$22*LN(1/D145)^(1/Fit!$B$21)</f>
        <v>287.882355617068</v>
      </c>
      <c r="K145" s="35" t="n">
        <f aca="false">MAX(0,Fit!$B$28+Fit!$B$27*-NORMSINV(D145))</f>
        <v>220.049454926374</v>
      </c>
      <c r="L145" s="35" t="n">
        <f aca="false">INDEX(H145:K145,1,Inputs!$B$5)</f>
        <v>1451.72029417355</v>
      </c>
      <c r="M145" s="35" t="n">
        <f aca="false">L145*E145</f>
        <v>0.127147366570708</v>
      </c>
      <c r="N145" s="35" t="n">
        <f aca="false">L145^$AB$7</f>
        <v>1451.72029417355</v>
      </c>
      <c r="O145" s="35" t="n">
        <f aca="false">N145*E145</f>
        <v>0.127147366570708</v>
      </c>
      <c r="P145" s="35" t="n">
        <f aca="false">N145*$AB$3/($AB$4*$AB$1)</f>
        <v>9790337.23836852</v>
      </c>
      <c r="Q145" s="35" t="n">
        <f aca="false">IF(G145&lt;=3,F145*SQRT(P145),0)</f>
        <v>620549.448124204</v>
      </c>
      <c r="R145" s="35" t="n">
        <f aca="false">SQRT(P145/$AB$6)</f>
        <v>1445693925.62831</v>
      </c>
      <c r="S145" s="35" t="n">
        <f aca="false">2*$AB$6*R145</f>
        <v>0.0135441355390818</v>
      </c>
      <c r="T145" s="35" t="n">
        <f aca="false">IF(G145&lt;=3,F145*R145,0)</f>
        <v>286717317032.381</v>
      </c>
      <c r="U145" s="35" t="n">
        <f aca="false">F145*P145</f>
        <v>1941669101.64422</v>
      </c>
      <c r="V145" s="35" t="n">
        <f aca="false">H145^$AB$7*E145</f>
        <v>0.127147366570708</v>
      </c>
      <c r="W145" s="35" t="n">
        <f aca="false">I145^$AB$7*E145</f>
        <v>0.0385514876275795</v>
      </c>
      <c r="X145" s="35" t="n">
        <f aca="false">J145^$AB$7*E145</f>
        <v>0.0252138676753293</v>
      </c>
      <c r="Y145" s="35" t="n">
        <f aca="false">K145^$AB$7*E145</f>
        <v>0.0192727957455027</v>
      </c>
    </row>
    <row r="146" customFormat="false" ht="15" hidden="false" customHeight="false" outlineLevel="0" collapsed="false">
      <c r="A146" s="35" t="n">
        <v>144</v>
      </c>
      <c r="B146" s="35" t="n">
        <f aca="false">C145</f>
        <v>0.00232630506715363</v>
      </c>
      <c r="C146" s="35" t="n">
        <f aca="false">Inputs!$B$22*(Inputs!$B$23/Inputs!$B$22)^(23/60)</f>
        <v>0.0024173154808041</v>
      </c>
      <c r="D146" s="35" t="n">
        <f aca="false">(B146+C146)/2</f>
        <v>0.00237181027397887</v>
      </c>
      <c r="E146" s="35" t="n">
        <f aca="false">C146-B146</f>
        <v>9.10104136504783E-005</v>
      </c>
      <c r="F146" s="35" t="n">
        <f aca="false">Inputs!$B$16*E146</f>
        <v>206.083980670143</v>
      </c>
      <c r="G146" s="35" t="n">
        <f aca="false">IF(D146&lt;=Inputs!$B$21,1,IF(D146&lt;=Inputs!$B$22,2,IF(D146&lt;=Inputs!$B$23,3,IF(D146&lt;=Inputs!$B$24,4,5))))</f>
        <v>3</v>
      </c>
      <c r="H146" s="35" t="n">
        <f aca="false">Fit!$B$10*D146^(-1/Fit!$B$9)</f>
        <v>1415.79180543645</v>
      </c>
      <c r="I146" s="35" t="n">
        <f aca="false">EXP(Fit!$B$16+Fit!$B$15*-NORMSINV(D146))</f>
        <v>435.756447720634</v>
      </c>
      <c r="J146" s="35" t="n">
        <f aca="false">Fit!$B$22*LN(1/D146)^(1/Fit!$B$21)</f>
        <v>286.291658104184</v>
      </c>
      <c r="K146" s="35" t="n">
        <f aca="false">MAX(0,Fit!$B$28+Fit!$B$27*-NORMSINV(D146))</f>
        <v>219.283013807267</v>
      </c>
      <c r="L146" s="35" t="n">
        <f aca="false">INDEX(H146:K146,1,Inputs!$B$5)</f>
        <v>1415.79180543645</v>
      </c>
      <c r="M146" s="35" t="n">
        <f aca="false">L146*E146</f>
        <v>0.128851797855728</v>
      </c>
      <c r="N146" s="35" t="n">
        <f aca="false">L146^$AB$7</f>
        <v>1415.79180543645</v>
      </c>
      <c r="O146" s="35" t="n">
        <f aca="false">N146*E146</f>
        <v>0.128851797855728</v>
      </c>
      <c r="P146" s="35" t="n">
        <f aca="false">N146*$AB$3/($AB$4*$AB$1)</f>
        <v>9548037.10478702</v>
      </c>
      <c r="Q146" s="35" t="n">
        <f aca="false">IF(G146&lt;=3,F146*SQRT(P146),0)</f>
        <v>636797.402905499</v>
      </c>
      <c r="R146" s="35" t="n">
        <f aca="false">SQRT(P146/$AB$6)</f>
        <v>1427692175.56861</v>
      </c>
      <c r="S146" s="35" t="n">
        <f aca="false">2*$AB$6*R146</f>
        <v>0.0133754842509861</v>
      </c>
      <c r="T146" s="35" t="n">
        <f aca="false">IF(G146&lt;=3,F146*R146,0)</f>
        <v>294224486712.796</v>
      </c>
      <c r="U146" s="35" t="n">
        <f aca="false">F146*P146</f>
        <v>1967697494.14074</v>
      </c>
      <c r="V146" s="35" t="n">
        <f aca="false">H146^$AB$7*E146</f>
        <v>0.128851797855728</v>
      </c>
      <c r="W146" s="35" t="n">
        <f aca="false">I146^$AB$7*E146</f>
        <v>0.039658374557918</v>
      </c>
      <c r="X146" s="35" t="n">
        <f aca="false">J146^$AB$7*E146</f>
        <v>0.0260555222287431</v>
      </c>
      <c r="Y146" s="35" t="n">
        <f aca="false">K146^$AB$7*E146</f>
        <v>0.0199570377931229</v>
      </c>
    </row>
    <row r="147" customFormat="false" ht="15" hidden="false" customHeight="false" outlineLevel="0" collapsed="false">
      <c r="A147" s="35" t="n">
        <v>145</v>
      </c>
      <c r="B147" s="35" t="n">
        <f aca="false">C146</f>
        <v>0.0024173154808041</v>
      </c>
      <c r="C147" s="35" t="n">
        <f aca="false">Inputs!$B$22*(Inputs!$B$23/Inputs!$B$22)^(24/60)</f>
        <v>0.00251188643150958</v>
      </c>
      <c r="D147" s="35" t="n">
        <f aca="false">(B147+C147)/2</f>
        <v>0.00246460095615684</v>
      </c>
      <c r="E147" s="35" t="n">
        <f aca="false">C147-B147</f>
        <v>9.45709507054761E-005</v>
      </c>
      <c r="F147" s="35" t="n">
        <f aca="false">Inputs!$B$16*E147</f>
        <v>214.14646077748</v>
      </c>
      <c r="G147" s="35" t="n">
        <f aca="false">IF(D147&lt;=Inputs!$B$21,1,IF(D147&lt;=Inputs!$B$22,2,IF(D147&lt;=Inputs!$B$23,3,IF(D147&lt;=Inputs!$B$24,4,5))))</f>
        <v>3</v>
      </c>
      <c r="H147" s="35" t="n">
        <f aca="false">Fit!$B$10*D147^(-1/Fit!$B$9)</f>
        <v>1380.75250748086</v>
      </c>
      <c r="I147" s="35" t="n">
        <f aca="false">EXP(Fit!$B$16+Fit!$B$15*-NORMSINV(D147))</f>
        <v>431.375000104643</v>
      </c>
      <c r="J147" s="35" t="n">
        <f aca="false">Fit!$B$22*LN(1/D147)^(1/Fit!$B$21)</f>
        <v>284.699701853438</v>
      </c>
      <c r="K147" s="35" t="n">
        <f aca="false">MAX(0,Fit!$B$28+Fit!$B$27*-NORMSINV(D147))</f>
        <v>218.51377681338</v>
      </c>
      <c r="L147" s="35" t="n">
        <f aca="false">INDEX(H147:K147,1,Inputs!$B$5)</f>
        <v>1380.75250748086</v>
      </c>
      <c r="M147" s="35" t="n">
        <f aca="false">L147*E147</f>
        <v>0.130579077321435</v>
      </c>
      <c r="N147" s="35" t="n">
        <f aca="false">L147^$AB$7</f>
        <v>1380.75250748086</v>
      </c>
      <c r="O147" s="35" t="n">
        <f aca="false">N147*E147</f>
        <v>0.130579077321435</v>
      </c>
      <c r="P147" s="35" t="n">
        <f aca="false">N147*$AB$3/($AB$4*$AB$1)</f>
        <v>9311733.63437495</v>
      </c>
      <c r="Q147" s="35" t="n">
        <f aca="false">IF(G147&lt;=3,F147*SQRT(P147),0)</f>
        <v>653470.780729821</v>
      </c>
      <c r="R147" s="35" t="n">
        <f aca="false">SQRT(P147/$AB$6)</f>
        <v>1409914582.91835</v>
      </c>
      <c r="S147" s="35" t="n">
        <f aca="false">2*$AB$6*R147</f>
        <v>0.0132089330051482</v>
      </c>
      <c r="T147" s="35" t="n">
        <f aca="false">IF(G147&lt;=3,F147*R147,0)</f>
        <v>301928217930.521</v>
      </c>
      <c r="U147" s="35" t="n">
        <f aca="false">F147*P147</f>
        <v>1994074801.50402</v>
      </c>
      <c r="V147" s="35" t="n">
        <f aca="false">H147^$AB$7*E147</f>
        <v>0.130579077321435</v>
      </c>
      <c r="W147" s="35" t="n">
        <f aca="false">I147^$AB$7*E147</f>
        <v>0.0407955438704709</v>
      </c>
      <c r="X147" s="35" t="n">
        <f aca="false">J147^$AB$7*E147</f>
        <v>0.0269243214698452</v>
      </c>
      <c r="Y147" s="35" t="n">
        <f aca="false">K147^$AB$7*E147</f>
        <v>0.0206650556154856</v>
      </c>
    </row>
    <row r="148" customFormat="false" ht="15" hidden="false" customHeight="false" outlineLevel="0" collapsed="false">
      <c r="A148" s="35" t="n">
        <v>146</v>
      </c>
      <c r="B148" s="35" t="n">
        <f aca="false">C147</f>
        <v>0.00251188643150958</v>
      </c>
      <c r="C148" s="35" t="n">
        <f aca="false">Inputs!$B$22*(Inputs!$B$23/Inputs!$B$22)^(25/60)</f>
        <v>0.00261015721568254</v>
      </c>
      <c r="D148" s="35" t="n">
        <f aca="false">(B148+C148)/2</f>
        <v>0.00256102182359606</v>
      </c>
      <c r="E148" s="35" t="n">
        <f aca="false">C148-B148</f>
        <v>9.82707841729567E-005</v>
      </c>
      <c r="F148" s="35" t="n">
        <f aca="false">Inputs!$B$16*E148</f>
        <v>222.524363681243</v>
      </c>
      <c r="G148" s="35" t="n">
        <f aca="false">IF(D148&lt;=Inputs!$B$21,1,IF(D148&lt;=Inputs!$B$22,2,IF(D148&lt;=Inputs!$B$23,3,IF(D148&lt;=Inputs!$B$24,4,5))))</f>
        <v>3</v>
      </c>
      <c r="H148" s="35" t="n">
        <f aca="false">Fit!$B$10*D148^(-1/Fit!$B$9)</f>
        <v>1346.58039380796</v>
      </c>
      <c r="I148" s="35" t="n">
        <f aca="false">EXP(Fit!$B$16+Fit!$B$15*-NORMSINV(D148))</f>
        <v>427.02175676412</v>
      </c>
      <c r="J148" s="35" t="n">
        <f aca="false">Fit!$B$22*LN(1/D148)^(1/Fit!$B$21)</f>
        <v>283.106477815788</v>
      </c>
      <c r="K148" s="35" t="n">
        <f aca="false">MAX(0,Fit!$B$28+Fit!$B$27*-NORMSINV(D148))</f>
        <v>217.741714455979</v>
      </c>
      <c r="L148" s="35" t="n">
        <f aca="false">INDEX(H148:K148,1,Inputs!$B$5)</f>
        <v>1346.58039380796</v>
      </c>
      <c r="M148" s="35" t="n">
        <f aca="false">L148*E148</f>
        <v>0.132329511251437</v>
      </c>
      <c r="N148" s="35" t="n">
        <f aca="false">L148^$AB$7</f>
        <v>1346.58039380796</v>
      </c>
      <c r="O148" s="35" t="n">
        <f aca="false">N148*E148</f>
        <v>0.132329511251437</v>
      </c>
      <c r="P148" s="35" t="n">
        <f aca="false">N148*$AB$3/($AB$4*$AB$1)</f>
        <v>9081278.41628071</v>
      </c>
      <c r="Q148" s="35" t="n">
        <f aca="false">IF(G148&lt;=3,F148*SQRT(P148),0)</f>
        <v>670580.720523158</v>
      </c>
      <c r="R148" s="35" t="n">
        <f aca="false">SQRT(P148/$AB$6)</f>
        <v>1392358356.47422</v>
      </c>
      <c r="S148" s="35" t="n">
        <f aca="false">2*$AB$6*R148</f>
        <v>0.0130444556518864</v>
      </c>
      <c r="T148" s="35" t="n">
        <f aca="false">IF(G148&lt;=3,F148*R148,0)</f>
        <v>309833657290.688</v>
      </c>
      <c r="U148" s="35" t="n">
        <f aca="false">F148*P148</f>
        <v>2020805700.99507</v>
      </c>
      <c r="V148" s="35" t="n">
        <f aca="false">H148^$AB$7*E148</f>
        <v>0.132329511251437</v>
      </c>
      <c r="W148" s="35" t="n">
        <f aca="false">I148^$AB$7*E148</f>
        <v>0.0419637628961237</v>
      </c>
      <c r="X148" s="35" t="n">
        <f aca="false">J148^$AB$7*E148</f>
        <v>0.0278210955794012</v>
      </c>
      <c r="Y148" s="35" t="n">
        <f aca="false">K148^$AB$7*E148</f>
        <v>0.0213976490267531</v>
      </c>
    </row>
    <row r="149" customFormat="false" ht="15" hidden="false" customHeight="false" outlineLevel="0" collapsed="false">
      <c r="A149" s="35" t="n">
        <v>147</v>
      </c>
      <c r="B149" s="35" t="n">
        <f aca="false">C148</f>
        <v>0.00261015721568254</v>
      </c>
      <c r="C149" s="35" t="n">
        <f aca="false">Inputs!$B$22*(Inputs!$B$23/Inputs!$B$22)^(26/60)</f>
        <v>0.00271227257933203</v>
      </c>
      <c r="D149" s="35" t="n">
        <f aca="false">(B149+C149)/2</f>
        <v>0.00266121489750728</v>
      </c>
      <c r="E149" s="35" t="n">
        <f aca="false">C149-B149</f>
        <v>0.000102115363649491</v>
      </c>
      <c r="F149" s="35" t="n">
        <f aca="false">Inputs!$B$16*E149</f>
        <v>231.230029447907</v>
      </c>
      <c r="G149" s="35" t="n">
        <f aca="false">IF(D149&lt;=Inputs!$B$21,1,IF(D149&lt;=Inputs!$B$22,2,IF(D149&lt;=Inputs!$B$23,3,IF(D149&lt;=Inputs!$B$24,4,5))))</f>
        <v>3</v>
      </c>
      <c r="H149" s="35" t="n">
        <f aca="false">Fit!$B$10*D149^(-1/Fit!$B$9)</f>
        <v>1313.25400255565</v>
      </c>
      <c r="I149" s="35" t="n">
        <f aca="false">EXP(Fit!$B$16+Fit!$B$15*-NORMSINV(D149))</f>
        <v>422.696588012354</v>
      </c>
      <c r="J149" s="35" t="n">
        <f aca="false">Fit!$B$22*LN(1/D149)^(1/Fit!$B$21)</f>
        <v>281.511976818504</v>
      </c>
      <c r="K149" s="35" t="n">
        <f aca="false">MAX(0,Fit!$B$28+Fit!$B$27*-NORMSINV(D149))</f>
        <v>216.966796735644</v>
      </c>
      <c r="L149" s="35" t="n">
        <f aca="false">INDEX(H149:K149,1,Inputs!$B$5)</f>
        <v>1313.25400255565</v>
      </c>
      <c r="M149" s="35" t="n">
        <f aca="false">L149*E149</f>
        <v>0.13410341003512</v>
      </c>
      <c r="N149" s="35" t="n">
        <f aca="false">L149^$AB$7</f>
        <v>1313.25400255565</v>
      </c>
      <c r="O149" s="35" t="n">
        <f aca="false">N149*E149</f>
        <v>0.13410341003512</v>
      </c>
      <c r="P149" s="35" t="n">
        <f aca="false">N149*$AB$3/($AB$4*$AB$1)</f>
        <v>8856526.71265888</v>
      </c>
      <c r="Q149" s="35" t="n">
        <f aca="false">IF(G149&lt;=3,F149*SQRT(P149),0)</f>
        <v>688138.652863922</v>
      </c>
      <c r="R149" s="35" t="n">
        <f aca="false">SQRT(P149/$AB$6)</f>
        <v>1375020739.78894</v>
      </c>
      <c r="S149" s="35" t="n">
        <f aca="false">2*$AB$6*R149</f>
        <v>0.0128820263671344</v>
      </c>
      <c r="T149" s="35" t="n">
        <f aca="false">IF(G149&lt;=3,F149*R149,0)</f>
        <v>317946086152.88</v>
      </c>
      <c r="U149" s="35" t="n">
        <f aca="false">F149*P149</f>
        <v>2047894932.57429</v>
      </c>
      <c r="V149" s="35" t="n">
        <f aca="false">H149^$AB$7*E149</f>
        <v>0.13410341003512</v>
      </c>
      <c r="W149" s="35" t="n">
        <f aca="false">I149^$AB$7*E149</f>
        <v>0.0431638157982806</v>
      </c>
      <c r="X149" s="35" t="n">
        <f aca="false">J149^$AB$7*E149</f>
        <v>0.0287466978845086</v>
      </c>
      <c r="Y149" s="35" t="n">
        <f aca="false">K149^$AB$7*E149</f>
        <v>0.0221556433485255</v>
      </c>
    </row>
    <row r="150" customFormat="false" ht="15" hidden="false" customHeight="false" outlineLevel="0" collapsed="false">
      <c r="A150" s="35" t="n">
        <v>148</v>
      </c>
      <c r="B150" s="35" t="n">
        <f aca="false">C149</f>
        <v>0.00271227257933203</v>
      </c>
      <c r="C150" s="35" t="n">
        <f aca="false">Inputs!$B$22*(Inputs!$B$23/Inputs!$B$22)^(27/60)</f>
        <v>0.00281838293126445</v>
      </c>
      <c r="D150" s="35" t="n">
        <f aca="false">(B150+C150)/2</f>
        <v>0.00276532775529824</v>
      </c>
      <c r="E150" s="35" t="n">
        <f aca="false">C150-B150</f>
        <v>0.000106110351932426</v>
      </c>
      <c r="F150" s="35" t="n">
        <f aca="false">Inputs!$B$16*E150</f>
        <v>240.276280915785</v>
      </c>
      <c r="G150" s="35" t="n">
        <f aca="false">IF(D150&lt;=Inputs!$B$21,1,IF(D150&lt;=Inputs!$B$22,2,IF(D150&lt;=Inputs!$B$23,3,IF(D150&lt;=Inputs!$B$24,4,5))))</f>
        <v>3</v>
      </c>
      <c r="H150" s="35" t="n">
        <f aca="false">Fit!$B$10*D150^(-1/Fit!$B$9)</f>
        <v>1280.75240301946</v>
      </c>
      <c r="I150" s="35" t="n">
        <f aca="false">EXP(Fit!$B$16+Fit!$B$15*-NORMSINV(D150))</f>
        <v>418.399364560091</v>
      </c>
      <c r="J150" s="35" t="n">
        <f aca="false">Fit!$B$22*LN(1/D150)^(1/Fit!$B$21)</f>
        <v>279.91618956266</v>
      </c>
      <c r="K150" s="35" t="n">
        <f aca="false">MAX(0,Fit!$B$28+Fit!$B$27*-NORMSINV(D150))</f>
        <v>216.188993129975</v>
      </c>
      <c r="L150" s="35" t="n">
        <f aca="false">INDEX(H150:K150,1,Inputs!$B$5)</f>
        <v>1280.75240301946</v>
      </c>
      <c r="M150" s="35" t="n">
        <f aca="false">L150*E150</f>
        <v>0.135901088222696</v>
      </c>
      <c r="N150" s="35" t="n">
        <f aca="false">L150^$AB$7</f>
        <v>1280.75240301946</v>
      </c>
      <c r="O150" s="35" t="n">
        <f aca="false">N150*E150</f>
        <v>0.135901088222696</v>
      </c>
      <c r="P150" s="35" t="n">
        <f aca="false">N150*$AB$3/($AB$4*$AB$1)</f>
        <v>8637337.36776733</v>
      </c>
      <c r="Q150" s="35" t="n">
        <f aca="false">IF(G150&lt;=3,F150*SQRT(P150),0)</f>
        <v>706156.307619384</v>
      </c>
      <c r="R150" s="35" t="n">
        <f aca="false">SQRT(P150/$AB$6)</f>
        <v>1357899010.73842</v>
      </c>
      <c r="S150" s="35" t="n">
        <f aca="false">2*$AB$6*R150</f>
        <v>0.0127216196483866</v>
      </c>
      <c r="T150" s="35" t="n">
        <f aca="false">IF(G150&lt;=3,F150*R150,0)</f>
        <v>326270924159.452</v>
      </c>
      <c r="U150" s="35" t="n">
        <f aca="false">F150*P150</f>
        <v>2075347299.74207</v>
      </c>
      <c r="V150" s="35" t="n">
        <f aca="false">H150^$AB$7*E150</f>
        <v>0.135901088222696</v>
      </c>
      <c r="W150" s="35" t="n">
        <f aca="false">I150^$AB$7*E150</f>
        <v>0.0443965038217746</v>
      </c>
      <c r="X150" s="35" t="n">
        <f aca="false">J150^$AB$7*E150</f>
        <v>0.0297020053860775</v>
      </c>
      <c r="Y150" s="35" t="n">
        <f aca="false">K150^$AB$7*E150</f>
        <v>0.0229398901449384</v>
      </c>
    </row>
    <row r="151" customFormat="false" ht="15" hidden="false" customHeight="false" outlineLevel="0" collapsed="false">
      <c r="A151" s="35" t="n">
        <v>149</v>
      </c>
      <c r="B151" s="35" t="n">
        <f aca="false">C150</f>
        <v>0.00281838293126445</v>
      </c>
      <c r="C151" s="35" t="n">
        <f aca="false">Inputs!$B$22*(Inputs!$B$23/Inputs!$B$22)^(28/60)</f>
        <v>0.00292864456462524</v>
      </c>
      <c r="D151" s="35" t="n">
        <f aca="false">(B151+C151)/2</f>
        <v>0.00287351374794485</v>
      </c>
      <c r="E151" s="35" t="n">
        <f aca="false">C151-B151</f>
        <v>0.000110261633360783</v>
      </c>
      <c r="F151" s="35" t="n">
        <f aca="false">Inputs!$B$16*E151</f>
        <v>249.676442582156</v>
      </c>
      <c r="G151" s="35" t="n">
        <f aca="false">IF(D151&lt;=Inputs!$B$21,1,IF(D151&lt;=Inputs!$B$22,2,IF(D151&lt;=Inputs!$B$23,3,IF(D151&lt;=Inputs!$B$24,4,5))))</f>
        <v>3</v>
      </c>
      <c r="H151" s="35" t="n">
        <f aca="false">Fit!$B$10*D151^(-1/Fit!$B$9)</f>
        <v>1249.05518250695</v>
      </c>
      <c r="I151" s="35" t="n">
        <f aca="false">EXP(Fit!$B$16+Fit!$B$15*-NORMSINV(D151))</f>
        <v>414.129957513143</v>
      </c>
      <c r="J151" s="35" t="n">
        <f aca="false">Fit!$B$22*LN(1/D151)^(1/Fit!$B$21)</f>
        <v>278.319106620566</v>
      </c>
      <c r="K151" s="35" t="n">
        <f aca="false">MAX(0,Fit!$B$28+Fit!$B$27*-NORMSINV(D151))</f>
        <v>215.408272580904</v>
      </c>
      <c r="L151" s="35" t="n">
        <f aca="false">INDEX(H151:K151,1,Inputs!$B$5)</f>
        <v>1249.05518250695</v>
      </c>
      <c r="M151" s="35" t="n">
        <f aca="false">L151*E151</f>
        <v>0.137722864580967</v>
      </c>
      <c r="N151" s="35" t="n">
        <f aca="false">L151^$AB$7</f>
        <v>1249.05518250695</v>
      </c>
      <c r="O151" s="35" t="n">
        <f aca="false">N151*E151</f>
        <v>0.137722864580967</v>
      </c>
      <c r="P151" s="35" t="n">
        <f aca="false">N151*$AB$3/($AB$4*$AB$1)</f>
        <v>8423572.71931409</v>
      </c>
      <c r="Q151" s="35" t="n">
        <f aca="false">IF(G151&lt;=3,F151*SQRT(P151),0)</f>
        <v>724645.721781952</v>
      </c>
      <c r="R151" s="35" t="n">
        <f aca="false">SQRT(P151/$AB$6)</f>
        <v>1340990481.09443</v>
      </c>
      <c r="S151" s="35" t="n">
        <f aca="false">2*$AB$6*R151</f>
        <v>0.0125632103106941</v>
      </c>
      <c r="T151" s="35" t="n">
        <f aca="false">IF(G151&lt;=3,F151*R151,0)</f>
        <v>334813732856.191</v>
      </c>
      <c r="U151" s="35" t="n">
        <f aca="false">F151*P151</f>
        <v>2103167670.39044</v>
      </c>
      <c r="V151" s="35" t="n">
        <f aca="false">H151^$AB$7*E151</f>
        <v>0.137722864580967</v>
      </c>
      <c r="W151" s="35" t="n">
        <f aca="false">I151^$AB$7*E151</f>
        <v>0.0456626455390307</v>
      </c>
      <c r="X151" s="35" t="n">
        <f aca="false">J151^$AB$7*E151</f>
        <v>0.0306879192914974</v>
      </c>
      <c r="Y151" s="35" t="n">
        <f aca="false">K151^$AB$7*E151</f>
        <v>0.0237512679741951</v>
      </c>
    </row>
    <row r="152" customFormat="false" ht="15" hidden="false" customHeight="false" outlineLevel="0" collapsed="false">
      <c r="A152" s="35" t="n">
        <v>150</v>
      </c>
      <c r="B152" s="35" t="n">
        <f aca="false">C151</f>
        <v>0.00292864456462524</v>
      </c>
      <c r="C152" s="35" t="n">
        <f aca="false">Inputs!$B$22*(Inputs!$B$23/Inputs!$B$22)^(29/60)</f>
        <v>0.00304321988710772</v>
      </c>
      <c r="D152" s="35" t="n">
        <f aca="false">(B152+C152)/2</f>
        <v>0.00298593222586648</v>
      </c>
      <c r="E152" s="35" t="n">
        <f aca="false">C152-B152</f>
        <v>0.000114575322482485</v>
      </c>
      <c r="F152" s="35" t="n">
        <f aca="false">Inputs!$B$16*E152</f>
        <v>259.444360229339</v>
      </c>
      <c r="G152" s="35" t="n">
        <f aca="false">IF(D152&lt;=Inputs!$B$21,1,IF(D152&lt;=Inputs!$B$22,2,IF(D152&lt;=Inputs!$B$23,3,IF(D152&lt;=Inputs!$B$24,4,5))))</f>
        <v>3</v>
      </c>
      <c r="H152" s="35" t="n">
        <f aca="false">Fit!$B$10*D152^(-1/Fit!$B$9)</f>
        <v>1218.14243351747</v>
      </c>
      <c r="I152" s="35" t="n">
        <f aca="false">EXP(Fit!$B$16+Fit!$B$15*-NORMSINV(D152))</f>
        <v>409.88823836996</v>
      </c>
      <c r="J152" s="35" t="n">
        <f aca="false">Fit!$B$22*LN(1/D152)^(1/Fit!$B$21)</f>
        <v>276.720718433129</v>
      </c>
      <c r="K152" s="35" t="n">
        <f aca="false">MAX(0,Fit!$B$28+Fit!$B$27*-NORMSINV(D152))</f>
        <v>214.624603481625</v>
      </c>
      <c r="L152" s="35" t="n">
        <f aca="false">INDEX(H152:K152,1,Inputs!$B$5)</f>
        <v>1218.14243351747</v>
      </c>
      <c r="M152" s="35" t="n">
        <f aca="false">L152*E152</f>
        <v>0.139569062149863</v>
      </c>
      <c r="N152" s="35" t="n">
        <f aca="false">L152^$AB$7</f>
        <v>1218.14243351747</v>
      </c>
      <c r="O152" s="35" t="n">
        <f aca="false">N152*E152</f>
        <v>0.139569062149863</v>
      </c>
      <c r="P152" s="35" t="n">
        <f aca="false">N152*$AB$3/($AB$4*$AB$1)</f>
        <v>8215098.51199829</v>
      </c>
      <c r="Q152" s="35" t="n">
        <f aca="false">IF(G152&lt;=3,F152*SQRT(P152),0)</f>
        <v>743619.247510739</v>
      </c>
      <c r="R152" s="35" t="n">
        <f aca="false">SQRT(P152/$AB$6)</f>
        <v>1324292496.10247</v>
      </c>
      <c r="S152" s="35" t="n">
        <f aca="false">2*$AB$6*R152</f>
        <v>0.0124067734827104</v>
      </c>
      <c r="T152" s="35" t="n">
        <f aca="false">IF(G152&lt;=3,F152*R152,0)</f>
        <v>343580219407.822</v>
      </c>
      <c r="U152" s="35" t="n">
        <f aca="false">F152*P152</f>
        <v>2131360977.66639</v>
      </c>
      <c r="V152" s="35" t="n">
        <f aca="false">H152^$AB$7*E152</f>
        <v>0.139569062149863</v>
      </c>
      <c r="W152" s="35" t="n">
        <f aca="false">I152^$AB$7*E152</f>
        <v>0.0469630770930159</v>
      </c>
      <c r="X152" s="35" t="n">
        <f aca="false">J152^$AB$7*E152</f>
        <v>0.0317053655520607</v>
      </c>
      <c r="Y152" s="35" t="n">
        <f aca="false">K152^$AB$7*E152</f>
        <v>0.0245906831565827</v>
      </c>
    </row>
    <row r="153" customFormat="false" ht="15" hidden="false" customHeight="false" outlineLevel="0" collapsed="false">
      <c r="A153" s="35" t="n">
        <v>151</v>
      </c>
      <c r="B153" s="35" t="n">
        <f aca="false">C152</f>
        <v>0.00304321988710772</v>
      </c>
      <c r="C153" s="35" t="n">
        <f aca="false">Inputs!$B$22*(Inputs!$B$23/Inputs!$B$22)^(30/60)</f>
        <v>0.00316227766016838</v>
      </c>
      <c r="D153" s="35" t="n">
        <f aca="false">(B153+C153)/2</f>
        <v>0.00310274877363805</v>
      </c>
      <c r="E153" s="35" t="n">
        <f aca="false">C153-B153</f>
        <v>0.000119057773060658</v>
      </c>
      <c r="F153" s="35" t="n">
        <f aca="false">Inputs!$B$16*E153</f>
        <v>269.594421318553</v>
      </c>
      <c r="G153" s="35" t="n">
        <f aca="false">IF(D153&lt;=Inputs!$B$21,1,IF(D153&lt;=Inputs!$B$22,2,IF(D153&lt;=Inputs!$B$23,3,IF(D153&lt;=Inputs!$B$24,4,5))))</f>
        <v>3</v>
      </c>
      <c r="H153" s="35" t="n">
        <f aca="false">Fit!$B$10*D153^(-1/Fit!$B$9)</f>
        <v>1187.99474123922</v>
      </c>
      <c r="I153" s="35" t="n">
        <f aca="false">EXP(Fit!$B$16+Fit!$B$15*-NORMSINV(D153))</f>
        <v>405.674079019152</v>
      </c>
      <c r="J153" s="35" t="n">
        <f aca="false">Fit!$B$22*LN(1/D153)^(1/Fit!$B$21)</f>
        <v>275.121015307138</v>
      </c>
      <c r="K153" s="35" t="n">
        <f aca="false">MAX(0,Fit!$B$28+Fit!$B$27*-NORMSINV(D153))</f>
        <v>213.837953663108</v>
      </c>
      <c r="L153" s="35" t="n">
        <f aca="false">INDEX(H153:K153,1,Inputs!$B$5)</f>
        <v>1187.99474123922</v>
      </c>
      <c r="M153" s="35" t="n">
        <f aca="false">L153*E153</f>
        <v>0.141440008299714</v>
      </c>
      <c r="N153" s="35" t="n">
        <f aca="false">L153^$AB$7</f>
        <v>1187.99474123922</v>
      </c>
      <c r="O153" s="35" t="n">
        <f aca="false">N153*E153</f>
        <v>0.141440008299714</v>
      </c>
      <c r="P153" s="35" t="n">
        <f aca="false">N153*$AB$3/($AB$4*$AB$1)</f>
        <v>8011783.81319083</v>
      </c>
      <c r="Q153" s="35" t="n">
        <f aca="false">IF(G153&lt;=3,F153*SQRT(P153),0)</f>
        <v>763089.560383589</v>
      </c>
      <c r="R153" s="35" t="n">
        <f aca="false">SQRT(P153/$AB$6)</f>
        <v>1307802434.06503</v>
      </c>
      <c r="S153" s="35" t="n">
        <f aca="false">2*$AB$6*R153</f>
        <v>0.0122522846027865</v>
      </c>
      <c r="T153" s="35" t="n">
        <f aca="false">IF(G153&lt;=3,F153*R153,0)</f>
        <v>352576240410.756</v>
      </c>
      <c r="U153" s="35" t="n">
        <f aca="false">F153*P153</f>
        <v>2159932220.84653</v>
      </c>
      <c r="V153" s="35" t="n">
        <f aca="false">H153^$AB$7*E153</f>
        <v>0.141440008299714</v>
      </c>
      <c r="W153" s="35" t="n">
        <f aca="false">I153^$AB$7*E153</f>
        <v>0.0482986524364535</v>
      </c>
      <c r="X153" s="35" t="n">
        <f aca="false">J153^$AB$7*E153</f>
        <v>0.032755295404655</v>
      </c>
      <c r="Y153" s="35" t="n">
        <f aca="false">K153^$AB$7*E153</f>
        <v>0.0254590705589778</v>
      </c>
    </row>
    <row r="154" customFormat="false" ht="15" hidden="false" customHeight="false" outlineLevel="0" collapsed="false">
      <c r="A154" s="35" t="n">
        <v>152</v>
      </c>
      <c r="B154" s="35" t="n">
        <f aca="false">C153</f>
        <v>0.00316227766016838</v>
      </c>
      <c r="C154" s="35" t="n">
        <f aca="false">Inputs!$B$22*(Inputs!$B$23/Inputs!$B$22)^(31/60)</f>
        <v>0.00328599324760066</v>
      </c>
      <c r="D154" s="35" t="n">
        <f aca="false">(B154+C154)/2</f>
        <v>0.00322413545388452</v>
      </c>
      <c r="E154" s="35" t="n">
        <f aca="false">C154-B154</f>
        <v>0.000123715587432276</v>
      </c>
      <c r="F154" s="35" t="n">
        <f aca="false">Inputs!$B$16*E154</f>
        <v>280.141576181645</v>
      </c>
      <c r="G154" s="35" t="n">
        <f aca="false">IF(D154&lt;=Inputs!$B$21,1,IF(D154&lt;=Inputs!$B$22,2,IF(D154&lt;=Inputs!$B$23,3,IF(D154&lt;=Inputs!$B$24,4,5))))</f>
        <v>3</v>
      </c>
      <c r="H154" s="35" t="n">
        <f aca="false">Fit!$B$10*D154^(-1/Fit!$B$9)</f>
        <v>1158.59317135578</v>
      </c>
      <c r="I154" s="35" t="n">
        <f aca="false">EXP(Fit!$B$16+Fit!$B$15*-NORMSINV(D154))</f>
        <v>401.487351736977</v>
      </c>
      <c r="J154" s="35" t="n">
        <f aca="false">Fit!$B$22*LN(1/D154)^(1/Fit!$B$21)</f>
        <v>273.519987412485</v>
      </c>
      <c r="K154" s="35" t="n">
        <f aca="false">MAX(0,Fit!$B$28+Fit!$B$27*-NORMSINV(D154))</f>
        <v>213.048290380192</v>
      </c>
      <c r="L154" s="35" t="n">
        <f aca="false">INDEX(H154:K154,1,Inputs!$B$5)</f>
        <v>1158.59317135578</v>
      </c>
      <c r="M154" s="35" t="n">
        <f aca="false">L154*E154</f>
        <v>0.143336034789303</v>
      </c>
      <c r="N154" s="35" t="n">
        <f aca="false">L154^$AB$7</f>
        <v>1158.59317135578</v>
      </c>
      <c r="O154" s="35" t="n">
        <f aca="false">N154*E154</f>
        <v>0.143336034789303</v>
      </c>
      <c r="P154" s="35" t="n">
        <f aca="false">N154*$AB$3/($AB$4*$AB$1)</f>
        <v>7813500.93070192</v>
      </c>
      <c r="Q154" s="35" t="n">
        <f aca="false">IF(G154&lt;=3,F154*SQRT(P154),0)</f>
        <v>783069.667865219</v>
      </c>
      <c r="R154" s="35" t="n">
        <f aca="false">SQRT(P154/$AB$6)</f>
        <v>1291517705.92987</v>
      </c>
      <c r="S154" s="35" t="n">
        <f aca="false">2*$AB$6*R154</f>
        <v>0.0120997194151146</v>
      </c>
      <c r="T154" s="35" t="n">
        <f aca="false">IF(G154&lt;=3,F154*R154,0)</f>
        <v>361807805805.695</v>
      </c>
      <c r="U154" s="35" t="n">
        <f aca="false">F154*P154</f>
        <v>2188886466.22358</v>
      </c>
      <c r="V154" s="35" t="n">
        <f aca="false">H154^$AB$7*E154</f>
        <v>0.143336034789303</v>
      </c>
      <c r="W154" s="35" t="n">
        <f aca="false">I154^$AB$7*E154</f>
        <v>0.0496702435667688</v>
      </c>
      <c r="X154" s="35" t="n">
        <f aca="false">J154^$AB$7*E154</f>
        <v>0.0338386859172041</v>
      </c>
      <c r="Y154" s="35" t="n">
        <f aca="false">K154^$AB$7*E154</f>
        <v>0.0263573943958275</v>
      </c>
    </row>
    <row r="155" customFormat="false" ht="15" hidden="false" customHeight="false" outlineLevel="0" collapsed="false">
      <c r="A155" s="35" t="n">
        <v>153</v>
      </c>
      <c r="B155" s="35" t="n">
        <f aca="false">C154</f>
        <v>0.00328599324760066</v>
      </c>
      <c r="C155" s="35" t="n">
        <f aca="false">Inputs!$B$22*(Inputs!$B$23/Inputs!$B$22)^(32/60)</f>
        <v>0.0034145488738336</v>
      </c>
      <c r="D155" s="35" t="n">
        <f aca="false">(B155+C155)/2</f>
        <v>0.00335027106071713</v>
      </c>
      <c r="E155" s="35" t="n">
        <f aca="false">C155-B155</f>
        <v>0.000128555626232946</v>
      </c>
      <c r="F155" s="35" t="n">
        <f aca="false">Inputs!$B$16*E155</f>
        <v>291.101360041884</v>
      </c>
      <c r="G155" s="35" t="n">
        <f aca="false">IF(D155&lt;=Inputs!$B$21,1,IF(D155&lt;=Inputs!$B$22,2,IF(D155&lt;=Inputs!$B$23,3,IF(D155&lt;=Inputs!$B$24,4,5))))</f>
        <v>3</v>
      </c>
      <c r="H155" s="35" t="n">
        <f aca="false">Fit!$B$10*D155^(-1/Fit!$B$9)</f>
        <v>1129.91925815431</v>
      </c>
      <c r="I155" s="35" t="n">
        <f aca="false">EXP(Fit!$B$16+Fit!$B$15*-NORMSINV(D155))</f>
        <v>397.327929184786</v>
      </c>
      <c r="J155" s="35" t="n">
        <f aca="false">Fit!$B$22*LN(1/D155)^(1/Fit!$B$21)</f>
        <v>271.917624779294</v>
      </c>
      <c r="K155" s="35" t="n">
        <f aca="false">MAX(0,Fit!$B$28+Fit!$B$27*-NORMSINV(D155))</f>
        <v>212.255580297232</v>
      </c>
      <c r="L155" s="35" t="n">
        <f aca="false">INDEX(H155:K155,1,Inputs!$B$5)</f>
        <v>1129.91925815431</v>
      </c>
      <c r="M155" s="35" t="n">
        <f aca="false">L155*E155</f>
        <v>0.145257477824693</v>
      </c>
      <c r="N155" s="35" t="n">
        <f aca="false">L155^$AB$7</f>
        <v>1129.91925815431</v>
      </c>
      <c r="O155" s="35" t="n">
        <f aca="false">N155*E155</f>
        <v>0.145257477824693</v>
      </c>
      <c r="P155" s="35" t="n">
        <f aca="false">N155*$AB$3/($AB$4*$AB$1)</f>
        <v>7620125.33258374</v>
      </c>
      <c r="Q155" s="35" t="n">
        <f aca="false">IF(G155&lt;=3,F155*SQRT(P155),0)</f>
        <v>803572.917997067</v>
      </c>
      <c r="R155" s="35" t="n">
        <f aca="false">SQRT(P155/$AB$6)</f>
        <v>1275435754.88361</v>
      </c>
      <c r="S155" s="35" t="n">
        <f aca="false">2*$AB$6*R155</f>
        <v>0.0119490539659195</v>
      </c>
      <c r="T155" s="35" t="n">
        <f aca="false">IF(G155&lt;=3,F155*R155,0)</f>
        <v>371281082892.665</v>
      </c>
      <c r="U155" s="35" t="n">
        <f aca="false">F155*P155</f>
        <v>2218228848.00474</v>
      </c>
      <c r="V155" s="35" t="n">
        <f aca="false">H155^$AB$7*E155</f>
        <v>0.145257477824693</v>
      </c>
      <c r="W155" s="35" t="n">
        <f aca="false">I155^$AB$7*E155</f>
        <v>0.05107874075619</v>
      </c>
      <c r="X155" s="35" t="n">
        <f aca="false">J155^$AB$7*E155</f>
        <v>0.0349565405372774</v>
      </c>
      <c r="Y155" s="35" t="n">
        <f aca="false">K155^$AB$7*E155</f>
        <v>0.0272866490465481</v>
      </c>
    </row>
    <row r="156" customFormat="false" ht="15" hidden="false" customHeight="false" outlineLevel="0" collapsed="false">
      <c r="A156" s="35" t="n">
        <v>154</v>
      </c>
      <c r="B156" s="35" t="n">
        <f aca="false">C155</f>
        <v>0.0034145488738336</v>
      </c>
      <c r="C156" s="35" t="n">
        <f aca="false">Inputs!$B$22*(Inputs!$B$23/Inputs!$B$22)^(33/60)</f>
        <v>0.00354813389233576</v>
      </c>
      <c r="D156" s="35" t="n">
        <f aca="false">(B156+C156)/2</f>
        <v>0.00348134138308468</v>
      </c>
      <c r="E156" s="35" t="n">
        <f aca="false">C156-B156</f>
        <v>0.000133585018502154</v>
      </c>
      <c r="F156" s="35" t="n">
        <f aca="false">Inputs!$B$16*E156</f>
        <v>302.489915896277</v>
      </c>
      <c r="G156" s="35" t="n">
        <f aca="false">IF(D156&lt;=Inputs!$B$21,1,IF(D156&lt;=Inputs!$B$22,2,IF(D156&lt;=Inputs!$B$23,3,IF(D156&lt;=Inputs!$B$24,4,5))))</f>
        <v>3</v>
      </c>
      <c r="H156" s="35" t="n">
        <f aca="false">Fit!$B$10*D156^(-1/Fit!$B$9)</f>
        <v>1101.95499292817</v>
      </c>
      <c r="I156" s="35" t="n">
        <f aca="false">EXP(Fit!$B$16+Fit!$B$15*-NORMSINV(D156))</f>
        <v>393.195684406416</v>
      </c>
      <c r="J156" s="35" t="n">
        <f aca="false">Fit!$B$22*LN(1/D156)^(1/Fit!$B$21)</f>
        <v>270.313917294986</v>
      </c>
      <c r="K156" s="35" t="n">
        <f aca="false">MAX(0,Fit!$B$28+Fit!$B$27*-NORMSINV(D156))</f>
        <v>211.459789473292</v>
      </c>
      <c r="L156" s="35" t="n">
        <f aca="false">INDEX(H156:K156,1,Inputs!$B$5)</f>
        <v>1101.95499292817</v>
      </c>
      <c r="M156" s="35" t="n">
        <f aca="false">L156*E156</f>
        <v>0.14720467811885</v>
      </c>
      <c r="N156" s="35" t="n">
        <f aca="false">L156^$AB$7</f>
        <v>1101.95499292817</v>
      </c>
      <c r="O156" s="35" t="n">
        <f aca="false">N156*E156</f>
        <v>0.14720467811885</v>
      </c>
      <c r="P156" s="35" t="n">
        <f aca="false">N156*$AB$3/($AB$4*$AB$1)</f>
        <v>7431535.5689179</v>
      </c>
      <c r="Q156" s="35" t="n">
        <f aca="false">IF(G156&lt;=3,F156*SQRT(P156),0)</f>
        <v>824613.008314702</v>
      </c>
      <c r="R156" s="35" t="n">
        <f aca="false">SQRT(P156/$AB$6)</f>
        <v>1259554055.95024</v>
      </c>
      <c r="S156" s="35" t="n">
        <f aca="false">2*$AB$6*R156</f>
        <v>0.0118002645996981</v>
      </c>
      <c r="T156" s="35" t="n">
        <f aca="false">IF(G156&lt;=3,F156*R156,0)</f>
        <v>381002400451.203</v>
      </c>
      <c r="U156" s="35" t="n">
        <f aca="false">F156*P156</f>
        <v>2247964569.22216</v>
      </c>
      <c r="V156" s="35" t="n">
        <f aca="false">H156^$AB$7*E156</f>
        <v>0.14720467811885</v>
      </c>
      <c r="W156" s="35" t="n">
        <f aca="false">I156^$AB$7*E156</f>
        <v>0.0525250527763981</v>
      </c>
      <c r="X156" s="35" t="n">
        <f aca="false">J156^$AB$7*E156</f>
        <v>0.0361098896432403</v>
      </c>
      <c r="Y156" s="35" t="n">
        <f aca="false">K156^$AB$7*E156</f>
        <v>0.0282478598892512</v>
      </c>
    </row>
    <row r="157" customFormat="false" ht="15" hidden="false" customHeight="false" outlineLevel="0" collapsed="false">
      <c r="A157" s="35" t="n">
        <v>155</v>
      </c>
      <c r="B157" s="35" t="n">
        <f aca="false">C156</f>
        <v>0.00354813389233576</v>
      </c>
      <c r="C157" s="35" t="n">
        <f aca="false">Inputs!$B$22*(Inputs!$B$23/Inputs!$B$22)^(34/60)</f>
        <v>0.00368694506451958</v>
      </c>
      <c r="D157" s="35" t="n">
        <f aca="false">(B157+C157)/2</f>
        <v>0.00361753947842767</v>
      </c>
      <c r="E157" s="35" t="n">
        <f aca="false">C157-B157</f>
        <v>0.00013881117218382</v>
      </c>
      <c r="F157" s="35" t="n">
        <f aca="false">Inputs!$B$16*E157</f>
        <v>314.324018293042</v>
      </c>
      <c r="G157" s="35" t="n">
        <f aca="false">IF(D157&lt;=Inputs!$B$21,1,IF(D157&lt;=Inputs!$B$22,2,IF(D157&lt;=Inputs!$B$23,3,IF(D157&lt;=Inputs!$B$24,4,5))))</f>
        <v>3</v>
      </c>
      <c r="H157" s="35" t="n">
        <f aca="false">Fit!$B$10*D157^(-1/Fit!$B$9)</f>
        <v>1074.6828126665</v>
      </c>
      <c r="I157" s="35" t="n">
        <f aca="false">EXP(Fit!$B$16+Fit!$B$15*-NORMSINV(D157))</f>
        <v>389.090490825543</v>
      </c>
      <c r="J157" s="35" t="n">
        <f aca="false">Fit!$B$22*LN(1/D157)^(1/Fit!$B$21)</f>
        <v>268.708854701251</v>
      </c>
      <c r="K157" s="35" t="n">
        <f aca="false">MAX(0,Fit!$B$28+Fit!$B$27*-NORMSINV(D157))</f>
        <v>210.660883346855</v>
      </c>
      <c r="L157" s="35" t="n">
        <f aca="false">INDEX(H157:K157,1,Inputs!$B$5)</f>
        <v>1074.6828126665</v>
      </c>
      <c r="M157" s="35" t="n">
        <f aca="false">L157*E157</f>
        <v>0.149177980952041</v>
      </c>
      <c r="N157" s="35" t="n">
        <f aca="false">L157^$AB$7</f>
        <v>1074.6828126665</v>
      </c>
      <c r="O157" s="35" t="n">
        <f aca="false">N157*E157</f>
        <v>0.149177980952041</v>
      </c>
      <c r="P157" s="35" t="n">
        <f aca="false">N157*$AB$3/($AB$4*$AB$1)</f>
        <v>7247613.1955386</v>
      </c>
      <c r="Q157" s="35" t="n">
        <f aca="false">IF(G157&lt;=3,F157*SQRT(P157),0)</f>
        <v>846203.994998609</v>
      </c>
      <c r="R157" s="35" t="n">
        <f aca="false">SQRT(P157/$AB$6)</f>
        <v>1243870115.59472</v>
      </c>
      <c r="S157" s="35" t="n">
        <f aca="false">2*$AB$6*R157</f>
        <v>0.011653327955505</v>
      </c>
      <c r="T157" s="35" t="n">
        <f aca="false">IF(G157&lt;=3,F157*R157,0)</f>
        <v>390978252968.363</v>
      </c>
      <c r="U157" s="35" t="n">
        <f aca="false">F157*P157</f>
        <v>2278098902.65537</v>
      </c>
      <c r="V157" s="35" t="n">
        <f aca="false">H157^$AB$7*E157</f>
        <v>0.149177980952041</v>
      </c>
      <c r="W157" s="35" t="n">
        <f aca="false">I157^$AB$7*E157</f>
        <v>0.0540101071170715</v>
      </c>
      <c r="X157" s="35" t="n">
        <f aca="false">J157^$AB$7*E157</f>
        <v>0.0372997910972525</v>
      </c>
      <c r="Y157" s="35" t="n">
        <f aca="false">K157^$AB$7*E157</f>
        <v>0.029242084150656</v>
      </c>
    </row>
    <row r="158" customFormat="false" ht="15" hidden="false" customHeight="false" outlineLevel="0" collapsed="false">
      <c r="A158" s="35" t="n">
        <v>156</v>
      </c>
      <c r="B158" s="35" t="n">
        <f aca="false">C157</f>
        <v>0.00368694506451958</v>
      </c>
      <c r="C158" s="35" t="n">
        <f aca="false">Inputs!$B$22*(Inputs!$B$23/Inputs!$B$22)^(35/60)</f>
        <v>0.00383118684955729</v>
      </c>
      <c r="D158" s="35" t="n">
        <f aca="false">(B158+C158)/2</f>
        <v>0.00375906595703843</v>
      </c>
      <c r="E158" s="35" t="n">
        <f aca="false">C158-B158</f>
        <v>0.000144241785037713</v>
      </c>
      <c r="F158" s="35" t="n">
        <f aca="false">Inputs!$B$16*E158</f>
        <v>326.621098039397</v>
      </c>
      <c r="G158" s="35" t="n">
        <f aca="false">IF(D158&lt;=Inputs!$B$21,1,IF(D158&lt;=Inputs!$B$22,2,IF(D158&lt;=Inputs!$B$23,3,IF(D158&lt;=Inputs!$B$24,4,5))))</f>
        <v>3</v>
      </c>
      <c r="H158" s="35" t="n">
        <f aca="false">Fit!$B$10*D158^(-1/Fit!$B$9)</f>
        <v>1048.08558902375</v>
      </c>
      <c r="I158" s="35" t="n">
        <f aca="false">EXP(Fit!$B$16+Fit!$B$15*-NORMSINV(D158))</f>
        <v>385.012222242983</v>
      </c>
      <c r="J158" s="35" t="n">
        <f aca="false">Fit!$B$22*LN(1/D158)^(1/Fit!$B$21)</f>
        <v>267.10242659094</v>
      </c>
      <c r="K158" s="35" t="n">
        <f aca="false">MAX(0,Fit!$B$28+Fit!$B$27*-NORMSINV(D158))</f>
        <v>209.858826720052</v>
      </c>
      <c r="L158" s="35" t="n">
        <f aca="false">INDEX(H158:K158,1,Inputs!$B$5)</f>
        <v>1048.08558902375</v>
      </c>
      <c r="M158" s="35" t="n">
        <f aca="false">L158*E158</f>
        <v>0.151177736233088</v>
      </c>
      <c r="N158" s="35" t="n">
        <f aca="false">L158^$AB$7</f>
        <v>1048.08558902375</v>
      </c>
      <c r="O158" s="35" t="n">
        <f aca="false">N158*E158</f>
        <v>0.151177736233088</v>
      </c>
      <c r="P158" s="35" t="n">
        <f aca="false">N158*$AB$3/($AB$4*$AB$1)</f>
        <v>7068242.69964355</v>
      </c>
      <c r="Q158" s="35" t="n">
        <f aca="false">IF(G158&lt;=3,F158*SQRT(P158),0)</f>
        <v>868360.302264777</v>
      </c>
      <c r="R158" s="35" t="n">
        <f aca="false">SQRT(P158/$AB$6)</f>
        <v>1228381471.33142</v>
      </c>
      <c r="S158" s="35" t="n">
        <f aca="false">2*$AB$6*R158</f>
        <v>0.011508220963285</v>
      </c>
      <c r="T158" s="35" t="n">
        <f aca="false">IF(G158&lt;=3,F158*R158,0)</f>
        <v>401215304977.519</v>
      </c>
      <c r="U158" s="35" t="n">
        <f aca="false">F158*P158</f>
        <v>2308637191.76653</v>
      </c>
      <c r="V158" s="35" t="n">
        <f aca="false">H158^$AB$7*E158</f>
        <v>0.151177736233088</v>
      </c>
      <c r="W158" s="35" t="n">
        <f aca="false">I158^$AB$7*E158</f>
        <v>0.0555348501976645</v>
      </c>
      <c r="X158" s="35" t="n">
        <f aca="false">J158^$AB$7*E158</f>
        <v>0.0385273307993819</v>
      </c>
      <c r="Y158" s="35" t="n">
        <f aca="false">K158^$AB$7*E158</f>
        <v>0.0302704117720204</v>
      </c>
    </row>
    <row r="159" customFormat="false" ht="15" hidden="false" customHeight="false" outlineLevel="0" collapsed="false">
      <c r="A159" s="35" t="n">
        <v>157</v>
      </c>
      <c r="B159" s="35" t="n">
        <f aca="false">C158</f>
        <v>0.00383118684955729</v>
      </c>
      <c r="C159" s="35" t="n">
        <f aca="false">Inputs!$B$22*(Inputs!$B$23/Inputs!$B$22)^(36/60)</f>
        <v>0.00398107170553497</v>
      </c>
      <c r="D159" s="35" t="n">
        <f aca="false">(B159+C159)/2</f>
        <v>0.00390612927754613</v>
      </c>
      <c r="E159" s="35" t="n">
        <f aca="false">C159-B159</f>
        <v>0.000149884855977684</v>
      </c>
      <c r="F159" s="35" t="n">
        <f aca="false">Inputs!$B$16*E159</f>
        <v>339.399267875869</v>
      </c>
      <c r="G159" s="35" t="n">
        <f aca="false">IF(D159&lt;=Inputs!$B$21,1,IF(D159&lt;=Inputs!$B$22,2,IF(D159&lt;=Inputs!$B$23,3,IF(D159&lt;=Inputs!$B$24,4,5))))</f>
        <v>3</v>
      </c>
      <c r="H159" s="35" t="n">
        <f aca="false">Fit!$B$10*D159^(-1/Fit!$B$9)</f>
        <v>1022.14661756217</v>
      </c>
      <c r="I159" s="35" t="n">
        <f aca="false">EXP(Fit!$B$16+Fit!$B$15*-NORMSINV(D159))</f>
        <v>380.960752833938</v>
      </c>
      <c r="J159" s="35" t="n">
        <f aca="false">Fit!$B$22*LN(1/D159)^(1/Fit!$B$21)</f>
        <v>265.494622404865</v>
      </c>
      <c r="K159" s="35" t="n">
        <f aca="false">MAX(0,Fit!$B$28+Fit!$B$27*-NORMSINV(D159))</f>
        <v>209.053583742355</v>
      </c>
      <c r="L159" s="35" t="n">
        <f aca="false">INDEX(H159:K159,1,Inputs!$B$5)</f>
        <v>1022.14661756217</v>
      </c>
      <c r="M159" s="35" t="n">
        <f aca="false">L159*E159</f>
        <v>0.153204298561383</v>
      </c>
      <c r="N159" s="35" t="n">
        <f aca="false">L159^$AB$7</f>
        <v>1022.14661756217</v>
      </c>
      <c r="O159" s="35" t="n">
        <f aca="false">N159*E159</f>
        <v>0.153204298561383</v>
      </c>
      <c r="P159" s="35" t="n">
        <f aca="false">N159*$AB$3/($AB$4*$AB$1)</f>
        <v>6893311.42724588</v>
      </c>
      <c r="Q159" s="35" t="n">
        <f aca="false">IF(G159&lt;=3,F159*SQRT(P159),0)</f>
        <v>891096.732000893</v>
      </c>
      <c r="R159" s="35" t="n">
        <f aca="false">SQRT(P159/$AB$6)</f>
        <v>1213085691.33756</v>
      </c>
      <c r="S159" s="35" t="n">
        <f aca="false">2*$AB$6*R159</f>
        <v>0.0113649208402504</v>
      </c>
      <c r="T159" s="35" t="n">
        <f aca="false">IF(G159&lt;=3,F159*R159,0)</f>
        <v>411720395510.659</v>
      </c>
      <c r="U159" s="35" t="n">
        <f aca="false">F159*P159</f>
        <v>2339584851.64761</v>
      </c>
      <c r="V159" s="35" t="n">
        <f aca="false">H159^$AB$7*E159</f>
        <v>0.153204298561383</v>
      </c>
      <c r="W159" s="35" t="n">
        <f aca="false">I159^$AB$7*E159</f>
        <v>0.0571002475716651</v>
      </c>
      <c r="X159" s="35" t="n">
        <f aca="false">J159^$AB$7*E159</f>
        <v>0.0397936232420028</v>
      </c>
      <c r="Y159" s="35" t="n">
        <f aca="false">K159^$AB$7*E159</f>
        <v>0.0313339662908417</v>
      </c>
    </row>
    <row r="160" customFormat="false" ht="15" hidden="false" customHeight="false" outlineLevel="0" collapsed="false">
      <c r="A160" s="35" t="n">
        <v>158</v>
      </c>
      <c r="B160" s="35" t="n">
        <f aca="false">C159</f>
        <v>0.00398107170553497</v>
      </c>
      <c r="C160" s="35" t="n">
        <f aca="false">Inputs!$B$22*(Inputs!$B$23/Inputs!$B$22)^(37/60)</f>
        <v>0.00413682040238851</v>
      </c>
      <c r="D160" s="35" t="n">
        <f aca="false">(B160+C160)/2</f>
        <v>0.00405894605396174</v>
      </c>
      <c r="E160" s="35" t="n">
        <f aca="false">C160-B160</f>
        <v>0.000155748696853535</v>
      </c>
      <c r="F160" s="35" t="n">
        <f aca="false">Inputs!$B$16*E160</f>
        <v>352.677349155144</v>
      </c>
      <c r="G160" s="35" t="n">
        <f aca="false">IF(D160&lt;=Inputs!$B$21,1,IF(D160&lt;=Inputs!$B$22,2,IF(D160&lt;=Inputs!$B$23,3,IF(D160&lt;=Inputs!$B$24,4,5))))</f>
        <v>3</v>
      </c>
      <c r="H160" s="35" t="n">
        <f aca="false">Fit!$B$10*D160^(-1/Fit!$B$9)</f>
        <v>996.849607260563</v>
      </c>
      <c r="I160" s="35" t="n">
        <f aca="false">EXP(Fit!$B$16+Fit!$B$15*-NORMSINV(D160))</f>
        <v>376.935957145196</v>
      </c>
      <c r="J160" s="35" t="n">
        <f aca="false">Fit!$B$22*LN(1/D160)^(1/Fit!$B$21)</f>
        <v>263.88543142851</v>
      </c>
      <c r="K160" s="35" t="n">
        <f aca="false">MAX(0,Fit!$B$28+Fit!$B$27*-NORMSINV(D160))</f>
        <v>208.245117893755</v>
      </c>
      <c r="L160" s="35" t="n">
        <f aca="false">INDEX(H160:K160,1,Inputs!$B$5)</f>
        <v>996.849607260563</v>
      </c>
      <c r="M160" s="35" t="n">
        <f aca="false">L160*E160</f>
        <v>0.155258027289791</v>
      </c>
      <c r="N160" s="35" t="n">
        <f aca="false">L160^$AB$7</f>
        <v>996.849607260563</v>
      </c>
      <c r="O160" s="35" t="n">
        <f aca="false">N160*E160</f>
        <v>0.155258027289791</v>
      </c>
      <c r="P160" s="35" t="n">
        <f aca="false">N160*$AB$3/($AB$4*$AB$1)</f>
        <v>6722709.51242166</v>
      </c>
      <c r="Q160" s="35" t="n">
        <f aca="false">IF(G160&lt;=3,F160*SQRT(P160),0)</f>
        <v>914428.473655124</v>
      </c>
      <c r="R160" s="35" t="n">
        <f aca="false">SQRT(P160/$AB$6)</f>
        <v>1197980374.07134</v>
      </c>
      <c r="S160" s="35" t="n">
        <f aca="false">2*$AB$6*R160</f>
        <v>0.0112234050873046</v>
      </c>
      <c r="T160" s="35" t="n">
        <f aca="false">IF(G160&lt;=3,F160*R160,0)</f>
        <v>422500542667.368</v>
      </c>
      <c r="U160" s="35" t="n">
        <f aca="false">F160*P160</f>
        <v>2370947369.98094</v>
      </c>
      <c r="V160" s="35" t="n">
        <f aca="false">H160^$AB$7*E160</f>
        <v>0.155258027289791</v>
      </c>
      <c r="W160" s="35" t="n">
        <f aca="false">I160^$AB$7*E160</f>
        <v>0.0587072841226042</v>
      </c>
      <c r="X160" s="35" t="n">
        <f aca="false">J160^$AB$7*E160</f>
        <v>0.0410998120636232</v>
      </c>
      <c r="Y160" s="35" t="n">
        <f aca="false">K160^$AB$7*E160</f>
        <v>0.0324339057380631</v>
      </c>
    </row>
    <row r="161" customFormat="false" ht="15" hidden="false" customHeight="false" outlineLevel="0" collapsed="false">
      <c r="A161" s="35" t="n">
        <v>159</v>
      </c>
      <c r="B161" s="35" t="n">
        <f aca="false">C160</f>
        <v>0.00413682040238851</v>
      </c>
      <c r="C161" s="35" t="n">
        <f aca="false">Inputs!$B$22*(Inputs!$B$23/Inputs!$B$22)^(38/60)</f>
        <v>0.00429866234708228</v>
      </c>
      <c r="D161" s="35" t="n">
        <f aca="false">(B161+C161)/2</f>
        <v>0.00421774137473539</v>
      </c>
      <c r="E161" s="35" t="n">
        <f aca="false">C161-B161</f>
        <v>0.00016184194469377</v>
      </c>
      <c r="F161" s="35" t="n">
        <f aca="false">Inputs!$B$16*E161</f>
        <v>366.474899564572</v>
      </c>
      <c r="G161" s="35" t="n">
        <f aca="false">IF(D161&lt;=Inputs!$B$21,1,IF(D161&lt;=Inputs!$B$22,2,IF(D161&lt;=Inputs!$B$23,3,IF(D161&lt;=Inputs!$B$24,4,5))))</f>
        <v>3</v>
      </c>
      <c r="H161" s="35" t="n">
        <f aca="false">Fit!$B$10*D161^(-1/Fit!$B$9)</f>
        <v>972.178670282692</v>
      </c>
      <c r="I161" s="35" t="n">
        <f aca="false">EXP(Fit!$B$16+Fit!$B$15*-NORMSINV(D161))</f>
        <v>372.937710092267</v>
      </c>
      <c r="J161" s="35" t="n">
        <f aca="false">Fit!$B$22*LN(1/D161)^(1/Fit!$B$21)</f>
        <v>262.274842788651</v>
      </c>
      <c r="K161" s="35" t="n">
        <f aca="false">MAX(0,Fit!$B$28+Fit!$B$27*-NORMSINV(D161))</f>
        <v>207.43339196737</v>
      </c>
      <c r="L161" s="35" t="n">
        <f aca="false">INDEX(H161:K161,1,Inputs!$B$5)</f>
        <v>972.178670282692</v>
      </c>
      <c r="M161" s="35" t="n">
        <f aca="false">L161*E161</f>
        <v>0.157339286588354</v>
      </c>
      <c r="N161" s="35" t="n">
        <f aca="false">L161^$AB$7</f>
        <v>972.178670282692</v>
      </c>
      <c r="O161" s="35" t="n">
        <f aca="false">N161*E161</f>
        <v>0.157339286588354</v>
      </c>
      <c r="P161" s="35" t="n">
        <f aca="false">N161*$AB$3/($AB$4*$AB$1)</f>
        <v>6556329.80830834</v>
      </c>
      <c r="Q161" s="35" t="n">
        <f aca="false">IF(G161&lt;=3,F161*SQRT(P161),0)</f>
        <v>938371.114383565</v>
      </c>
      <c r="R161" s="35" t="n">
        <f aca="false">SQRT(P161/$AB$6)</f>
        <v>1183063147.89493</v>
      </c>
      <c r="S161" s="35" t="n">
        <f aca="false">2*$AB$6*R161</f>
        <v>0.0110836514855091</v>
      </c>
      <c r="T161" s="35" t="n">
        <f aca="false">IF(G161&lt;=3,F161*R161,0)</f>
        <v>433562948303.34</v>
      </c>
      <c r="U161" s="35" t="n">
        <f aca="false">F161*P161</f>
        <v>2402730308.01201</v>
      </c>
      <c r="V161" s="35" t="n">
        <f aca="false">H161^$AB$7*E161</f>
        <v>0.157339286588354</v>
      </c>
      <c r="W161" s="35" t="n">
        <f aca="false">I161^$AB$7*E161</f>
        <v>0.0603569642509737</v>
      </c>
      <c r="X161" s="35" t="n">
        <f aca="false">J161^$AB$7*E161</f>
        <v>0.0424470706011679</v>
      </c>
      <c r="Y161" s="35" t="n">
        <f aca="false">K161^$AB$7*E161</f>
        <v>0.0335714235504241</v>
      </c>
    </row>
    <row r="162" customFormat="false" ht="15" hidden="false" customHeight="false" outlineLevel="0" collapsed="false">
      <c r="A162" s="35" t="n">
        <v>160</v>
      </c>
      <c r="B162" s="35" t="n">
        <f aca="false">C161</f>
        <v>0.00429866234708228</v>
      </c>
      <c r="C162" s="35" t="n">
        <f aca="false">Inputs!$B$22*(Inputs!$B$23/Inputs!$B$22)^(39/60)</f>
        <v>0.00446683592150963</v>
      </c>
      <c r="D162" s="35" t="n">
        <f aca="false">(B162+C162)/2</f>
        <v>0.00438274913429596</v>
      </c>
      <c r="E162" s="35" t="n">
        <f aca="false">C162-B162</f>
        <v>0.000168173574427355</v>
      </c>
      <c r="F162" s="35" t="n">
        <f aca="false">Inputs!$B$16*E162</f>
        <v>380.812241933303</v>
      </c>
      <c r="G162" s="35" t="n">
        <f aca="false">IF(D162&lt;=Inputs!$B$21,1,IF(D162&lt;=Inputs!$B$22,2,IF(D162&lt;=Inputs!$B$23,3,IF(D162&lt;=Inputs!$B$24,4,5))))</f>
        <v>3</v>
      </c>
      <c r="H162" s="35" t="n">
        <f aca="false">Fit!$B$10*D162^(-1/Fit!$B$9)</f>
        <v>948.118311998871</v>
      </c>
      <c r="I162" s="35" t="n">
        <f aca="false">EXP(Fit!$B$16+Fit!$B$15*-NORMSINV(D162))</f>
        <v>368.965886956462</v>
      </c>
      <c r="J162" s="35" t="n">
        <f aca="false">Fit!$B$22*LN(1/D162)^(1/Fit!$B$21)</f>
        <v>260.662845449868</v>
      </c>
      <c r="K162" s="35" t="n">
        <f aca="false">MAX(0,Fit!$B$28+Fit!$B$27*-NORMSINV(D162))</f>
        <v>206.61836805148</v>
      </c>
      <c r="L162" s="35" t="n">
        <f aca="false">INDEX(H162:K162,1,Inputs!$B$5)</f>
        <v>948.118311998871</v>
      </c>
      <c r="M162" s="35" t="n">
        <f aca="false">L162*E162</f>
        <v>0.159448445508881</v>
      </c>
      <c r="N162" s="35" t="n">
        <f aca="false">L162^$AB$7</f>
        <v>948.118311998871</v>
      </c>
      <c r="O162" s="35" t="n">
        <f aca="false">N162*E162</f>
        <v>0.159448445508881</v>
      </c>
      <c r="P162" s="35" t="n">
        <f aca="false">N162*$AB$3/($AB$4*$AB$1)</f>
        <v>6394067.81981097</v>
      </c>
      <c r="Q162" s="35" t="n">
        <f aca="false">IF(G162&lt;=3,F162*SQRT(P162),0)</f>
        <v>962940.64946359</v>
      </c>
      <c r="R162" s="35" t="n">
        <f aca="false">SQRT(P162/$AB$6)</f>
        <v>1168331670.70207</v>
      </c>
      <c r="S162" s="35" t="n">
        <f aca="false">2*$AB$6*R162</f>
        <v>0.0109456380925952</v>
      </c>
      <c r="T162" s="35" t="n">
        <f aca="false">IF(G162&lt;=3,F162*R162,0)</f>
        <v>444915002841.737</v>
      </c>
      <c r="U162" s="35" t="n">
        <f aca="false">F162*P162</f>
        <v>2434939301.5358</v>
      </c>
      <c r="V162" s="35" t="n">
        <f aca="false">H162^$AB$7*E162</f>
        <v>0.159448445508881</v>
      </c>
      <c r="W162" s="35" t="n">
        <f aca="false">I162^$AB$7*E162</f>
        <v>0.0620503120512276</v>
      </c>
      <c r="X162" s="35" t="n">
        <f aca="false">J162^$AB$7*E162</f>
        <v>0.0438366024397096</v>
      </c>
      <c r="Y162" s="35" t="n">
        <f aca="false">K162^$AB$7*E162</f>
        <v>0.0347477494975642</v>
      </c>
    </row>
    <row r="163" customFormat="false" ht="15" hidden="false" customHeight="false" outlineLevel="0" collapsed="false">
      <c r="A163" s="35" t="n">
        <v>161</v>
      </c>
      <c r="B163" s="35" t="n">
        <f aca="false">C162</f>
        <v>0.00446683592150963</v>
      </c>
      <c r="C163" s="35" t="n">
        <f aca="false">Inputs!$B$22*(Inputs!$B$23/Inputs!$B$22)^(40/60)</f>
        <v>0.00464158883361278</v>
      </c>
      <c r="D163" s="35" t="n">
        <f aca="false">(B163+C163)/2</f>
        <v>0.00455421237756121</v>
      </c>
      <c r="E163" s="35" t="n">
        <f aca="false">C163-B163</f>
        <v>0.000174752912103146</v>
      </c>
      <c r="F163" s="35" t="n">
        <f aca="false">Inputs!$B$16*E163</f>
        <v>395.710494166364</v>
      </c>
      <c r="G163" s="35" t="n">
        <f aca="false">IF(D163&lt;=Inputs!$B$21,1,IF(D163&lt;=Inputs!$B$22,2,IF(D163&lt;=Inputs!$B$23,3,IF(D163&lt;=Inputs!$B$24,4,5))))</f>
        <v>3</v>
      </c>
      <c r="H163" s="35" t="n">
        <f aca="false">Fit!$B$10*D163^(-1/Fit!$B$9)</f>
        <v>924.653421254548</v>
      </c>
      <c r="I163" s="35" t="n">
        <f aca="false">EXP(Fit!$B$16+Fit!$B$15*-NORMSINV(D163))</f>
        <v>365.020363381914</v>
      </c>
      <c r="J163" s="35" t="n">
        <f aca="false">Fit!$B$22*LN(1/D163)^(1/Fit!$B$21)</f>
        <v>259.049428210969</v>
      </c>
      <c r="K163" s="35" t="n">
        <f aca="false">MAX(0,Fit!$B$28+Fit!$B$27*-NORMSINV(D163))</f>
        <v>205.800007510955</v>
      </c>
      <c r="L163" s="35" t="n">
        <f aca="false">INDEX(H163:K163,1,Inputs!$B$5)</f>
        <v>924.653421254548</v>
      </c>
      <c r="M163" s="35" t="n">
        <f aca="false">L163*E163</f>
        <v>0.161585878050369</v>
      </c>
      <c r="N163" s="35" t="n">
        <f aca="false">L163^$AB$7</f>
        <v>924.653421254548</v>
      </c>
      <c r="O163" s="35" t="n">
        <f aca="false">N163*E163</f>
        <v>0.161585878050369</v>
      </c>
      <c r="P163" s="35" t="n">
        <f aca="false">N163*$AB$3/($AB$4*$AB$1)</f>
        <v>6235821.63797388</v>
      </c>
      <c r="Q163" s="35" t="n">
        <f aca="false">IF(G163&lt;=3,F163*SQRT(P163),0)</f>
        <v>988153.492979664</v>
      </c>
      <c r="R163" s="35" t="n">
        <f aca="false">SQRT(P163/$AB$6)</f>
        <v>1153783629.55036</v>
      </c>
      <c r="S163" s="35" t="n">
        <f aca="false">2*$AB$6*R163</f>
        <v>0.0108093432395189</v>
      </c>
      <c r="T163" s="35" t="n">
        <f aca="false">IF(G163&lt;=3,F163*R163,0)</f>
        <v>456564290210.435</v>
      </c>
      <c r="U163" s="35" t="n">
        <f aca="false">F163*P163</f>
        <v>2467580061.89595</v>
      </c>
      <c r="V163" s="35" t="n">
        <f aca="false">H163^$AB$7*E163</f>
        <v>0.161585878050369</v>
      </c>
      <c r="W163" s="35" t="n">
        <f aca="false">I163^$AB$7*E163</f>
        <v>0.063788371477938</v>
      </c>
      <c r="X163" s="35" t="n">
        <f aca="false">J163^$AB$7*E163</f>
        <v>0.0452696419585217</v>
      </c>
      <c r="Y163" s="35" t="n">
        <f aca="false">K163^$AB$7*E163</f>
        <v>0.0359641506233886</v>
      </c>
    </row>
    <row r="164" customFormat="false" ht="15" hidden="false" customHeight="false" outlineLevel="0" collapsed="false">
      <c r="A164" s="35" t="n">
        <v>162</v>
      </c>
      <c r="B164" s="35" t="n">
        <f aca="false">C163</f>
        <v>0.00464158883361278</v>
      </c>
      <c r="C164" s="35" t="n">
        <f aca="false">Inputs!$B$22*(Inputs!$B$23/Inputs!$B$22)^(41/60)</f>
        <v>0.00482317848223931</v>
      </c>
      <c r="D164" s="35" t="n">
        <f aca="false">(B164+C164)/2</f>
        <v>0.00473238365792604</v>
      </c>
      <c r="E164" s="35" t="n">
        <f aca="false">C164-B164</f>
        <v>0.000181589648626529</v>
      </c>
      <c r="F164" s="35" t="n">
        <f aca="false">Inputs!$B$16*E164</f>
        <v>411.191600349911</v>
      </c>
      <c r="G164" s="35" t="n">
        <f aca="false">IF(D164&lt;=Inputs!$B$21,1,IF(D164&lt;=Inputs!$B$22,2,IF(D164&lt;=Inputs!$B$23,3,IF(D164&lt;=Inputs!$B$24,4,5))))</f>
        <v>3</v>
      </c>
      <c r="H164" s="35" t="n">
        <f aca="false">Fit!$B$10*D164^(-1/Fit!$B$9)</f>
        <v>901.769260879711</v>
      </c>
      <c r="I164" s="35" t="n">
        <f aca="false">EXP(Fit!$B$16+Fit!$B$15*-NORMSINV(D164))</f>
        <v>361.101015372535</v>
      </c>
      <c r="J164" s="35" t="n">
        <f aca="false">Fit!$B$22*LN(1/D164)^(1/Fit!$B$21)</f>
        <v>257.434579701295</v>
      </c>
      <c r="K164" s="35" t="n">
        <f aca="false">MAX(0,Fit!$B$28+Fit!$B$27*-NORMSINV(D164))</f>
        <v>204.97827096806</v>
      </c>
      <c r="L164" s="35" t="n">
        <f aca="false">INDEX(H164:K164,1,Inputs!$B$5)</f>
        <v>901.769260879711</v>
      </c>
      <c r="M164" s="35" t="n">
        <f aca="false">L164*E164</f>
        <v>0.163751963225351</v>
      </c>
      <c r="N164" s="35" t="n">
        <f aca="false">L164^$AB$7</f>
        <v>901.769260879711</v>
      </c>
      <c r="O164" s="35" t="n">
        <f aca="false">N164*E164</f>
        <v>0.163751963225351</v>
      </c>
      <c r="P164" s="35" t="n">
        <f aca="false">N164*$AB$3/($AB$4*$AB$1)</f>
        <v>6081491.8759765</v>
      </c>
      <c r="Q164" s="35" t="n">
        <f aca="false">IF(G164&lt;=3,F164*SQRT(P164),0)</f>
        <v>1014026.48878918</v>
      </c>
      <c r="R164" s="35" t="n">
        <f aca="false">SQRT(P164/$AB$6)</f>
        <v>1139416740.29812</v>
      </c>
      <c r="S164" s="35" t="n">
        <f aca="false">2*$AB$6*R164</f>
        <v>0.0106747455270585</v>
      </c>
      <c r="T164" s="35" t="n">
        <f aca="false">IF(G164&lt;=3,F164*R164,0)</f>
        <v>468518592908.664</v>
      </c>
      <c r="U164" s="35" t="n">
        <f aca="false">F164*P164</f>
        <v>2500658376.99776</v>
      </c>
      <c r="V164" s="35" t="n">
        <f aca="false">H164^$AB$7*E164</f>
        <v>0.163751963225351</v>
      </c>
      <c r="W164" s="35" t="n">
        <f aca="false">I164^$AB$7*E164</f>
        <v>0.0655722065001813</v>
      </c>
      <c r="X164" s="35" t="n">
        <f aca="false">J164^$AB$7*E164</f>
        <v>0.0467474548722761</v>
      </c>
      <c r="Y164" s="35" t="n">
        <f aca="false">K164^$AB$7*E164</f>
        <v>0.0372219322011635</v>
      </c>
    </row>
    <row r="165" customFormat="false" ht="15" hidden="false" customHeight="false" outlineLevel="0" collapsed="false">
      <c r="A165" s="35" t="n">
        <v>163</v>
      </c>
      <c r="B165" s="35" t="n">
        <f aca="false">C164</f>
        <v>0.00482317848223931</v>
      </c>
      <c r="C165" s="35" t="n">
        <f aca="false">Inputs!$B$22*(Inputs!$B$23/Inputs!$B$22)^(42/60)</f>
        <v>0.00501187233627272</v>
      </c>
      <c r="D165" s="35" t="n">
        <f aca="false">(B165+C165)/2</f>
        <v>0.00491752540925601</v>
      </c>
      <c r="E165" s="35" t="n">
        <f aca="false">C165-B165</f>
        <v>0.000188693854033415</v>
      </c>
      <c r="F165" s="35" t="n">
        <f aca="false">Inputs!$B$16*E165</f>
        <v>427.278363073266</v>
      </c>
      <c r="G165" s="35" t="n">
        <f aca="false">IF(D165&lt;=Inputs!$B$21,1,IF(D165&lt;=Inputs!$B$22,2,IF(D165&lt;=Inputs!$B$23,3,IF(D165&lt;=Inputs!$B$24,4,5))))</f>
        <v>3</v>
      </c>
      <c r="H165" s="35" t="n">
        <f aca="false">Fit!$B$10*D165^(-1/Fit!$B$9)</f>
        <v>879.451458433179</v>
      </c>
      <c r="I165" s="35" t="n">
        <f aca="false">EXP(Fit!$B$16+Fit!$B$15*-NORMSINV(D165))</f>
        <v>357.207719288898</v>
      </c>
      <c r="J165" s="35" t="n">
        <f aca="false">Fit!$B$22*LN(1/D165)^(1/Fit!$B$21)</f>
        <v>255.818288376924</v>
      </c>
      <c r="K165" s="35" t="n">
        <f aca="false">MAX(0,Fit!$B$28+Fit!$B$27*-NORMSINV(D165))</f>
        <v>204.153118282605</v>
      </c>
      <c r="L165" s="35" t="n">
        <f aca="false">INDEX(H165:K165,1,Inputs!$B$5)</f>
        <v>879.451458433179</v>
      </c>
      <c r="M165" s="35" t="n">
        <f aca="false">L165*E165</f>
        <v>0.165947085127064</v>
      </c>
      <c r="N165" s="35" t="n">
        <f aca="false">L165^$AB$7</f>
        <v>879.451458433179</v>
      </c>
      <c r="O165" s="35" t="n">
        <f aca="false">N165*E165</f>
        <v>0.165947085127064</v>
      </c>
      <c r="P165" s="35" t="n">
        <f aca="false">N165*$AB$3/($AB$4*$AB$1)</f>
        <v>5930981.60671335</v>
      </c>
      <c r="Q165" s="35" t="n">
        <f aca="false">IF(G165&lt;=3,F165*SQRT(P165),0)</f>
        <v>1040576.9217751</v>
      </c>
      <c r="R165" s="35" t="n">
        <f aca="false">SQRT(P165/$AB$6)</f>
        <v>1125228747.24574</v>
      </c>
      <c r="S165" s="35" t="n">
        <f aca="false">2*$AB$6*R165</f>
        <v>0.0105418238224553</v>
      </c>
      <c r="T165" s="35" t="n">
        <f aca="false">IF(G165&lt;=3,F165*R165,0)</f>
        <v>480785897206.141</v>
      </c>
      <c r="U165" s="35" t="n">
        <f aca="false">F165*P165</f>
        <v>2534180112.33413</v>
      </c>
      <c r="V165" s="35" t="n">
        <f aca="false">H165^$AB$7*E165</f>
        <v>0.165947085127064</v>
      </c>
      <c r="W165" s="35" t="n">
        <f aca="false">I165^$AB$7*E165</f>
        <v>0.0674029012431085</v>
      </c>
      <c r="X165" s="35" t="n">
        <f aca="false">J165^$AB$7*E165</f>
        <v>0.0482713387660734</v>
      </c>
      <c r="Y165" s="35" t="n">
        <f aca="false">K165^$AB$7*E165</f>
        <v>0.0385224387016845</v>
      </c>
    </row>
    <row r="166" customFormat="false" ht="15" hidden="false" customHeight="false" outlineLevel="0" collapsed="false">
      <c r="A166" s="35" t="n">
        <v>164</v>
      </c>
      <c r="B166" s="35" t="n">
        <f aca="false">C165</f>
        <v>0.00501187233627272</v>
      </c>
      <c r="C166" s="35" t="n">
        <f aca="false">Inputs!$B$22*(Inputs!$B$23/Inputs!$B$22)^(43/60)</f>
        <v>0.00520794832859546</v>
      </c>
      <c r="D166" s="35" t="n">
        <f aca="false">(B166+C166)/2</f>
        <v>0.00510991033243409</v>
      </c>
      <c r="E166" s="35" t="n">
        <f aca="false">C166-B166</f>
        <v>0.000196075992322742</v>
      </c>
      <c r="F166" s="35" t="n">
        <f aca="false">Inputs!$B$16*E166</f>
        <v>443.994477015616</v>
      </c>
      <c r="G166" s="35" t="n">
        <f aca="false">IF(D166&lt;=Inputs!$B$21,1,IF(D166&lt;=Inputs!$B$22,2,IF(D166&lt;=Inputs!$B$23,3,IF(D166&lt;=Inputs!$B$24,4,5))))</f>
        <v>3</v>
      </c>
      <c r="H166" s="35" t="n">
        <f aca="false">Fit!$B$10*D166^(-1/Fit!$B$9)</f>
        <v>857.685997175961</v>
      </c>
      <c r="I166" s="35" t="n">
        <f aca="false">EXP(Fit!$B$16+Fit!$B$15*-NORMSINV(D166))</f>
        <v>353.340351845058</v>
      </c>
      <c r="J166" s="35" t="n">
        <f aca="false">Fit!$B$22*LN(1/D166)^(1/Fit!$B$21)</f>
        <v>254.200542516763</v>
      </c>
      <c r="K166" s="35" t="n">
        <f aca="false">MAX(0,Fit!$B$28+Fit!$B$27*-NORMSINV(D166))</f>
        <v>203.324508531407</v>
      </c>
      <c r="L166" s="35" t="n">
        <f aca="false">INDEX(H166:K166,1,Inputs!$B$5)</f>
        <v>857.685997175961</v>
      </c>
      <c r="M166" s="35" t="n">
        <f aca="false">L166*E166</f>
        <v>0.168171632997597</v>
      </c>
      <c r="N166" s="35" t="n">
        <f aca="false">L166^$AB$7</f>
        <v>857.685997175961</v>
      </c>
      <c r="O166" s="35" t="n">
        <f aca="false">N166*E166</f>
        <v>0.168171632997597</v>
      </c>
      <c r="P166" s="35" t="n">
        <f aca="false">N166*$AB$3/($AB$4*$AB$1)</f>
        <v>5784196.30191873</v>
      </c>
      <c r="Q166" s="35" t="n">
        <f aca="false">IF(G166&lt;=3,F166*SQRT(P166),0)</f>
        <v>1067822.5293936</v>
      </c>
      <c r="R166" s="35" t="n">
        <f aca="false">SQRT(P166/$AB$6)</f>
        <v>1111217422.78153</v>
      </c>
      <c r="S166" s="35" t="n">
        <f aca="false">2*$AB$6*R166</f>
        <v>0.010410557256095</v>
      </c>
      <c r="T166" s="35" t="n">
        <f aca="false">IF(G166&lt;=3,F166*R166,0)</f>
        <v>493374398478.528</v>
      </c>
      <c r="U166" s="35" t="n">
        <f aca="false">F166*P166</f>
        <v>2568151212.02607</v>
      </c>
      <c r="V166" s="35" t="n">
        <f aca="false">H166^$AB$7*E166</f>
        <v>0.168171632997597</v>
      </c>
      <c r="W166" s="35" t="n">
        <f aca="false">I166^$AB$7*E166</f>
        <v>0.0692815601156865</v>
      </c>
      <c r="X166" s="35" t="n">
        <f aca="false">J166^$AB$7*E166</f>
        <v>0.0498426236229535</v>
      </c>
      <c r="Y166" s="35" t="n">
        <f aca="false">K166^$AB$7*E166</f>
        <v>0.0398670547738295</v>
      </c>
    </row>
    <row r="167" customFormat="false" ht="15" hidden="false" customHeight="false" outlineLevel="0" collapsed="false">
      <c r="A167" s="35" t="n">
        <v>165</v>
      </c>
      <c r="B167" s="35" t="n">
        <f aca="false">C166</f>
        <v>0.00520794832859546</v>
      </c>
      <c r="C167" s="35" t="n">
        <f aca="false">Inputs!$B$22*(Inputs!$B$23/Inputs!$B$22)^(44/60)</f>
        <v>0.00541169526546464</v>
      </c>
      <c r="D167" s="35" t="n">
        <f aca="false">(B167+C167)/2</f>
        <v>0.00530982179703005</v>
      </c>
      <c r="E167" s="35" t="n">
        <f aca="false">C167-B167</f>
        <v>0.000203746936869172</v>
      </c>
      <c r="F167" s="35" t="n">
        <f aca="false">Inputs!$B$16*E167</f>
        <v>461.364563846553</v>
      </c>
      <c r="G167" s="35" t="n">
        <f aca="false">IF(D167&lt;=Inputs!$B$21,1,IF(D167&lt;=Inputs!$B$22,2,IF(D167&lt;=Inputs!$B$23,3,IF(D167&lt;=Inputs!$B$24,4,5))))</f>
        <v>3</v>
      </c>
      <c r="H167" s="35" t="n">
        <f aca="false">Fit!$B$10*D167^(-1/Fit!$B$9)</f>
        <v>836.459207268023</v>
      </c>
      <c r="I167" s="35" t="n">
        <f aca="false">EXP(Fit!$B$16+Fit!$B$15*-NORMSINV(D167))</f>
        <v>349.498790105297</v>
      </c>
      <c r="J167" s="35" t="n">
        <f aca="false">Fit!$B$22*LN(1/D167)^(1/Fit!$B$21)</f>
        <v>252.581330218517</v>
      </c>
      <c r="K167" s="35" t="n">
        <f aca="false">MAX(0,Fit!$B$28+Fit!$B$27*-NORMSINV(D167))</f>
        <v>202.492399987055</v>
      </c>
      <c r="L167" s="35" t="n">
        <f aca="false">INDEX(H167:K167,1,Inputs!$B$5)</f>
        <v>836.459207268023</v>
      </c>
      <c r="M167" s="35" t="n">
        <f aca="false">L167*E167</f>
        <v>0.170426001296876</v>
      </c>
      <c r="N167" s="35" t="n">
        <f aca="false">L167^$AB$7</f>
        <v>836.459207268023</v>
      </c>
      <c r="O167" s="35" t="n">
        <f aca="false">N167*E167</f>
        <v>0.170426001296876</v>
      </c>
      <c r="P167" s="35" t="n">
        <f aca="false">N167*$AB$3/($AB$4*$AB$1)</f>
        <v>5641043.77279808</v>
      </c>
      <c r="Q167" s="35" t="n">
        <f aca="false">IF(G167&lt;=3,F167*SQRT(P167),0)</f>
        <v>1095781.51352366</v>
      </c>
      <c r="R167" s="35" t="n">
        <f aca="false">SQRT(P167/$AB$6)</f>
        <v>1097380567.032</v>
      </c>
      <c r="S167" s="35" t="n">
        <f aca="false">2*$AB$6*R167</f>
        <v>0.0102809252182312</v>
      </c>
      <c r="T167" s="35" t="n">
        <f aca="false">IF(G167&lt;=3,F167*R167,0)</f>
        <v>506292506682.401</v>
      </c>
      <c r="U167" s="35" t="n">
        <f aca="false">F167*P167</f>
        <v>2602577699.8763</v>
      </c>
      <c r="V167" s="35" t="n">
        <f aca="false">H167^$AB$7*E167</f>
        <v>0.170426001296876</v>
      </c>
      <c r="W167" s="35" t="n">
        <f aca="false">I167^$AB$7*E167</f>
        <v>0.0712093079234359</v>
      </c>
      <c r="X167" s="35" t="n">
        <f aca="false">J167^$AB$7*E167</f>
        <v>0.0514626723423636</v>
      </c>
      <c r="Y167" s="35" t="n">
        <f aca="false">K167^$AB$7*E167</f>
        <v>0.0412572062366497</v>
      </c>
    </row>
    <row r="168" customFormat="false" ht="15" hidden="false" customHeight="false" outlineLevel="0" collapsed="false">
      <c r="A168" s="35" t="n">
        <v>166</v>
      </c>
      <c r="B168" s="35" t="n">
        <f aca="false">C167</f>
        <v>0.00541169526546464</v>
      </c>
      <c r="C168" s="35" t="n">
        <f aca="false">Inputs!$B$22*(Inputs!$B$23/Inputs!$B$22)^(45/60)</f>
        <v>0.00562341325190349</v>
      </c>
      <c r="D168" s="35" t="n">
        <f aca="false">(B168+C168)/2</f>
        <v>0.00551755425868406</v>
      </c>
      <c r="E168" s="35" t="n">
        <f aca="false">C168-B168</f>
        <v>0.000211717986438855</v>
      </c>
      <c r="F168" s="35" t="n">
        <f aca="false">Inputs!$B$16*E168</f>
        <v>479.414208492144</v>
      </c>
      <c r="G168" s="35" t="n">
        <f aca="false">IF(D168&lt;=Inputs!$B$21,1,IF(D168&lt;=Inputs!$B$22,2,IF(D168&lt;=Inputs!$B$23,3,IF(D168&lt;=Inputs!$B$24,4,5))))</f>
        <v>3</v>
      </c>
      <c r="H168" s="35" t="n">
        <f aca="false">Fit!$B$10*D168^(-1/Fit!$B$9)</f>
        <v>815.757757182909</v>
      </c>
      <c r="I168" s="35" t="n">
        <f aca="false">EXP(Fit!$B$16+Fit!$B$15*-NORMSINV(D168))</f>
        <v>345.682911480787</v>
      </c>
      <c r="J168" s="35" t="n">
        <f aca="false">Fit!$B$22*LN(1/D168)^(1/Fit!$B$21)</f>
        <v>250.96063939454</v>
      </c>
      <c r="K168" s="35" t="n">
        <f aca="false">MAX(0,Fit!$B$28+Fit!$B$27*-NORMSINV(D168))</f>
        <v>201.656750095927</v>
      </c>
      <c r="L168" s="35" t="n">
        <f aca="false">INDEX(H168:K168,1,Inputs!$B$5)</f>
        <v>815.757757182909</v>
      </c>
      <c r="M168" s="35" t="n">
        <f aca="false">L168*E168</f>
        <v>0.172710589772642</v>
      </c>
      <c r="N168" s="35" t="n">
        <f aca="false">L168^$AB$7</f>
        <v>815.757757182909</v>
      </c>
      <c r="O168" s="35" t="n">
        <f aca="false">N168*E168</f>
        <v>0.172710589772642</v>
      </c>
      <c r="P168" s="35" t="n">
        <f aca="false">N168*$AB$3/($AB$4*$AB$1)</f>
        <v>5501434.11212864</v>
      </c>
      <c r="Q168" s="35" t="n">
        <f aca="false">IF(G168&lt;=3,F168*SQRT(P168),0)</f>
        <v>1124472.55262736</v>
      </c>
      <c r="R168" s="35" t="n">
        <f aca="false">SQRT(P168/$AB$6)</f>
        <v>1083716007.5164</v>
      </c>
      <c r="S168" s="35" t="n">
        <f aca="false">2*$AB$6*R168</f>
        <v>0.01015290735575</v>
      </c>
      <c r="T168" s="35" t="n">
        <f aca="false">IF(G168&lt;=3,F168*R168,0)</f>
        <v>519548851973.742</v>
      </c>
      <c r="U168" s="35" t="n">
        <f aca="false">F168*P168</f>
        <v>2637465680.43783</v>
      </c>
      <c r="V168" s="35" t="n">
        <f aca="false">H168^$AB$7*E168</f>
        <v>0.172710589772642</v>
      </c>
      <c r="W168" s="35" t="n">
        <f aca="false">I168^$AB$7*E168</f>
        <v>0.0731872899650332</v>
      </c>
      <c r="X168" s="35" t="n">
        <f aca="false">J168^$AB$7*E168</f>
        <v>0.0531328812480196</v>
      </c>
      <c r="Y168" s="35" t="n">
        <f aca="false">K168^$AB$7*E168</f>
        <v>0.0426943610821131</v>
      </c>
    </row>
    <row r="169" customFormat="false" ht="15" hidden="false" customHeight="false" outlineLevel="0" collapsed="false">
      <c r="A169" s="35" t="n">
        <v>167</v>
      </c>
      <c r="B169" s="35" t="n">
        <f aca="false">C168</f>
        <v>0.00562341325190349</v>
      </c>
      <c r="C169" s="35" t="n">
        <f aca="false">Inputs!$B$22*(Inputs!$B$23/Inputs!$B$22)^(46/60)</f>
        <v>0.00584341413373518</v>
      </c>
      <c r="D169" s="35" t="n">
        <f aca="false">(B169+C169)/2</f>
        <v>0.00573341369281934</v>
      </c>
      <c r="E169" s="35" t="n">
        <f aca="false">C169-B169</f>
        <v>0.000220000881831686</v>
      </c>
      <c r="F169" s="35" t="n">
        <f aca="false">Inputs!$B$16*E169</f>
        <v>498.169996819671</v>
      </c>
      <c r="G169" s="35" t="n">
        <f aca="false">IF(D169&lt;=Inputs!$B$21,1,IF(D169&lt;=Inputs!$B$22,2,IF(D169&lt;=Inputs!$B$23,3,IF(D169&lt;=Inputs!$B$24,4,5))))</f>
        <v>3</v>
      </c>
      <c r="H169" s="35" t="n">
        <f aca="false">Fit!$B$10*D169^(-1/Fit!$B$9)</f>
        <v>795.568645334858</v>
      </c>
      <c r="I169" s="35" t="n">
        <f aca="false">EXP(Fit!$B$16+Fit!$B$15*-NORMSINV(D169))</f>
        <v>341.89259372618</v>
      </c>
      <c r="J169" s="35" t="n">
        <f aca="false">Fit!$B$22*LN(1/D169)^(1/Fit!$B$21)</f>
        <v>249.338457767557</v>
      </c>
      <c r="K169" s="35" t="n">
        <f aca="false">MAX(0,Fit!$B$28+Fit!$B$27*-NORMSINV(D169))</f>
        <v>200.817515455436</v>
      </c>
      <c r="L169" s="35" t="n">
        <f aca="false">INDEX(H169:K169,1,Inputs!$B$5)</f>
        <v>795.568645334858</v>
      </c>
      <c r="M169" s="35" t="n">
        <f aca="false">L169*E169</f>
        <v>0.175025803531309</v>
      </c>
      <c r="N169" s="35" t="n">
        <f aca="false">L169^$AB$7</f>
        <v>795.568645334858</v>
      </c>
      <c r="O169" s="35" t="n">
        <f aca="false">N169*E169</f>
        <v>0.175025803531309</v>
      </c>
      <c r="P169" s="35" t="n">
        <f aca="false">N169*$AB$3/($AB$4*$AB$1)</f>
        <v>5365279.63779301</v>
      </c>
      <c r="Q169" s="35" t="n">
        <f aca="false">IF(G169&lt;=3,F169*SQRT(P169),0)</f>
        <v>1153914.81422814</v>
      </c>
      <c r="R169" s="35" t="n">
        <f aca="false">SQRT(P169/$AB$6)</f>
        <v>1070221598.8057</v>
      </c>
      <c r="S169" s="35" t="n">
        <f aca="false">2*$AB$6*R169</f>
        <v>0.0100264835689736</v>
      </c>
      <c r="T169" s="35" t="n">
        <f aca="false">IF(G169&lt;=3,F169*R169,0)</f>
        <v>533152290473.379</v>
      </c>
      <c r="U169" s="35" t="n">
        <f aca="false">F169*P169</f>
        <v>2672821340.09599</v>
      </c>
      <c r="V169" s="35" t="n">
        <f aca="false">H169^$AB$7*E169</f>
        <v>0.175025803531309</v>
      </c>
      <c r="W169" s="35" t="n">
        <f aca="false">I169^$AB$7*E169</f>
        <v>0.0752166721114821</v>
      </c>
      <c r="X169" s="35" t="n">
        <f aca="false">J169^$AB$7*E169</f>
        <v>0.0548546805834153</v>
      </c>
      <c r="Y169" s="35" t="n">
        <f aca="false">K169^$AB$7*E169</f>
        <v>0.0441800304874442</v>
      </c>
    </row>
    <row r="170" customFormat="false" ht="15" hidden="false" customHeight="false" outlineLevel="0" collapsed="false">
      <c r="A170" s="35" t="n">
        <v>168</v>
      </c>
      <c r="B170" s="35" t="n">
        <f aca="false">C169</f>
        <v>0.00584341413373518</v>
      </c>
      <c r="C170" s="35" t="n">
        <f aca="false">Inputs!$B$22*(Inputs!$B$23/Inputs!$B$22)^(47/60)</f>
        <v>0.00607202195690989</v>
      </c>
      <c r="D170" s="35" t="n">
        <f aca="false">(B170+C170)/2</f>
        <v>0.00595771804532253</v>
      </c>
      <c r="E170" s="35" t="n">
        <f aca="false">C170-B170</f>
        <v>0.000228607823174708</v>
      </c>
      <c r="F170" s="35" t="n">
        <f aca="false">Inputs!$B$16*E170</f>
        <v>517.659554796808</v>
      </c>
      <c r="G170" s="35" t="n">
        <f aca="false">IF(D170&lt;=Inputs!$B$21,1,IF(D170&lt;=Inputs!$B$22,2,IF(D170&lt;=Inputs!$B$23,3,IF(D170&lt;=Inputs!$B$24,4,5))))</f>
        <v>3</v>
      </c>
      <c r="H170" s="35" t="n">
        <f aca="false">Fit!$B$10*D170^(-1/Fit!$B$9)</f>
        <v>775.879191913128</v>
      </c>
      <c r="I170" s="35" t="n">
        <f aca="false">EXP(Fit!$B$16+Fit!$B$15*-NORMSINV(D170))</f>
        <v>338.127714936112</v>
      </c>
      <c r="J170" s="35" t="n">
        <f aca="false">Fit!$B$22*LN(1/D170)^(1/Fit!$B$21)</f>
        <v>247.714772866261</v>
      </c>
      <c r="K170" s="35" t="n">
        <f aca="false">MAX(0,Fit!$B$28+Fit!$B$27*-NORMSINV(D170))</f>
        <v>199.974651790479</v>
      </c>
      <c r="L170" s="35" t="n">
        <f aca="false">INDEX(H170:K170,1,Inputs!$B$5)</f>
        <v>775.879191913128</v>
      </c>
      <c r="M170" s="35" t="n">
        <f aca="false">L170*E170</f>
        <v>0.177372053109811</v>
      </c>
      <c r="N170" s="35" t="n">
        <f aca="false">L170^$AB$7</f>
        <v>775.879191913128</v>
      </c>
      <c r="O170" s="35" t="n">
        <f aca="false">N170*E170</f>
        <v>0.177372053109811</v>
      </c>
      <c r="P170" s="35" t="n">
        <f aca="false">N170*$AB$3/($AB$4*$AB$1)</f>
        <v>5232494.83771028</v>
      </c>
      <c r="Q170" s="35" t="n">
        <f aca="false">IF(G170&lt;=3,F170*SQRT(P170),0)</f>
        <v>1184127.96771608</v>
      </c>
      <c r="R170" s="35" t="n">
        <f aca="false">SQRT(P170/$AB$6)</f>
        <v>1056895222.18568</v>
      </c>
      <c r="S170" s="35" t="n">
        <f aca="false">2*$AB$6*R170</f>
        <v>0.00990163400850533</v>
      </c>
      <c r="T170" s="35" t="n">
        <f aca="false">IF(G170&lt;=3,F170*R170,0)</f>
        <v>547111910183.514</v>
      </c>
      <c r="U170" s="35" t="n">
        <f aca="false">F170*P170</f>
        <v>2708650948.1657</v>
      </c>
      <c r="V170" s="35" t="n">
        <f aca="false">H170^$AB$7*E170</f>
        <v>0.177372053109811</v>
      </c>
      <c r="W170" s="35" t="n">
        <f aca="false">I170^$AB$7*E170</f>
        <v>0.0772986408665827</v>
      </c>
      <c r="X170" s="35" t="n">
        <f aca="false">J170^$AB$7*E170</f>
        <v>0.0566295349931731</v>
      </c>
      <c r="Y170" s="35" t="n">
        <f aca="false">K170^$AB$7*E170</f>
        <v>0.0457157698359415</v>
      </c>
    </row>
    <row r="171" customFormat="false" ht="15" hidden="false" customHeight="false" outlineLevel="0" collapsed="false">
      <c r="A171" s="35" t="n">
        <v>169</v>
      </c>
      <c r="B171" s="35" t="n">
        <f aca="false">C170</f>
        <v>0.00607202195690989</v>
      </c>
      <c r="C171" s="35" t="n">
        <f aca="false">Inputs!$B$22*(Inputs!$B$23/Inputs!$B$22)^(48/60)</f>
        <v>0.00630957344480193</v>
      </c>
      <c r="D171" s="35" t="n">
        <f aca="false">(B171+C171)/2</f>
        <v>0.00619079770085591</v>
      </c>
      <c r="E171" s="35" t="n">
        <f aca="false">C171-B171</f>
        <v>0.000237551487892049</v>
      </c>
      <c r="F171" s="35" t="n">
        <f aca="false">Inputs!$B$16*E171</f>
        <v>537.911589182755</v>
      </c>
      <c r="G171" s="35" t="n">
        <f aca="false">IF(D171&lt;=Inputs!$B$21,1,IF(D171&lt;=Inputs!$B$22,2,IF(D171&lt;=Inputs!$B$23,3,IF(D171&lt;=Inputs!$B$24,4,5))))</f>
        <v>3</v>
      </c>
      <c r="H171" s="35" t="n">
        <f aca="false">Fit!$B$10*D171^(-1/Fit!$B$9)</f>
        <v>756.677030918418</v>
      </c>
      <c r="I171" s="35" t="n">
        <f aca="false">EXP(Fit!$B$16+Fit!$B$15*-NORMSINV(D171))</f>
        <v>334.388153541616</v>
      </c>
      <c r="J171" s="35" t="n">
        <f aca="false">Fit!$B$22*LN(1/D171)^(1/Fit!$B$21)</f>
        <v>246.089572020763</v>
      </c>
      <c r="K171" s="35" t="n">
        <f aca="false">MAX(0,Fit!$B$28+Fit!$B$27*-NORMSINV(D171))</f>
        <v>199.128113929039</v>
      </c>
      <c r="L171" s="35" t="n">
        <f aca="false">INDEX(H171:K171,1,Inputs!$B$5)</f>
        <v>756.677030918418</v>
      </c>
      <c r="M171" s="35" t="n">
        <f aca="false">L171*E171</f>
        <v>0.179749754548408</v>
      </c>
      <c r="N171" s="35" t="n">
        <f aca="false">L171^$AB$7</f>
        <v>756.677030918418</v>
      </c>
      <c r="O171" s="35" t="n">
        <f aca="false">N171*E171</f>
        <v>0.179749754548408</v>
      </c>
      <c r="P171" s="35" t="n">
        <f aca="false">N171*$AB$3/($AB$4*$AB$1)</f>
        <v>5102996.31612993</v>
      </c>
      <c r="Q171" s="35" t="n">
        <f aca="false">IF(G171&lt;=3,F171*SQRT(P171),0)</f>
        <v>1215132.19748839</v>
      </c>
      <c r="R171" s="35" t="n">
        <f aca="false">SQRT(P171/$AB$6)</f>
        <v>1043734785.32433</v>
      </c>
      <c r="S171" s="35" t="n">
        <f aca="false">2*$AB$6*R171</f>
        <v>0.00977833907211256</v>
      </c>
      <c r="T171" s="35" t="n">
        <f aca="false">IF(G171&lt;=3,F171*R171,0)</f>
        <v>561437037059.13</v>
      </c>
      <c r="U171" s="35" t="n">
        <f aca="false">F171*P171</f>
        <v>2744960858.0032</v>
      </c>
      <c r="V171" s="35" t="n">
        <f aca="false">H171^$AB$7*E171</f>
        <v>0.179749754548408</v>
      </c>
      <c r="W171" s="35" t="n">
        <f aca="false">I171^$AB$7*E171</f>
        <v>0.0794344034072857</v>
      </c>
      <c r="X171" s="35" t="n">
        <f aca="false">J171^$AB$7*E171</f>
        <v>0.0584589439882496</v>
      </c>
      <c r="Y171" s="35" t="n">
        <f aca="false">K171^$AB$7*E171</f>
        <v>0.0473031797449805</v>
      </c>
    </row>
    <row r="172" customFormat="false" ht="15" hidden="false" customHeight="false" outlineLevel="0" collapsed="false">
      <c r="A172" s="35" t="n">
        <v>170</v>
      </c>
      <c r="B172" s="35" t="n">
        <f aca="false">C171</f>
        <v>0.00630957344480193</v>
      </c>
      <c r="C172" s="35" t="n">
        <f aca="false">Inputs!$B$22*(Inputs!$B$23/Inputs!$B$22)^(49/60)</f>
        <v>0.00655641849417979</v>
      </c>
      <c r="D172" s="35" t="n">
        <f aca="false">(B172+C172)/2</f>
        <v>0.00643299596949086</v>
      </c>
      <c r="E172" s="35" t="n">
        <f aca="false">C172-B172</f>
        <v>0.000246845049377855</v>
      </c>
      <c r="F172" s="35" t="n">
        <f aca="false">Inputs!$B$16*E172</f>
        <v>558.955929811215</v>
      </c>
      <c r="G172" s="35" t="n">
        <f aca="false">IF(D172&lt;=Inputs!$B$21,1,IF(D172&lt;=Inputs!$B$22,2,IF(D172&lt;=Inputs!$B$23,3,IF(D172&lt;=Inputs!$B$24,4,5))))</f>
        <v>3</v>
      </c>
      <c r="H172" s="35" t="n">
        <f aca="false">Fit!$B$10*D172^(-1/Fit!$B$9)</f>
        <v>737.950102396379</v>
      </c>
      <c r="I172" s="35" t="n">
        <f aca="false">EXP(Fit!$B$16+Fit!$B$15*-NORMSINV(D172))</f>
        <v>330.673788306442</v>
      </c>
      <c r="J172" s="35" t="n">
        <f aca="false">Fit!$B$22*LN(1/D172)^(1/Fit!$B$21)</f>
        <v>244.462842357909</v>
      </c>
      <c r="K172" s="35" t="n">
        <f aca="false">MAX(0,Fit!$B$28+Fit!$B$27*-NORMSINV(D172))</f>
        <v>198.277855776918</v>
      </c>
      <c r="L172" s="35" t="n">
        <f aca="false">INDEX(H172:K172,1,Inputs!$B$5)</f>
        <v>737.950102396379</v>
      </c>
      <c r="M172" s="35" t="n">
        <f aca="false">L172*E172</f>
        <v>0.182159329464427</v>
      </c>
      <c r="N172" s="35" t="n">
        <f aca="false">L172^$AB$7</f>
        <v>737.950102396379</v>
      </c>
      <c r="O172" s="35" t="n">
        <f aca="false">N172*E172</f>
        <v>0.182159329464427</v>
      </c>
      <c r="P172" s="35" t="n">
        <f aca="false">N172*$AB$3/($AB$4*$AB$1)</f>
        <v>4976702.74125506</v>
      </c>
      <c r="Q172" s="35" t="n">
        <f aca="false">IF(G172&lt;=3,F172*SQRT(P172),0)</f>
        <v>1246948.21643378</v>
      </c>
      <c r="R172" s="35" t="n">
        <f aca="false">SQRT(P172/$AB$6)</f>
        <v>1030738221.94328</v>
      </c>
      <c r="S172" s="35" t="n">
        <f aca="false">2*$AB$6*R172</f>
        <v>0.00965657940164934</v>
      </c>
      <c r="T172" s="35" t="n">
        <f aca="false">IF(G172&lt;=3,F172*R172,0)</f>
        <v>576137241238.263</v>
      </c>
      <c r="U172" s="35" t="n">
        <f aca="false">F172*P172</f>
        <v>2781757508.13224</v>
      </c>
      <c r="V172" s="35" t="n">
        <f aca="false">H172^$AB$7*E172</f>
        <v>0.182159329464427</v>
      </c>
      <c r="W172" s="35" t="n">
        <f aca="false">I172^$AB$7*E172</f>
        <v>0.0816251876024659</v>
      </c>
      <c r="X172" s="35" t="n">
        <f aca="false">J172^$AB$7*E172</f>
        <v>0.0603444423928889</v>
      </c>
      <c r="Y172" s="35" t="n">
        <f aca="false">K172^$AB$7*E172</f>
        <v>0.0489439070997886</v>
      </c>
    </row>
    <row r="173" customFormat="false" ht="15" hidden="false" customHeight="false" outlineLevel="0" collapsed="false">
      <c r="A173" s="35" t="n">
        <v>171</v>
      </c>
      <c r="B173" s="35" t="n">
        <f aca="false">C172</f>
        <v>0.00655641849417979</v>
      </c>
      <c r="C173" s="35" t="n">
        <f aca="false">Inputs!$B$22*(Inputs!$B$23/Inputs!$B$22)^(50/60)</f>
        <v>0.00681292069057961</v>
      </c>
      <c r="D173" s="35" t="n">
        <f aca="false">(B173+C173)/2</f>
        <v>0.0066846695923797</v>
      </c>
      <c r="E173" s="35" t="n">
        <f aca="false">C173-B173</f>
        <v>0.000256502196399825</v>
      </c>
      <c r="F173" s="35" t="n">
        <f aca="false">Inputs!$B$16*E173</f>
        <v>580.823573527763</v>
      </c>
      <c r="G173" s="35" t="n">
        <f aca="false">IF(D173&lt;=Inputs!$B$21,1,IF(D173&lt;=Inputs!$B$22,2,IF(D173&lt;=Inputs!$B$23,3,IF(D173&lt;=Inputs!$B$24,4,5))))</f>
        <v>3</v>
      </c>
      <c r="H173" s="35" t="n">
        <f aca="false">Fit!$B$10*D173^(-1/Fit!$B$9)</f>
        <v>719.686644863335</v>
      </c>
      <c r="I173" s="35" t="n">
        <f aca="false">EXP(Fit!$B$16+Fit!$B$15*-NORMSINV(D173))</f>
        <v>326.984498323289</v>
      </c>
      <c r="J173" s="35" t="n">
        <f aca="false">Fit!$B$22*LN(1/D173)^(1/Fit!$B$21)</f>
        <v>242.834570796452</v>
      </c>
      <c r="K173" s="35" t="n">
        <f aca="false">MAX(0,Fit!$B$28+Fit!$B$27*-NORMSINV(D173))</f>
        <v>197.423830291555</v>
      </c>
      <c r="L173" s="35" t="n">
        <f aca="false">INDEX(H173:K173,1,Inputs!$B$5)</f>
        <v>719.686644863335</v>
      </c>
      <c r="M173" s="35" t="n">
        <f aca="false">L173*E173</f>
        <v>0.184601205127066</v>
      </c>
      <c r="N173" s="35" t="n">
        <f aca="false">L173^$AB$7</f>
        <v>719.686644863335</v>
      </c>
      <c r="O173" s="35" t="n">
        <f aca="false">N173*E173</f>
        <v>0.184601205127066</v>
      </c>
      <c r="P173" s="35" t="n">
        <f aca="false">N173*$AB$3/($AB$4*$AB$1)</f>
        <v>4853534.7941617</v>
      </c>
      <c r="Q173" s="35" t="n">
        <f aca="false">IF(G173&lt;=3,F173*SQRT(P173),0)</f>
        <v>1279597.27977027</v>
      </c>
      <c r="R173" s="35" t="n">
        <f aca="false">SQRT(P173/$AB$6)</f>
        <v>1017903491.49344</v>
      </c>
      <c r="S173" s="35" t="n">
        <f aca="false">2*$AB$6*R173</f>
        <v>0.00953633588001692</v>
      </c>
      <c r="T173" s="35" t="n">
        <f aca="false">IF(G173&lt;=3,F173*R173,0)</f>
        <v>591222343435.608</v>
      </c>
      <c r="U173" s="35" t="n">
        <f aca="false">F173*P173</f>
        <v>2819047423.38634</v>
      </c>
      <c r="V173" s="35" t="n">
        <f aca="false">H173^$AB$7*E173</f>
        <v>0.184601205127066</v>
      </c>
      <c r="W173" s="35" t="n">
        <f aca="false">I173^$AB$7*E173</f>
        <v>0.0838722420086184</v>
      </c>
      <c r="X173" s="35" t="n">
        <f aca="false">J173^$AB$7*E173</f>
        <v>0.0622876007710986</v>
      </c>
      <c r="Y173" s="35" t="n">
        <f aca="false">K173^$AB$7*E173</f>
        <v>0.05063964609145</v>
      </c>
    </row>
    <row r="174" customFormat="false" ht="15" hidden="false" customHeight="false" outlineLevel="0" collapsed="false">
      <c r="A174" s="35" t="n">
        <v>172</v>
      </c>
      <c r="B174" s="35" t="n">
        <f aca="false">C173</f>
        <v>0.00681292069057961</v>
      </c>
      <c r="C174" s="35" t="n">
        <f aca="false">Inputs!$B$22*(Inputs!$B$23/Inputs!$B$22)^(51/60)</f>
        <v>0.00707945784384138</v>
      </c>
      <c r="D174" s="35" t="n">
        <f aca="false">(B174+C174)/2</f>
        <v>0.0069461892672105</v>
      </c>
      <c r="E174" s="35" t="n">
        <f aca="false">C174-B174</f>
        <v>0.000266537153261765</v>
      </c>
      <c r="F174" s="35" t="n">
        <f aca="false">Inputs!$B$16*E174</f>
        <v>603.546729845941</v>
      </c>
      <c r="G174" s="35" t="n">
        <f aca="false">IF(D174&lt;=Inputs!$B$21,1,IF(D174&lt;=Inputs!$B$22,2,IF(D174&lt;=Inputs!$B$23,3,IF(D174&lt;=Inputs!$B$24,4,5))))</f>
        <v>3</v>
      </c>
      <c r="H174" s="35" t="n">
        <f aca="false">Fit!$B$10*D174^(-1/Fit!$B$9)</f>
        <v>701.875187919462</v>
      </c>
      <c r="I174" s="35" t="n">
        <f aca="false">EXP(Fit!$B$16+Fit!$B$15*-NORMSINV(D174))</f>
        <v>323.320163009926</v>
      </c>
      <c r="J174" s="35" t="n">
        <f aca="false">Fit!$B$22*LN(1/D174)^(1/Fit!$B$21)</f>
        <v>241.204744042058</v>
      </c>
      <c r="K174" s="35" t="n">
        <f aca="false">MAX(0,Fit!$B$28+Fit!$B$27*-NORMSINV(D174))</f>
        <v>196.565989454884</v>
      </c>
      <c r="L174" s="35" t="n">
        <f aca="false">INDEX(H174:K174,1,Inputs!$B$5)</f>
        <v>701.875187919462</v>
      </c>
      <c r="M174" s="35" t="n">
        <f aca="false">L174*E174</f>
        <v>0.18707581453312</v>
      </c>
      <c r="N174" s="35" t="n">
        <f aca="false">L174^$AB$7</f>
        <v>701.875187919462</v>
      </c>
      <c r="O174" s="35" t="n">
        <f aca="false">N174*E174</f>
        <v>0.18707581453312</v>
      </c>
      <c r="P174" s="35" t="n">
        <f aca="false">N174*$AB$3/($AB$4*$AB$1)</f>
        <v>4733415.11898248</v>
      </c>
      <c r="Q174" s="35" t="n">
        <f aca="false">IF(G174&lt;=3,F174*SQRT(P174),0)</f>
        <v>1313101.19924488</v>
      </c>
      <c r="R174" s="35" t="n">
        <f aca="false">SQRT(P174/$AB$6)</f>
        <v>1005228578.8346</v>
      </c>
      <c r="S174" s="35" t="n">
        <f aca="false">2*$AB$6*R174</f>
        <v>0.00941758962816224</v>
      </c>
      <c r="T174" s="35" t="n">
        <f aca="false">IF(G174&lt;=3,F174*R174,0)</f>
        <v>606702421503.303</v>
      </c>
      <c r="U174" s="35" t="n">
        <f aca="false">F174*P174</f>
        <v>2856837216.06521</v>
      </c>
      <c r="V174" s="35" t="n">
        <f aca="false">H174^$AB$7*E174</f>
        <v>0.18707581453312</v>
      </c>
      <c r="W174" s="35" t="n">
        <f aca="false">I174^$AB$7*E174</f>
        <v>0.0861768358407956</v>
      </c>
      <c r="X174" s="35" t="n">
        <f aca="false">J174^$AB$7*E174</f>
        <v>0.0642900258302028</v>
      </c>
      <c r="Y174" s="35" t="n">
        <f aca="false">K174^$AB$7*E174</f>
        <v>0.052392139257387</v>
      </c>
    </row>
    <row r="175" customFormat="false" ht="15" hidden="false" customHeight="false" outlineLevel="0" collapsed="false">
      <c r="A175" s="35" t="n">
        <v>173</v>
      </c>
      <c r="B175" s="35" t="n">
        <f aca="false">C174</f>
        <v>0.00707945784384138</v>
      </c>
      <c r="C175" s="35" t="n">
        <f aca="false">Inputs!$B$22*(Inputs!$B$23/Inputs!$B$22)^(52/60)</f>
        <v>0.00735642254459641</v>
      </c>
      <c r="D175" s="35" t="n">
        <f aca="false">(B175+C175)/2</f>
        <v>0.0072179401942189</v>
      </c>
      <c r="E175" s="35" t="n">
        <f aca="false">C175-B175</f>
        <v>0.000276964700755035</v>
      </c>
      <c r="F175" s="35" t="n">
        <f aca="false">Inputs!$B$16*E175</f>
        <v>627.158868389701</v>
      </c>
      <c r="G175" s="35" t="n">
        <f aca="false">IF(D175&lt;=Inputs!$B$21,1,IF(D175&lt;=Inputs!$B$22,2,IF(D175&lt;=Inputs!$B$23,3,IF(D175&lt;=Inputs!$B$24,4,5))))</f>
        <v>3</v>
      </c>
      <c r="H175" s="35" t="n">
        <f aca="false">Fit!$B$10*D175^(-1/Fit!$B$9)</f>
        <v>684.504545044777</v>
      </c>
      <c r="I175" s="35" t="n">
        <f aca="false">EXP(Fit!$B$16+Fit!$B$15*-NORMSINV(D175))</f>
        <v>319.680662105214</v>
      </c>
      <c r="J175" s="35" t="n">
        <f aca="false">Fit!$B$22*LN(1/D175)^(1/Fit!$B$21)</f>
        <v>239.573348582171</v>
      </c>
      <c r="K175" s="35" t="n">
        <f aca="false">MAX(0,Fit!$B$28+Fit!$B$27*-NORMSINV(D175))</f>
        <v>195.704284245208</v>
      </c>
      <c r="L175" s="35" t="n">
        <f aca="false">INDEX(H175:K175,1,Inputs!$B$5)</f>
        <v>684.504545044777</v>
      </c>
      <c r="M175" s="35" t="n">
        <f aca="false">L175*E175</f>
        <v>0.189583596483788</v>
      </c>
      <c r="N175" s="35" t="n">
        <f aca="false">L175^$AB$7</f>
        <v>684.504545044777</v>
      </c>
      <c r="O175" s="35" t="n">
        <f aca="false">N175*E175</f>
        <v>0.189583596483788</v>
      </c>
      <c r="P175" s="35" t="n">
        <f aca="false">N175*$AB$3/($AB$4*$AB$1)</f>
        <v>4616268.2743231</v>
      </c>
      <c r="Q175" s="35" t="n">
        <f aca="false">IF(G175&lt;=3,F175*SQRT(P175),0)</f>
        <v>1347482.35770548</v>
      </c>
      <c r="R175" s="35" t="n">
        <f aca="false">SQRT(P175/$AB$6)</f>
        <v>992711493.919002</v>
      </c>
      <c r="S175" s="35" t="n">
        <f aca="false">2*$AB$6*R175</f>
        <v>0.00930032200211385</v>
      </c>
      <c r="T175" s="35" t="n">
        <f aca="false">IF(G175&lt;=3,F175*R175,0)</f>
        <v>622587817163.691</v>
      </c>
      <c r="U175" s="35" t="n">
        <f aca="false">F175*P175</f>
        <v>2895133587.10775</v>
      </c>
      <c r="V175" s="35" t="n">
        <f aca="false">H175^$AB$7*E175</f>
        <v>0.189583596483788</v>
      </c>
      <c r="W175" s="35" t="n">
        <f aca="false">I175^$AB$7*E175</f>
        <v>0.0885402589171419</v>
      </c>
      <c r="X175" s="35" t="n">
        <f aca="false">J175^$AB$7*E175</f>
        <v>0.0663533607989426</v>
      </c>
      <c r="Y175" s="35" t="n">
        <f aca="false">K175^$AB$7*E175</f>
        <v>0.0542031785224524</v>
      </c>
    </row>
    <row r="176" customFormat="false" ht="15" hidden="false" customHeight="false" outlineLevel="0" collapsed="false">
      <c r="A176" s="35" t="n">
        <v>174</v>
      </c>
      <c r="B176" s="35" t="n">
        <f aca="false">C175</f>
        <v>0.00735642254459641</v>
      </c>
      <c r="C176" s="35" t="n">
        <f aca="false">Inputs!$B$22*(Inputs!$B$23/Inputs!$B$22)^(53/60)</f>
        <v>0.007644222742526</v>
      </c>
      <c r="D176" s="35" t="n">
        <f aca="false">(B176+C176)/2</f>
        <v>0.00750032264356121</v>
      </c>
      <c r="E176" s="35" t="n">
        <f aca="false">C176-B176</f>
        <v>0.000287800197929588</v>
      </c>
      <c r="F176" s="35" t="n">
        <f aca="false">Inputs!$B$16*E176</f>
        <v>651.694768191759</v>
      </c>
      <c r="G176" s="35" t="n">
        <f aca="false">IF(D176&lt;=Inputs!$B$21,1,IF(D176&lt;=Inputs!$B$22,2,IF(D176&lt;=Inputs!$B$23,3,IF(D176&lt;=Inputs!$B$24,4,5))))</f>
        <v>3</v>
      </c>
      <c r="H176" s="35" t="n">
        <f aca="false">Fit!$B$10*D176^(-1/Fit!$B$9)</f>
        <v>667.56380657343</v>
      </c>
      <c r="I176" s="35" t="n">
        <f aca="false">EXP(Fit!$B$16+Fit!$B$15*-NORMSINV(D176))</f>
        <v>316.06587566501</v>
      </c>
      <c r="J176" s="35" t="n">
        <f aca="false">Fit!$B$22*LN(1/D176)^(1/Fit!$B$21)</f>
        <v>237.940370680696</v>
      </c>
      <c r="K176" s="35" t="n">
        <f aca="false">MAX(0,Fit!$B$28+Fit!$B$27*-NORMSINV(D176))</f>
        <v>194.838664608019</v>
      </c>
      <c r="L176" s="35" t="n">
        <f aca="false">INDEX(H176:K176,1,Inputs!$B$5)</f>
        <v>667.56380657343</v>
      </c>
      <c r="M176" s="35" t="n">
        <f aca="false">L176*E176</f>
        <v>0.192124995662462</v>
      </c>
      <c r="N176" s="35" t="n">
        <f aca="false">L176^$AB$7</f>
        <v>667.56380657343</v>
      </c>
      <c r="O176" s="35" t="n">
        <f aca="false">N176*E176</f>
        <v>0.192124995662462</v>
      </c>
      <c r="P176" s="35" t="n">
        <f aca="false">N176*$AB$3/($AB$4*$AB$1)</f>
        <v>4502020.6858812</v>
      </c>
      <c r="Q176" s="35" t="n">
        <f aca="false">IF(G176&lt;=3,F176*SQRT(P176),0)</f>
        <v>1382763.7240539</v>
      </c>
      <c r="R176" s="35" t="n">
        <f aca="false">SQRT(P176/$AB$6)</f>
        <v>980350271.47895</v>
      </c>
      <c r="S176" s="35" t="n">
        <f aca="false">2*$AB$6*R176</f>
        <v>0.0091845145900546</v>
      </c>
      <c r="T176" s="35" t="n">
        <f aca="false">IF(G176&lt;=3,F176*R176,0)</f>
        <v>638889142918.203</v>
      </c>
      <c r="U176" s="35" t="n">
        <f aca="false">F176*P176</f>
        <v>2933943327.27986</v>
      </c>
      <c r="V176" s="35" t="n">
        <f aca="false">H176^$AB$7*E176</f>
        <v>0.192124995662462</v>
      </c>
      <c r="W176" s="35" t="n">
        <f aca="false">I176^$AB$7*E176</f>
        <v>0.0909638215751784</v>
      </c>
      <c r="X176" s="35" t="n">
        <f aca="false">J176^$AB$7*E176</f>
        <v>0.0684792857773439</v>
      </c>
      <c r="Y176" s="35" t="n">
        <f aca="false">K176^$AB$7*E176</f>
        <v>0.0560746062385246</v>
      </c>
    </row>
    <row r="177" customFormat="false" ht="15" hidden="false" customHeight="false" outlineLevel="0" collapsed="false">
      <c r="A177" s="35" t="n">
        <v>175</v>
      </c>
      <c r="B177" s="35" t="n">
        <f aca="false">C176</f>
        <v>0.007644222742526</v>
      </c>
      <c r="C177" s="35" t="n">
        <f aca="false">Inputs!$B$22*(Inputs!$B$23/Inputs!$B$22)^(54/60)</f>
        <v>0.00794328234724282</v>
      </c>
      <c r="D177" s="35" t="n">
        <f aca="false">(B177+C177)/2</f>
        <v>0.00779375254488441</v>
      </c>
      <c r="E177" s="35" t="n">
        <f aca="false">C177-B177</f>
        <v>0.000299059604716814</v>
      </c>
      <c r="F177" s="35" t="n">
        <f aca="false">Inputs!$B$16*E177</f>
        <v>677.190568920753</v>
      </c>
      <c r="G177" s="35" t="n">
        <f aca="false">IF(D177&lt;=Inputs!$B$21,1,IF(D177&lt;=Inputs!$B$22,2,IF(D177&lt;=Inputs!$B$23,3,IF(D177&lt;=Inputs!$B$24,4,5))))</f>
        <v>3</v>
      </c>
      <c r="H177" s="35" t="n">
        <f aca="false">Fit!$B$10*D177^(-1/Fit!$B$9)</f>
        <v>651.04233284186</v>
      </c>
      <c r="I177" s="35" t="n">
        <f aca="false">EXP(Fit!$B$16+Fit!$B$15*-NORMSINV(D177))</f>
        <v>312.475684057964</v>
      </c>
      <c r="J177" s="35" t="n">
        <f aca="false">Fit!$B$22*LN(1/D177)^(1/Fit!$B$21)</f>
        <v>236.305796372525</v>
      </c>
      <c r="K177" s="35" t="n">
        <f aca="false">MAX(0,Fit!$B$28+Fit!$B$27*-NORMSINV(D177))</f>
        <v>193.969079425738</v>
      </c>
      <c r="L177" s="35" t="n">
        <f aca="false">INDEX(H177:K177,1,Inputs!$B$5)</f>
        <v>651.04233284186</v>
      </c>
      <c r="M177" s="35" t="n">
        <f aca="false">L177*E177</f>
        <v>0.194700462713599</v>
      </c>
      <c r="N177" s="35" t="n">
        <f aca="false">L177^$AB$7</f>
        <v>651.04233284186</v>
      </c>
      <c r="O177" s="35" t="n">
        <f aca="false">N177*E177</f>
        <v>0.194700462713599</v>
      </c>
      <c r="P177" s="35" t="n">
        <f aca="false">N177*$AB$3/($AB$4*$AB$1)</f>
        <v>4390600.60023792</v>
      </c>
      <c r="Q177" s="35" t="n">
        <f aca="false">IF(G177&lt;=3,F177*SQRT(P177),0)</f>
        <v>1418968.86859082</v>
      </c>
      <c r="R177" s="35" t="n">
        <f aca="false">SQRT(P177/$AB$6)</f>
        <v>968142970.718207</v>
      </c>
      <c r="S177" s="35" t="n">
        <f aca="false">2*$AB$6*R177</f>
        <v>0.00907014920943091</v>
      </c>
      <c r="T177" s="35" t="n">
        <f aca="false">IF(G177&lt;=3,F177*R177,0)</f>
        <v>655617289137.291</v>
      </c>
      <c r="U177" s="35" t="n">
        <f aca="false">F177*P177</f>
        <v>2973273318.37892</v>
      </c>
      <c r="V177" s="35" t="n">
        <f aca="false">H177^$AB$7*E177</f>
        <v>0.194700462713599</v>
      </c>
      <c r="W177" s="35" t="n">
        <f aca="false">I177^$AB$7*E177</f>
        <v>0.0934488545579908</v>
      </c>
      <c r="X177" s="35" t="n">
        <f aca="false">J177^$AB$7*E177</f>
        <v>0.0706695180554592</v>
      </c>
      <c r="Y177" s="35" t="n">
        <f aca="false">K177^$AB$7*E177</f>
        <v>0.0580083162203454</v>
      </c>
    </row>
    <row r="178" customFormat="false" ht="15" hidden="false" customHeight="false" outlineLevel="0" collapsed="false">
      <c r="A178" s="35" t="n">
        <v>176</v>
      </c>
      <c r="B178" s="35" t="n">
        <f aca="false">C177</f>
        <v>0.00794328234724282</v>
      </c>
      <c r="C178" s="35" t="n">
        <f aca="false">Inputs!$B$22*(Inputs!$B$23/Inputs!$B$22)^(55/60)</f>
        <v>0.00825404185268018</v>
      </c>
      <c r="D178" s="35" t="n">
        <f aca="false">(B178+C178)/2</f>
        <v>0.0080986620999615</v>
      </c>
      <c r="E178" s="35" t="n">
        <f aca="false">C178-B178</f>
        <v>0.000310759505437368</v>
      </c>
      <c r="F178" s="35" t="n">
        <f aca="false">Inputs!$B$16*E178</f>
        <v>703.683824112376</v>
      </c>
      <c r="G178" s="35" t="n">
        <f aca="false">IF(D178&lt;=Inputs!$B$21,1,IF(D178&lt;=Inputs!$B$22,2,IF(D178&lt;=Inputs!$B$23,3,IF(D178&lt;=Inputs!$B$24,4,5))))</f>
        <v>3</v>
      </c>
      <c r="H178" s="35" t="n">
        <f aca="false">Fit!$B$10*D178^(-1/Fit!$B$9)</f>
        <v>634.929747506538</v>
      </c>
      <c r="I178" s="35" t="n">
        <f aca="false">EXP(Fit!$B$16+Fit!$B$15*-NORMSINV(D178))</f>
        <v>308.909967961185</v>
      </c>
      <c r="J178" s="35" t="n">
        <f aca="false">Fit!$B$22*LN(1/D178)^(1/Fit!$B$21)</f>
        <v>234.669611457869</v>
      </c>
      <c r="K178" s="35" t="n">
        <f aca="false">MAX(0,Fit!$B$28+Fit!$B$27*-NORMSINV(D178))</f>
        <v>193.095476486311</v>
      </c>
      <c r="L178" s="35" t="n">
        <f aca="false">INDEX(H178:K178,1,Inputs!$B$5)</f>
        <v>634.929747506538</v>
      </c>
      <c r="M178" s="35" t="n">
        <f aca="false">L178*E178</f>
        <v>0.197310454322605</v>
      </c>
      <c r="N178" s="35" t="n">
        <f aca="false">L178^$AB$7</f>
        <v>634.929747506538</v>
      </c>
      <c r="O178" s="35" t="n">
        <f aca="false">N178*E178</f>
        <v>0.197310454322605</v>
      </c>
      <c r="P178" s="35" t="n">
        <f aca="false">N178*$AB$3/($AB$4*$AB$1)</f>
        <v>4281938.03979297</v>
      </c>
      <c r="Q178" s="35" t="n">
        <f aca="false">IF(G178&lt;=3,F178*SQRT(P178),0)</f>
        <v>1456121.97876215</v>
      </c>
      <c r="R178" s="35" t="n">
        <f aca="false">SQRT(P178/$AB$6)</f>
        <v>956087675.00729</v>
      </c>
      <c r="S178" s="35" t="n">
        <f aca="false">2*$AB$6*R178</f>
        <v>0.00895720790409796</v>
      </c>
      <c r="T178" s="35" t="n">
        <f aca="false">IF(G178&lt;=3,F178*R178,0)</f>
        <v>672783431335.84</v>
      </c>
      <c r="U178" s="35" t="n">
        <f aca="false">F178*P178</f>
        <v>3013130534.45377</v>
      </c>
      <c r="V178" s="35" t="n">
        <f aca="false">H178^$AB$7*E178</f>
        <v>0.197310454322605</v>
      </c>
      <c r="W178" s="35" t="n">
        <f aca="false">I178^$AB$7*E178</f>
        <v>0.0959967088682911</v>
      </c>
      <c r="X178" s="35" t="n">
        <f aca="false">J178^$AB$7*E178</f>
        <v>0.0729258123978268</v>
      </c>
      <c r="Y178" s="35" t="n">
        <f aca="false">K178^$AB$7*E178</f>
        <v>0.0600062547750788</v>
      </c>
    </row>
    <row r="179" customFormat="false" ht="15" hidden="false" customHeight="false" outlineLevel="0" collapsed="false">
      <c r="A179" s="35" t="n">
        <v>177</v>
      </c>
      <c r="B179" s="35" t="n">
        <f aca="false">C178</f>
        <v>0.00825404185268018</v>
      </c>
      <c r="C179" s="35" t="n">
        <f aca="false">Inputs!$B$22*(Inputs!$B$23/Inputs!$B$22)^(56/60)</f>
        <v>0.00857695898590894</v>
      </c>
      <c r="D179" s="35" t="n">
        <f aca="false">(B179+C179)/2</f>
        <v>0.00841550041929456</v>
      </c>
      <c r="E179" s="35" t="n">
        <f aca="false">C179-B179</f>
        <v>0.000322917133228759</v>
      </c>
      <c r="F179" s="35" t="n">
        <f aca="false">Inputs!$B$16*E179</f>
        <v>731.213556483201</v>
      </c>
      <c r="G179" s="35" t="n">
        <f aca="false">IF(D179&lt;=Inputs!$B$21,1,IF(D179&lt;=Inputs!$B$22,2,IF(D179&lt;=Inputs!$B$23,3,IF(D179&lt;=Inputs!$B$24,4,5))))</f>
        <v>3</v>
      </c>
      <c r="H179" s="35" t="n">
        <f aca="false">Fit!$B$10*D179^(-1/Fit!$B$9)</f>
        <v>619.215931027083</v>
      </c>
      <c r="I179" s="35" t="n">
        <f aca="false">EXP(Fit!$B$16+Fit!$B$15*-NORMSINV(D179))</f>
        <v>305.368608355784</v>
      </c>
      <c r="J179" s="35" t="n">
        <f aca="false">Fit!$B$22*LN(1/D179)^(1/Fit!$B$21)</f>
        <v>233.03180149642</v>
      </c>
      <c r="K179" s="35" t="n">
        <f aca="false">MAX(0,Fit!$B$28+Fit!$B$27*-NORMSINV(D179))</f>
        <v>192.217802450621</v>
      </c>
      <c r="L179" s="35" t="n">
        <f aca="false">INDEX(H179:K179,1,Inputs!$B$5)</f>
        <v>619.215931027083</v>
      </c>
      <c r="M179" s="35" t="n">
        <f aca="false">L179*E179</f>
        <v>0.199955433296842</v>
      </c>
      <c r="N179" s="35" t="n">
        <f aca="false">L179^$AB$7</f>
        <v>619.215931027083</v>
      </c>
      <c r="O179" s="35" t="n">
        <f aca="false">N179*E179</f>
        <v>0.199955433296842</v>
      </c>
      <c r="P179" s="35" t="n">
        <f aca="false">N179*$AB$3/($AB$4*$AB$1)</f>
        <v>4175964.75881512</v>
      </c>
      <c r="Q179" s="35" t="n">
        <f aca="false">IF(G179&lt;=3,F179*SQRT(P179),0)</f>
        <v>1494247.87531801</v>
      </c>
      <c r="R179" s="35" t="n">
        <f aca="false">SQRT(P179/$AB$6)</f>
        <v>944182491.582546</v>
      </c>
      <c r="S179" s="35" t="n">
        <f aca="false">2*$AB$6*R179</f>
        <v>0.00884567294150048</v>
      </c>
      <c r="T179" s="35" t="n">
        <f aca="false">IF(G179&lt;=3,F179*R179,0)</f>
        <v>690399037639.244</v>
      </c>
      <c r="U179" s="35" t="n">
        <f aca="false">F179*P179</f>
        <v>3053522043.04171</v>
      </c>
      <c r="V179" s="35" t="n">
        <f aca="false">H179^$AB$7*E179</f>
        <v>0.199955433296842</v>
      </c>
      <c r="W179" s="35" t="n">
        <f aca="false">I179^$AB$7*E179</f>
        <v>0.0986087555883052</v>
      </c>
      <c r="X179" s="35" t="n">
        <f aca="false">J179^$AB$7*E179</f>
        <v>0.0752499612903571</v>
      </c>
      <c r="Y179" s="35" t="n">
        <f aca="false">K179^$AB$7*E179</f>
        <v>0.0620704217228864</v>
      </c>
    </row>
    <row r="180" customFormat="false" ht="15" hidden="false" customHeight="false" outlineLevel="0" collapsed="false">
      <c r="A180" s="35" t="n">
        <v>178</v>
      </c>
      <c r="B180" s="35" t="n">
        <f aca="false">C179</f>
        <v>0.00857695898590894</v>
      </c>
      <c r="C180" s="35" t="n">
        <f aca="false">Inputs!$B$22*(Inputs!$B$23/Inputs!$B$22)^(57/60)</f>
        <v>0.00891250938133745</v>
      </c>
      <c r="D180" s="35" t="n">
        <f aca="false">(B180+C180)/2</f>
        <v>0.0087447341836232</v>
      </c>
      <c r="E180" s="35" t="n">
        <f aca="false">C180-B180</f>
        <v>0.000335550395428512</v>
      </c>
      <c r="F180" s="35" t="n">
        <f aca="false">Inputs!$B$16*E180</f>
        <v>759.820315408322</v>
      </c>
      <c r="G180" s="35" t="n">
        <f aca="false">IF(D180&lt;=Inputs!$B$21,1,IF(D180&lt;=Inputs!$B$22,2,IF(D180&lt;=Inputs!$B$23,3,IF(D180&lt;=Inputs!$B$24,4,5))))</f>
        <v>3</v>
      </c>
      <c r="H180" s="35" t="n">
        <f aca="false">Fit!$B$10*D180^(-1/Fit!$B$9)</f>
        <v>603.891014310664</v>
      </c>
      <c r="I180" s="35" t="n">
        <f aca="false">EXP(Fit!$B$16+Fit!$B$15*-NORMSINV(D180))</f>
        <v>301.85148652228</v>
      </c>
      <c r="J180" s="35" t="n">
        <f aca="false">Fit!$B$22*LN(1/D180)^(1/Fit!$B$21)</f>
        <v>231.392351801305</v>
      </c>
      <c r="K180" s="35" t="n">
        <f aca="false">MAX(0,Fit!$B$28+Fit!$B$27*-NORMSINV(D180))</f>
        <v>191.33600281865</v>
      </c>
      <c r="L180" s="35" t="n">
        <f aca="false">INDEX(H180:K180,1,Inputs!$B$5)</f>
        <v>603.891014310664</v>
      </c>
      <c r="M180" s="35" t="n">
        <f aca="false">L180*E180</f>
        <v>0.202635868647668</v>
      </c>
      <c r="N180" s="35" t="n">
        <f aca="false">L180^$AB$7</f>
        <v>603.891014310664</v>
      </c>
      <c r="O180" s="35" t="n">
        <f aca="false">N180*E180</f>
        <v>0.202635868647668</v>
      </c>
      <c r="P180" s="35" t="n">
        <f aca="false">N180*$AB$3/($AB$4*$AB$1)</f>
        <v>4072614.2005803</v>
      </c>
      <c r="Q180" s="35" t="n">
        <f aca="false">IF(G180&lt;=3,F180*SQRT(P180),0)</f>
        <v>1533372.02889446</v>
      </c>
      <c r="R180" s="35" t="n">
        <f aca="false">SQRT(P180/$AB$6)</f>
        <v>932425551.248977</v>
      </c>
      <c r="S180" s="35" t="n">
        <f aca="false">2*$AB$6*R180</f>
        <v>0.0087355268098886</v>
      </c>
      <c r="T180" s="35" t="n">
        <f aca="false">IF(G180&lt;=3,F180*R180,0)</f>
        <v>708475876444.776</v>
      </c>
      <c r="U180" s="35" t="n">
        <f aca="false">F180*P180</f>
        <v>3094455006.42133</v>
      </c>
      <c r="V180" s="35" t="n">
        <f aca="false">H180^$AB$7*E180</f>
        <v>0.202635868647668</v>
      </c>
      <c r="W180" s="35" t="n">
        <f aca="false">I180^$AB$7*E180</f>
        <v>0.101286385663235</v>
      </c>
      <c r="X180" s="35" t="n">
        <f aca="false">J180^$AB$7*E180</f>
        <v>0.0776437951460612</v>
      </c>
      <c r="Y180" s="35" t="n">
        <f aca="false">K180^$AB$7*E180</f>
        <v>0.0642028714055089</v>
      </c>
    </row>
    <row r="181" customFormat="false" ht="15" hidden="false" customHeight="false" outlineLevel="0" collapsed="false">
      <c r="A181" s="35" t="n">
        <v>179</v>
      </c>
      <c r="B181" s="35" t="n">
        <f aca="false">C180</f>
        <v>0.00891250938133745</v>
      </c>
      <c r="C181" s="35" t="n">
        <f aca="false">Inputs!$B$22*(Inputs!$B$23/Inputs!$B$22)^(58/60)</f>
        <v>0.00926118728128794</v>
      </c>
      <c r="D181" s="35" t="n">
        <f aca="false">(B181+C181)/2</f>
        <v>0.00908684833131269</v>
      </c>
      <c r="E181" s="35" t="n">
        <f aca="false">C181-B181</f>
        <v>0.000348677899950481</v>
      </c>
      <c r="F181" s="35" t="n">
        <f aca="false">Inputs!$B$16*E181</f>
        <v>789.546236647869</v>
      </c>
      <c r="G181" s="35" t="n">
        <f aca="false">IF(D181&lt;=Inputs!$B$21,1,IF(D181&lt;=Inputs!$B$22,2,IF(D181&lt;=Inputs!$B$23,3,IF(D181&lt;=Inputs!$B$24,4,5))))</f>
        <v>3</v>
      </c>
      <c r="H181" s="35" t="n">
        <f aca="false">Fit!$B$10*D181^(-1/Fit!$B$9)</f>
        <v>588.9453725137</v>
      </c>
      <c r="I181" s="35" t="n">
        <f aca="false">EXP(Fit!$B$16+Fit!$B$15*-NORMSINV(D181))</f>
        <v>298.358484035867</v>
      </c>
      <c r="J181" s="35" t="n">
        <f aca="false">Fit!$B$22*LN(1/D181)^(1/Fit!$B$21)</f>
        <v>229.751247432847</v>
      </c>
      <c r="K181" s="35" t="n">
        <f aca="false">MAX(0,Fit!$B$28+Fit!$B$27*-NORMSINV(D181))</f>
        <v>190.450021894338</v>
      </c>
      <c r="L181" s="35" t="n">
        <f aca="false">INDEX(H181:K181,1,Inputs!$B$5)</f>
        <v>588.9453725137</v>
      </c>
      <c r="M181" s="35" t="n">
        <f aca="false">L181*E181</f>
        <v>0.20535223567363</v>
      </c>
      <c r="N181" s="35" t="n">
        <f aca="false">L181^$AB$7</f>
        <v>588.9453725137</v>
      </c>
      <c r="O181" s="35" t="n">
        <f aca="false">N181*E181</f>
        <v>0.20535223567363</v>
      </c>
      <c r="P181" s="35" t="n">
        <f aca="false">N181*$AB$3/($AB$4*$AB$1)</f>
        <v>3971821.45557053</v>
      </c>
      <c r="Q181" s="35" t="n">
        <f aca="false">IF(G181&lt;=3,F181*SQRT(P181),0)</f>
        <v>1573520.57702982</v>
      </c>
      <c r="R181" s="35" t="n">
        <f aca="false">SQRT(P181/$AB$6)</f>
        <v>920815008.08676</v>
      </c>
      <c r="S181" s="35" t="n">
        <f aca="false">2*$AB$6*R181</f>
        <v>0.00862675221556837</v>
      </c>
      <c r="T181" s="35" t="n">
        <f aca="false">IF(G181&lt;=3,F181*R181,0)</f>
        <v>727026024283.778</v>
      </c>
      <c r="U181" s="35" t="n">
        <f aca="false">F181*P181</f>
        <v>3135936682.88297</v>
      </c>
      <c r="V181" s="35" t="n">
        <f aca="false">H181^$AB$7*E181</f>
        <v>0.20535223567363</v>
      </c>
      <c r="W181" s="35" t="n">
        <f aca="false">I181^$AB$7*E181</f>
        <v>0.104031009646035</v>
      </c>
      <c r="X181" s="35" t="n">
        <f aca="false">J181^$AB$7*E181</f>
        <v>0.0801091824658886</v>
      </c>
      <c r="Y181" s="35" t="n">
        <f aca="false">K181^$AB$7*E181</f>
        <v>0.0664057136796408</v>
      </c>
    </row>
    <row r="182" customFormat="false" ht="15" hidden="false" customHeight="false" outlineLevel="0" collapsed="false">
      <c r="A182" s="35" t="n">
        <v>180</v>
      </c>
      <c r="B182" s="35" t="n">
        <f aca="false">C181</f>
        <v>0.00926118728128794</v>
      </c>
      <c r="C182" s="35" t="n">
        <f aca="false">Inputs!$B$22*(Inputs!$B$23/Inputs!$B$22)^(59/60)</f>
        <v>0.00962350626398088</v>
      </c>
      <c r="D182" s="35" t="n">
        <f aca="false">(B182+C182)/2</f>
        <v>0.00944234677263441</v>
      </c>
      <c r="E182" s="35" t="n">
        <f aca="false">C182-B182</f>
        <v>0.00036231898269295</v>
      </c>
      <c r="F182" s="35" t="n">
        <f aca="false">Inputs!$B$16*E182</f>
        <v>820.435104409916</v>
      </c>
      <c r="G182" s="35" t="n">
        <f aca="false">IF(D182&lt;=Inputs!$B$21,1,IF(D182&lt;=Inputs!$B$22,2,IF(D182&lt;=Inputs!$B$23,3,IF(D182&lt;=Inputs!$B$24,4,5))))</f>
        <v>3</v>
      </c>
      <c r="H182" s="35" t="n">
        <f aca="false">Fit!$B$10*D182^(-1/Fit!$B$9)</f>
        <v>574.369618996954</v>
      </c>
      <c r="I182" s="35" t="n">
        <f aca="false">EXP(Fit!$B$16+Fit!$B$15*-NORMSINV(D182))</f>
        <v>294.889482761534</v>
      </c>
      <c r="J182" s="35" t="n">
        <f aca="false">Fit!$B$22*LN(1/D182)^(1/Fit!$B$21)</f>
        <v>228.108473192114</v>
      </c>
      <c r="K182" s="35" t="n">
        <f aca="false">MAX(0,Fit!$B$28+Fit!$B$27*-NORMSINV(D182))</f>
        <v>189.559802749074</v>
      </c>
      <c r="L182" s="35" t="n">
        <f aca="false">INDEX(H182:K182,1,Inputs!$B$5)</f>
        <v>574.369618996954</v>
      </c>
      <c r="M182" s="35" t="n">
        <f aca="false">L182*E182</f>
        <v>0.208105016044714</v>
      </c>
      <c r="N182" s="35" t="n">
        <f aca="false">L182^$AB$7</f>
        <v>574.369618996954</v>
      </c>
      <c r="O182" s="35" t="n">
        <f aca="false">N182*E182</f>
        <v>0.208105016044714</v>
      </c>
      <c r="P182" s="35" t="n">
        <f aca="false">N182*$AB$3/($AB$4*$AB$1)</f>
        <v>3873523.22070738</v>
      </c>
      <c r="Q182" s="35" t="n">
        <f aca="false">IF(G182&lt;=3,F182*SQRT(P182),0)</f>
        <v>1614720.341626</v>
      </c>
      <c r="R182" s="35" t="n">
        <f aca="false">SQRT(P182/$AB$6)</f>
        <v>909349039.161425</v>
      </c>
      <c r="S182" s="35" t="n">
        <f aca="false">2*$AB$6*R182</f>
        <v>0.00851933208018658</v>
      </c>
      <c r="T182" s="35" t="n">
        <f aca="false">IF(G182&lt;=3,F182*R182,0)</f>
        <v>746061873889.46</v>
      </c>
      <c r="U182" s="35" t="n">
        <f aca="false">F182*P182</f>
        <v>3177974428.01529</v>
      </c>
      <c r="V182" s="35" t="n">
        <f aca="false">H182^$AB$7*E182</f>
        <v>0.208105016044714</v>
      </c>
      <c r="W182" s="35" t="n">
        <f aca="false">I182^$AB$7*E182</f>
        <v>0.106844057401009</v>
      </c>
      <c r="X182" s="35" t="n">
        <f aca="false">J182^$AB$7*E182</f>
        <v>0.0826480299506087</v>
      </c>
      <c r="Y182" s="35" t="n">
        <f aca="false">K182^$AB$7*E182</f>
        <v>0.0686811148915207</v>
      </c>
    </row>
    <row r="183" customFormat="false" ht="15" hidden="false" customHeight="false" outlineLevel="0" collapsed="false">
      <c r="A183" s="35" t="n">
        <v>181</v>
      </c>
      <c r="B183" s="35" t="n">
        <f aca="false">C182</f>
        <v>0.00962350626398088</v>
      </c>
      <c r="C183" s="35" t="n">
        <f aca="false">Inputs!$B$22*(Inputs!$B$23/Inputs!$B$22)^(60/60)</f>
        <v>0.01</v>
      </c>
      <c r="D183" s="35" t="n">
        <f aca="false">(B183+C183)/2</f>
        <v>0.00981175313199044</v>
      </c>
      <c r="E183" s="35" t="n">
        <f aca="false">C183-B183</f>
        <v>0.000376493736019116</v>
      </c>
      <c r="F183" s="35" t="n">
        <f aca="false">Inputs!$B$16*E183</f>
        <v>852.532415841686</v>
      </c>
      <c r="G183" s="35" t="n">
        <f aca="false">IF(D183&lt;=Inputs!$B$21,1,IF(D183&lt;=Inputs!$B$22,2,IF(D183&lt;=Inputs!$B$23,3,IF(D183&lt;=Inputs!$B$24,4,5))))</f>
        <v>3</v>
      </c>
      <c r="H183" s="35" t="n">
        <f aca="false">Fit!$B$10*D183^(-1/Fit!$B$9)</f>
        <v>560.154599430242</v>
      </c>
      <c r="I183" s="35" t="n">
        <f aca="false">EXP(Fit!$B$16+Fit!$B$15*-NORMSINV(D183))</f>
        <v>291.444364849023</v>
      </c>
      <c r="J183" s="35" t="n">
        <f aca="false">Fit!$B$22*LN(1/D183)^(1/Fit!$B$21)</f>
        <v>226.464013614243</v>
      </c>
      <c r="K183" s="35" t="n">
        <f aca="false">MAX(0,Fit!$B$28+Fit!$B$27*-NORMSINV(D183))</f>
        <v>188.665287183765</v>
      </c>
      <c r="L183" s="35" t="n">
        <f aca="false">INDEX(H183:K183,1,Inputs!$B$5)</f>
        <v>560.154599430242</v>
      </c>
      <c r="M183" s="35" t="n">
        <f aca="false">L183*E183</f>
        <v>0.210894697887783</v>
      </c>
      <c r="N183" s="35" t="n">
        <f aca="false">L183^$AB$7</f>
        <v>560.154599430242</v>
      </c>
      <c r="O183" s="35" t="n">
        <f aca="false">N183*E183</f>
        <v>0.210894697887783</v>
      </c>
      <c r="P183" s="35" t="n">
        <f aca="false">N183*$AB$3/($AB$4*$AB$1)</f>
        <v>3777657.75959433</v>
      </c>
      <c r="Q183" s="35" t="n">
        <f aca="false">IF(G183&lt;=3,F183*SQRT(P183),0)</f>
        <v>1656998.84686757</v>
      </c>
      <c r="R183" s="35" t="n">
        <f aca="false">SQRT(P183/$AB$6)</f>
        <v>898025844.237645</v>
      </c>
      <c r="S183" s="35" t="n">
        <f aca="false">2*$AB$6*R183</f>
        <v>0.00841324953804927</v>
      </c>
      <c r="T183" s="35" t="n">
        <f aca="false">IF(G183&lt;=3,F183*R183,0)</f>
        <v>765596142476.189</v>
      </c>
      <c r="U183" s="35" t="n">
        <f aca="false">F183*P183</f>
        <v>3220575696.01005</v>
      </c>
      <c r="V183" s="35" t="n">
        <f aca="false">H183^$AB$7*E183</f>
        <v>0.210894697887783</v>
      </c>
      <c r="W183" s="35" t="n">
        <f aca="false">I183^$AB$7*E183</f>
        <v>0.109726977763727</v>
      </c>
      <c r="X183" s="35" t="n">
        <f aca="false">J183^$AB$7*E183</f>
        <v>0.0852622825595103</v>
      </c>
      <c r="Y183" s="35" t="n">
        <f aca="false">K183^$AB$7*E183</f>
        <v>0.0710312988289349</v>
      </c>
    </row>
    <row r="184" customFormat="false" ht="15" hidden="false" customHeight="false" outlineLevel="0" collapsed="false">
      <c r="A184" s="35" t="n">
        <v>182</v>
      </c>
      <c r="B184" s="35" t="n">
        <f aca="false">C183</f>
        <v>0.01</v>
      </c>
      <c r="C184" s="35" t="n">
        <f aca="false">Inputs!$B$23*(Inputs!$B$24/Inputs!$B$23)^(1/60)</f>
        <v>0.0103912230383517</v>
      </c>
      <c r="D184" s="35" t="n">
        <f aca="false">(B184+C184)/2</f>
        <v>0.0101956115191758</v>
      </c>
      <c r="E184" s="35" t="n">
        <f aca="false">C184-B184</f>
        <v>0.000391223038351691</v>
      </c>
      <c r="F184" s="35" t="n">
        <f aca="false">Inputs!$B$16*E184</f>
        <v>885.88544804357</v>
      </c>
      <c r="G184" s="35" t="n">
        <f aca="false">IF(D184&lt;=Inputs!$B$21,1,IF(D184&lt;=Inputs!$B$22,2,IF(D184&lt;=Inputs!$B$23,3,IF(D184&lt;=Inputs!$B$24,4,5))))</f>
        <v>4</v>
      </c>
      <c r="H184" s="35" t="n">
        <f aca="false">Fit!$B$10*D184^(-1/Fit!$B$9)</f>
        <v>546.291386043034</v>
      </c>
      <c r="I184" s="35" t="n">
        <f aca="false">EXP(Fit!$B$16+Fit!$B$15*-NORMSINV(D184))</f>
        <v>288.023012727631</v>
      </c>
      <c r="J184" s="35" t="n">
        <f aca="false">Fit!$B$22*LN(1/D184)^(1/Fit!$B$21)</f>
        <v>224.817852961547</v>
      </c>
      <c r="K184" s="35" t="n">
        <f aca="false">MAX(0,Fit!$B$28+Fit!$B$27*-NORMSINV(D184))</f>
        <v>187.766415689395</v>
      </c>
      <c r="L184" s="35" t="n">
        <f aca="false">INDEX(H184:K184,1,Inputs!$B$5)</f>
        <v>546.291386043034</v>
      </c>
      <c r="M184" s="35" t="n">
        <f aca="false">L184*E184</f>
        <v>0.213721775873112</v>
      </c>
      <c r="N184" s="35" t="n">
        <f aca="false">L184^$AB$7</f>
        <v>546.291386043034</v>
      </c>
      <c r="O184" s="35" t="n">
        <f aca="false">N184*E184</f>
        <v>0.213721775873112</v>
      </c>
      <c r="P184" s="35" t="n">
        <f aca="false">N184*$AB$3/($AB$4*$AB$1)</f>
        <v>3684164.86374314</v>
      </c>
      <c r="Q184" s="35" t="n">
        <f aca="false">IF(G184&lt;=3,F184*SQRT(P184),0)</f>
        <v>0</v>
      </c>
      <c r="R184" s="35" t="n">
        <f aca="false">SQRT(P184/$AB$6)</f>
        <v>886843645.496585</v>
      </c>
      <c r="S184" s="35" t="n">
        <f aca="false">2*$AB$6*R184</f>
        <v>0.00830848793347378</v>
      </c>
      <c r="T184" s="35" t="n">
        <f aca="false">IF(G184&lt;=3,F184*R184,0)</f>
        <v>0</v>
      </c>
      <c r="U184" s="35" t="n">
        <f aca="false">F184*P184</f>
        <v>3263748040.98347</v>
      </c>
      <c r="V184" s="35" t="n">
        <f aca="false">H184^$AB$7*E184</f>
        <v>0.213721775873112</v>
      </c>
      <c r="W184" s="35" t="n">
        <f aca="false">I184^$AB$7*E184</f>
        <v>0.112681238154512</v>
      </c>
      <c r="X184" s="35" t="n">
        <f aca="false">J184^$AB$7*E184</f>
        <v>0.0879539235113202</v>
      </c>
      <c r="Y184" s="35" t="n">
        <f aca="false">K184^$AB$7*E184</f>
        <v>0.0734585476464118</v>
      </c>
    </row>
    <row r="185" customFormat="false" ht="15" hidden="false" customHeight="false" outlineLevel="0" collapsed="false">
      <c r="A185" s="35" t="n">
        <v>183</v>
      </c>
      <c r="B185" s="35" t="n">
        <f aca="false">C184</f>
        <v>0.0103912230383517</v>
      </c>
      <c r="C185" s="35" t="n">
        <f aca="false">Inputs!$B$23*(Inputs!$B$24/Inputs!$B$23)^(2/60)</f>
        <v>0.0107977516232771</v>
      </c>
      <c r="D185" s="35" t="n">
        <f aca="false">(B185+C185)/2</f>
        <v>0.0105944873308144</v>
      </c>
      <c r="E185" s="35" t="n">
        <f aca="false">C185-B185</f>
        <v>0.000406528584925405</v>
      </c>
      <c r="F185" s="35" t="n">
        <f aca="false">Inputs!$B$16*E185</f>
        <v>920.543327705087</v>
      </c>
      <c r="G185" s="35" t="n">
        <f aca="false">IF(D185&lt;=Inputs!$B$21,1,IF(D185&lt;=Inputs!$B$22,2,IF(D185&lt;=Inputs!$B$23,3,IF(D185&lt;=Inputs!$B$24,4,5))))</f>
        <v>4</v>
      </c>
      <c r="H185" s="35" t="n">
        <f aca="false">Fit!$B$10*D185^(-1/Fit!$B$9)</f>
        <v>532.771272017349</v>
      </c>
      <c r="I185" s="35" t="n">
        <f aca="false">EXP(Fit!$B$16+Fit!$B$15*-NORMSINV(D185))</f>
        <v>284.625309100836</v>
      </c>
      <c r="J185" s="35" t="n">
        <f aca="false">Fit!$B$22*LN(1/D185)^(1/Fit!$B$21)</f>
        <v>223.169975216372</v>
      </c>
      <c r="K185" s="35" t="n">
        <f aca="false">MAX(0,Fit!$B$28+Fit!$B$27*-NORMSINV(D185))</f>
        <v>186.863127406024</v>
      </c>
      <c r="L185" s="35" t="n">
        <f aca="false">INDEX(H185:K185,1,Inputs!$B$5)</f>
        <v>532.771272017349</v>
      </c>
      <c r="M185" s="35" t="n">
        <f aca="false">L185*E185</f>
        <v>0.216586751302121</v>
      </c>
      <c r="N185" s="35" t="n">
        <f aca="false">L185^$AB$7</f>
        <v>532.771272017349</v>
      </c>
      <c r="O185" s="35" t="n">
        <f aca="false">N185*E185</f>
        <v>0.216586751302121</v>
      </c>
      <c r="P185" s="35" t="n">
        <f aca="false">N185*$AB$3/($AB$4*$AB$1)</f>
        <v>3592985.81475974</v>
      </c>
      <c r="Q185" s="35" t="n">
        <f aca="false">IF(G185&lt;=3,F185*SQRT(P185),0)</f>
        <v>0</v>
      </c>
      <c r="R185" s="35" t="n">
        <f aca="false">SQRT(P185/$AB$6)</f>
        <v>875800687.256773</v>
      </c>
      <c r="S185" s="35" t="n">
        <f aca="false">2*$AB$6*R185</f>
        <v>0.00820503081817364</v>
      </c>
      <c r="T185" s="35" t="n">
        <f aca="false">IF(G185&lt;=3,F185*R185,0)</f>
        <v>0</v>
      </c>
      <c r="U185" s="35" t="n">
        <f aca="false">F185*P185</f>
        <v>3307499118.3161</v>
      </c>
      <c r="V185" s="35" t="n">
        <f aca="false">H185^$AB$7*E185</f>
        <v>0.216586751302121</v>
      </c>
      <c r="W185" s="35" t="n">
        <f aca="false">I185^$AB$7*E185</f>
        <v>0.115708324142719</v>
      </c>
      <c r="X185" s="35" t="n">
        <f aca="false">J185^$AB$7*E185</f>
        <v>0.0907249742225494</v>
      </c>
      <c r="Y185" s="35" t="n">
        <f aca="false">K185^$AB$7*E185</f>
        <v>0.0759652027591065</v>
      </c>
    </row>
    <row r="186" customFormat="false" ht="15" hidden="false" customHeight="false" outlineLevel="0" collapsed="false">
      <c r="A186" s="35" t="n">
        <v>184</v>
      </c>
      <c r="B186" s="35" t="n">
        <f aca="false">C185</f>
        <v>0.0107977516232771</v>
      </c>
      <c r="C186" s="35" t="n">
        <f aca="false">Inputs!$B$23*(Inputs!$B$24/Inputs!$B$23)^(3/60)</f>
        <v>0.0112201845430196</v>
      </c>
      <c r="D186" s="35" t="n">
        <f aca="false">(B186+C186)/2</f>
        <v>0.0110089680831484</v>
      </c>
      <c r="E186" s="35" t="n">
        <f aca="false">C186-B186</f>
        <v>0.000422432919742538</v>
      </c>
      <c r="F186" s="35" t="n">
        <f aca="false">Inputs!$B$16*E186</f>
        <v>956.557103465002</v>
      </c>
      <c r="G186" s="35" t="n">
        <f aca="false">IF(D186&lt;=Inputs!$B$21,1,IF(D186&lt;=Inputs!$B$22,2,IF(D186&lt;=Inputs!$B$23,3,IF(D186&lt;=Inputs!$B$24,4,5))))</f>
        <v>4</v>
      </c>
      <c r="H186" s="35" t="n">
        <f aca="false">Fit!$B$10*D186^(-1/Fit!$B$9)</f>
        <v>519.585766019427</v>
      </c>
      <c r="I186" s="35" t="n">
        <f aca="false">EXP(Fit!$B$16+Fit!$B$15*-NORMSINV(D186))</f>
        <v>281.251136940744</v>
      </c>
      <c r="J186" s="35" t="n">
        <f aca="false">Fit!$B$22*LN(1/D186)^(1/Fit!$B$21)</f>
        <v>221.520364073712</v>
      </c>
      <c r="K186" s="35" t="n">
        <f aca="false">MAX(0,Fit!$B$28+Fit!$B$27*-NORMSINV(D186))</f>
        <v>185.955360080128</v>
      </c>
      <c r="L186" s="35" t="n">
        <f aca="false">INDEX(H186:K186,1,Inputs!$B$5)</f>
        <v>519.585766019427</v>
      </c>
      <c r="M186" s="35" t="n">
        <f aca="false">L186*E186</f>
        <v>0.21949013219625</v>
      </c>
      <c r="N186" s="35" t="n">
        <f aca="false">L186^$AB$7</f>
        <v>519.585766019427</v>
      </c>
      <c r="O186" s="35" t="n">
        <f aca="false">N186*E186</f>
        <v>0.21949013219625</v>
      </c>
      <c r="P186" s="35" t="n">
        <f aca="false">N186*$AB$3/($AB$4*$AB$1)</f>
        <v>3504063.34746608</v>
      </c>
      <c r="Q186" s="35" t="n">
        <f aca="false">IF(G186&lt;=3,F186*SQRT(P186),0)</f>
        <v>0</v>
      </c>
      <c r="R186" s="35" t="n">
        <f aca="false">SQRT(P186/$AB$6)</f>
        <v>864895235.698443</v>
      </c>
      <c r="S186" s="35" t="n">
        <f aca="false">2*$AB$6*R186</f>
        <v>0.00810286194867609</v>
      </c>
      <c r="T186" s="35" t="n">
        <f aca="false">IF(G186&lt;=3,F186*R186,0)</f>
        <v>0</v>
      </c>
      <c r="U186" s="35" t="n">
        <f aca="false">F186*P186</f>
        <v>3351836686.01003</v>
      </c>
      <c r="V186" s="35" t="n">
        <f aca="false">H186^$AB$7*E186</f>
        <v>0.21949013219625</v>
      </c>
      <c r="W186" s="35" t="n">
        <f aca="false">I186^$AB$7*E186</f>
        <v>0.118809738958787</v>
      </c>
      <c r="X186" s="35" t="n">
        <f aca="false">J186^$AB$7*E186</f>
        <v>0.0935774941780882</v>
      </c>
      <c r="Y186" s="35" t="n">
        <f aca="false">K186^$AB$7*E186</f>
        <v>0.0785536657004233</v>
      </c>
    </row>
    <row r="187" customFormat="false" ht="15" hidden="false" customHeight="false" outlineLevel="0" collapsed="false">
      <c r="A187" s="35" t="n">
        <v>185</v>
      </c>
      <c r="B187" s="35" t="n">
        <f aca="false">C186</f>
        <v>0.0112201845430196</v>
      </c>
      <c r="C187" s="35" t="n">
        <f aca="false">Inputs!$B$23*(Inputs!$B$24/Inputs!$B$23)^(4/60)</f>
        <v>0.0116591440117983</v>
      </c>
      <c r="D187" s="35" t="n">
        <f aca="false">(B187+C187)/2</f>
        <v>0.011439664277409</v>
      </c>
      <c r="E187" s="35" t="n">
        <f aca="false">C187-B187</f>
        <v>0.000438959468778683</v>
      </c>
      <c r="F187" s="35" t="n">
        <f aca="false">Inputs!$B$16*E187</f>
        <v>993.979821102451</v>
      </c>
      <c r="G187" s="35" t="n">
        <f aca="false">IF(D187&lt;=Inputs!$B$21,1,IF(D187&lt;=Inputs!$B$22,2,IF(D187&lt;=Inputs!$B$23,3,IF(D187&lt;=Inputs!$B$24,4,5))))</f>
        <v>4</v>
      </c>
      <c r="H187" s="35" t="n">
        <f aca="false">Fit!$B$10*D187^(-1/Fit!$B$9)</f>
        <v>506.726586866725</v>
      </c>
      <c r="I187" s="35" t="n">
        <f aca="false">EXP(Fit!$B$16+Fit!$B$15*-NORMSINV(D187))</f>
        <v>277.900379482344</v>
      </c>
      <c r="J187" s="35" t="n">
        <f aca="false">Fit!$B$22*LN(1/D187)^(1/Fit!$B$21)</f>
        <v>219.869002933564</v>
      </c>
      <c r="K187" s="35" t="n">
        <f aca="false">MAX(0,Fit!$B$28+Fit!$B$27*-NORMSINV(D187))</f>
        <v>185.043050020219</v>
      </c>
      <c r="L187" s="35" t="n">
        <f aca="false">INDEX(H187:K187,1,Inputs!$B$5)</f>
        <v>506.726586866725</v>
      </c>
      <c r="M187" s="35" t="n">
        <f aca="false">L187*E187</f>
        <v>0.222432433387053</v>
      </c>
      <c r="N187" s="35" t="n">
        <f aca="false">L187^$AB$7</f>
        <v>506.726586866725</v>
      </c>
      <c r="O187" s="35" t="n">
        <f aca="false">N187*E187</f>
        <v>0.222432433387053</v>
      </c>
      <c r="P187" s="35" t="n">
        <f aca="false">N187*$AB$3/($AB$4*$AB$1)</f>
        <v>3417341.6139346</v>
      </c>
      <c r="Q187" s="35" t="n">
        <f aca="false">IF(G187&lt;=3,F187*SQRT(P187),0)</f>
        <v>0</v>
      </c>
      <c r="R187" s="35" t="n">
        <f aca="false">SQRT(P187/$AB$6)</f>
        <v>854125578.591318</v>
      </c>
      <c r="S187" s="35" t="n">
        <f aca="false">2*$AB$6*R187</f>
        <v>0.00800196528377177</v>
      </c>
      <c r="T187" s="35" t="n">
        <f aca="false">IF(G187&lt;=3,F187*R187,0)</f>
        <v>0</v>
      </c>
      <c r="U187" s="35" t="n">
        <f aca="false">F187*P187</f>
        <v>3396768606.06468</v>
      </c>
      <c r="V187" s="35" t="n">
        <f aca="false">H187^$AB$7*E187</f>
        <v>0.222432433387053</v>
      </c>
      <c r="W187" s="35" t="n">
        <f aca="false">I187^$AB$7*E187</f>
        <v>0.121987002950964</v>
      </c>
      <c r="X187" s="35" t="n">
        <f aca="false">J187^$AB$7*E187</f>
        <v>0.0965135807286162</v>
      </c>
      <c r="Y187" s="35" t="n">
        <f aca="false">K187^$AB$7*E187</f>
        <v>0.0812263989380626</v>
      </c>
    </row>
    <row r="188" customFormat="false" ht="15" hidden="false" customHeight="false" outlineLevel="0" collapsed="false">
      <c r="A188" s="35" t="n">
        <v>186</v>
      </c>
      <c r="B188" s="35" t="n">
        <f aca="false">C187</f>
        <v>0.0116591440117983</v>
      </c>
      <c r="C188" s="35" t="n">
        <f aca="false">Inputs!$B$23*(Inputs!$B$24/Inputs!$B$23)^(5/60)</f>
        <v>0.0121152765862859</v>
      </c>
      <c r="D188" s="35" t="n">
        <f aca="false">(B188+C188)/2</f>
        <v>0.0118872102990421</v>
      </c>
      <c r="E188" s="35" t="n">
        <f aca="false">C188-B188</f>
        <v>0.000456132574487567</v>
      </c>
      <c r="F188" s="35" t="n">
        <f aca="false">Inputs!$B$16*E188</f>
        <v>1032.86660166965</v>
      </c>
      <c r="G188" s="35" t="n">
        <f aca="false">IF(D188&lt;=Inputs!$B$21,1,IF(D188&lt;=Inputs!$B$22,2,IF(D188&lt;=Inputs!$B$23,3,IF(D188&lt;=Inputs!$B$24,4,5))))</f>
        <v>4</v>
      </c>
      <c r="H188" s="35" t="n">
        <f aca="false">Fit!$B$10*D188^(-1/Fit!$B$9)</f>
        <v>494.185658326906</v>
      </c>
      <c r="I188" s="35" t="n">
        <f aca="false">EXP(Fit!$B$16+Fit!$B$15*-NORMSINV(D188))</f>
        <v>274.572920217565</v>
      </c>
      <c r="J188" s="35" t="n">
        <f aca="false">Fit!$B$22*LN(1/D188)^(1/Fit!$B$21)</f>
        <v>218.21587489301</v>
      </c>
      <c r="K188" s="35" t="n">
        <f aca="false">MAX(0,Fit!$B$28+Fit!$B$27*-NORMSINV(D188))</f>
        <v>184.126132050646</v>
      </c>
      <c r="L188" s="35" t="n">
        <f aca="false">INDEX(H188:K188,1,Inputs!$B$5)</f>
        <v>494.185658326906</v>
      </c>
      <c r="M188" s="35" t="n">
        <f aca="false">L188*E188</f>
        <v>0.225414176607485</v>
      </c>
      <c r="N188" s="35" t="n">
        <f aca="false">L188^$AB$7</f>
        <v>494.185658326906</v>
      </c>
      <c r="O188" s="35" t="n">
        <f aca="false">N188*E188</f>
        <v>0.225414176607485</v>
      </c>
      <c r="P188" s="35" t="n">
        <f aca="false">N188*$AB$3/($AB$4*$AB$1)</f>
        <v>3332766.14841285</v>
      </c>
      <c r="Q188" s="35" t="n">
        <f aca="false">IF(G188&lt;=3,F188*SQRT(P188),0)</f>
        <v>0</v>
      </c>
      <c r="R188" s="35" t="n">
        <f aca="false">SQRT(P188/$AB$6)</f>
        <v>843490025.025776</v>
      </c>
      <c r="S188" s="35" t="n">
        <f aca="false">2*$AB$6*R188</f>
        <v>0.0079023249819961</v>
      </c>
      <c r="T188" s="35" t="n">
        <f aca="false">IF(G188&lt;=3,F188*R188,0)</f>
        <v>0</v>
      </c>
      <c r="U188" s="35" t="n">
        <f aca="false">F188*P188</f>
        <v>3442302845.87082</v>
      </c>
      <c r="V188" s="35" t="n">
        <f aca="false">H188^$AB$7*E188</f>
        <v>0.225414176607485</v>
      </c>
      <c r="W188" s="35" t="n">
        <f aca="false">I188^$AB$7*E188</f>
        <v>0.125241652983407</v>
      </c>
      <c r="X188" s="35" t="n">
        <f aca="false">J188^$AB$7*E188</f>
        <v>0.0995353688090054</v>
      </c>
      <c r="Y188" s="35" t="n">
        <f aca="false">K188^$AB$7*E188</f>
        <v>0.0839859266426987</v>
      </c>
    </row>
    <row r="189" customFormat="false" ht="15" hidden="false" customHeight="false" outlineLevel="0" collapsed="false">
      <c r="A189" s="35" t="n">
        <v>187</v>
      </c>
      <c r="B189" s="35" t="n">
        <f aca="false">C188</f>
        <v>0.0121152765862859</v>
      </c>
      <c r="C189" s="35" t="n">
        <f aca="false">Inputs!$B$23*(Inputs!$B$24/Inputs!$B$23)^(6/60)</f>
        <v>0.0125892541179417</v>
      </c>
      <c r="D189" s="35" t="n">
        <f aca="false">(B189+C189)/2</f>
        <v>0.0123522653521138</v>
      </c>
      <c r="E189" s="35" t="n">
        <f aca="false">C189-B189</f>
        <v>0.000473977531655789</v>
      </c>
      <c r="F189" s="35" t="n">
        <f aca="false">Inputs!$B$16*E189</f>
        <v>1073.27472268137</v>
      </c>
      <c r="G189" s="35" t="n">
        <f aca="false">IF(D189&lt;=Inputs!$B$21,1,IF(D189&lt;=Inputs!$B$22,2,IF(D189&lt;=Inputs!$B$23,3,IF(D189&lt;=Inputs!$B$24,4,5))))</f>
        <v>4</v>
      </c>
      <c r="H189" s="35" t="n">
        <f aca="false">Fit!$B$10*D189^(-1/Fit!$B$9)</f>
        <v>481.955104045548</v>
      </c>
      <c r="I189" s="35" t="n">
        <f aca="false">EXP(Fit!$B$16+Fit!$B$15*-NORMSINV(D189))</f>
        <v>271.268642889124</v>
      </c>
      <c r="J189" s="35" t="n">
        <f aca="false">Fit!$B$22*LN(1/D189)^(1/Fit!$B$21)</f>
        <v>216.560962738016</v>
      </c>
      <c r="K189" s="35" t="n">
        <f aca="false">MAX(0,Fit!$B$28+Fit!$B$27*-NORMSINV(D189))</f>
        <v>183.20453946349</v>
      </c>
      <c r="L189" s="35" t="n">
        <f aca="false">INDEX(H189:K189,1,Inputs!$B$5)</f>
        <v>481.955104045548</v>
      </c>
      <c r="M189" s="35" t="n">
        <f aca="false">L189*E189</f>
        <v>0.228435890584418</v>
      </c>
      <c r="N189" s="35" t="n">
        <f aca="false">L189^$AB$7</f>
        <v>481.955104045548</v>
      </c>
      <c r="O189" s="35" t="n">
        <f aca="false">N189*E189</f>
        <v>0.228435890584418</v>
      </c>
      <c r="P189" s="35" t="n">
        <f aca="false">N189*$AB$3/($AB$4*$AB$1)</f>
        <v>3250283.83311613</v>
      </c>
      <c r="Q189" s="35" t="n">
        <f aca="false">IF(G189&lt;=3,F189*SQRT(P189),0)</f>
        <v>0</v>
      </c>
      <c r="R189" s="35" t="n">
        <f aca="false">SQRT(P189/$AB$6)</f>
        <v>832986905.147365</v>
      </c>
      <c r="S189" s="35" t="n">
        <f aca="false">2*$AB$6*R189</f>
        <v>0.00780392539914207</v>
      </c>
      <c r="T189" s="35" t="n">
        <f aca="false">IF(G189&lt;=3,F189*R189,0)</f>
        <v>0</v>
      </c>
      <c r="U189" s="35" t="n">
        <f aca="false">F189*P189</f>
        <v>3488447479.62346</v>
      </c>
      <c r="V189" s="35" t="n">
        <f aca="false">H189^$AB$7*E189</f>
        <v>0.228435890584418</v>
      </c>
      <c r="W189" s="35" t="n">
        <f aca="false">I189^$AB$7*E189</f>
        <v>0.128575241772203</v>
      </c>
      <c r="X189" s="35" t="n">
        <f aca="false">J189^$AB$7*E189</f>
        <v>0.102645030571566</v>
      </c>
      <c r="Y189" s="35" t="n">
        <f aca="false">K189^$AB$7*E189</f>
        <v>0.0868348354030405</v>
      </c>
    </row>
    <row r="190" customFormat="false" ht="15" hidden="false" customHeight="false" outlineLevel="0" collapsed="false">
      <c r="A190" s="35" t="n">
        <v>188</v>
      </c>
      <c r="B190" s="35" t="n">
        <f aca="false">C189</f>
        <v>0.0125892541179417</v>
      </c>
      <c r="C190" s="35" t="n">
        <f aca="false">Inputs!$B$23*(Inputs!$B$24/Inputs!$B$23)^(7/60)</f>
        <v>0.0130817747426019</v>
      </c>
      <c r="D190" s="35" t="n">
        <f aca="false">(B190+C190)/2</f>
        <v>0.0128355144302718</v>
      </c>
      <c r="E190" s="35" t="n">
        <f aca="false">C190-B190</f>
        <v>0.00049252062466027</v>
      </c>
      <c r="F190" s="35" t="n">
        <f aca="false">Inputs!$B$16*E190</f>
        <v>1115.26370248071</v>
      </c>
      <c r="G190" s="35" t="n">
        <f aca="false">IF(D190&lt;=Inputs!$B$21,1,IF(D190&lt;=Inputs!$B$22,2,IF(D190&lt;=Inputs!$B$23,3,IF(D190&lt;=Inputs!$B$24,4,5))))</f>
        <v>4</v>
      </c>
      <c r="H190" s="35" t="n">
        <f aca="false">Fit!$B$10*D190^(-1/Fit!$B$9)</f>
        <v>470.02724259938</v>
      </c>
      <c r="I190" s="35" t="n">
        <f aca="false">EXP(Fit!$B$16+Fit!$B$15*-NORMSINV(D190))</f>
        <v>267.987431484145</v>
      </c>
      <c r="J190" s="35" t="n">
        <f aca="false">Fit!$B$22*LN(1/D190)^(1/Fit!$B$21)</f>
        <v>214.90424893494</v>
      </c>
      <c r="K190" s="35" t="n">
        <f aca="false">MAX(0,Fit!$B$28+Fit!$B$27*-NORMSINV(D190))</f>
        <v>182.27820396846</v>
      </c>
      <c r="L190" s="35" t="n">
        <f aca="false">INDEX(H190:K190,1,Inputs!$B$5)</f>
        <v>470.02724259938</v>
      </c>
      <c r="M190" s="35" t="n">
        <f aca="false">L190*E190</f>
        <v>0.231498111132391</v>
      </c>
      <c r="N190" s="35" t="n">
        <f aca="false">L190^$AB$7</f>
        <v>470.02724259938</v>
      </c>
      <c r="O190" s="35" t="n">
        <f aca="false">N190*E190</f>
        <v>0.231498111132391</v>
      </c>
      <c r="P190" s="35" t="n">
        <f aca="false">N190*$AB$3/($AB$4*$AB$1)</f>
        <v>3169842.86486681</v>
      </c>
      <c r="Q190" s="35" t="n">
        <f aca="false">IF(G190&lt;=3,F190*SQRT(P190),0)</f>
        <v>0</v>
      </c>
      <c r="R190" s="35" t="n">
        <f aca="false">SQRT(P190/$AB$6)</f>
        <v>822614569.894625</v>
      </c>
      <c r="S190" s="35" t="n">
        <f aca="false">2*$AB$6*R190</f>
        <v>0.00770675108580403</v>
      </c>
      <c r="T190" s="35" t="n">
        <f aca="false">IF(G190&lt;=3,F190*R190,0)</f>
        <v>0</v>
      </c>
      <c r="U190" s="35" t="n">
        <f aca="false">F190*P190</f>
        <v>3535210689.75343</v>
      </c>
      <c r="V190" s="35" t="n">
        <f aca="false">H190^$AB$7*E190</f>
        <v>0.231498111132391</v>
      </c>
      <c r="W190" s="35" t="n">
        <f aca="false">I190^$AB$7*E190</f>
        <v>0.131989337155672</v>
      </c>
      <c r="X190" s="35" t="n">
        <f aca="false">J190^$AB$7*E190</f>
        <v>0.105844774927583</v>
      </c>
      <c r="Y190" s="35" t="n">
        <f aca="false">K190^$AB$7*E190</f>
        <v>0.089775774880498</v>
      </c>
    </row>
    <row r="191" customFormat="false" ht="15" hidden="false" customHeight="false" outlineLevel="0" collapsed="false">
      <c r="A191" s="35" t="n">
        <v>189</v>
      </c>
      <c r="B191" s="35" t="n">
        <f aca="false">C190</f>
        <v>0.0130817747426019</v>
      </c>
      <c r="C191" s="35" t="n">
        <f aca="false">Inputs!$B$23*(Inputs!$B$24/Inputs!$B$23)^(8/60)</f>
        <v>0.0135935639087853</v>
      </c>
      <c r="D191" s="35" t="n">
        <f aca="false">(B191+C191)/2</f>
        <v>0.0133376693256936</v>
      </c>
      <c r="E191" s="35" t="n">
        <f aca="false">C191-B191</f>
        <v>0.000511789166183314</v>
      </c>
      <c r="F191" s="35" t="n">
        <f aca="false">Inputs!$B$16*E191</f>
        <v>1158.8953879055</v>
      </c>
      <c r="G191" s="35" t="n">
        <f aca="false">IF(D191&lt;=Inputs!$B$21,1,IF(D191&lt;=Inputs!$B$22,2,IF(D191&lt;=Inputs!$B$23,3,IF(D191&lt;=Inputs!$B$24,4,5))))</f>
        <v>4</v>
      </c>
      <c r="H191" s="35" t="n">
        <f aca="false">Fit!$B$10*D191^(-1/Fit!$B$9)</f>
        <v>458.394582671952</v>
      </c>
      <c r="I191" s="35" t="n">
        <f aca="false">EXP(Fit!$B$16+Fit!$B$15*-NORMSINV(D191))</f>
        <v>264.729170227556</v>
      </c>
      <c r="J191" s="35" t="n">
        <f aca="false">Fit!$B$22*LN(1/D191)^(1/Fit!$B$21)</f>
        <v>213.245715621724</v>
      </c>
      <c r="K191" s="35" t="n">
        <f aca="false">MAX(0,Fit!$B$28+Fit!$B$27*-NORMSINV(D191))</f>
        <v>181.347055640683</v>
      </c>
      <c r="L191" s="35" t="n">
        <f aca="false">INDEX(H191:K191,1,Inputs!$B$5)</f>
        <v>458.394582671952</v>
      </c>
      <c r="M191" s="35" t="n">
        <f aca="false">L191*E191</f>
        <v>0.234601381248627</v>
      </c>
      <c r="N191" s="35" t="n">
        <f aca="false">L191^$AB$7</f>
        <v>458.394582671952</v>
      </c>
      <c r="O191" s="35" t="n">
        <f aca="false">N191*E191</f>
        <v>0.234601381248627</v>
      </c>
      <c r="P191" s="35" t="n">
        <f aca="false">N191*$AB$3/($AB$4*$AB$1)</f>
        <v>3091392.72255919</v>
      </c>
      <c r="Q191" s="35" t="n">
        <f aca="false">IF(G191&lt;=3,F191*SQRT(P191),0)</f>
        <v>0</v>
      </c>
      <c r="R191" s="35" t="n">
        <f aca="false">SQRT(P191/$AB$6)</f>
        <v>812371390.740174</v>
      </c>
      <c r="S191" s="35" t="n">
        <f aca="false">2*$AB$6*R191</f>
        <v>0.00761078678495197</v>
      </c>
      <c r="T191" s="35" t="n">
        <f aca="false">IF(G191&lt;=3,F191*R191,0)</f>
        <v>0</v>
      </c>
      <c r="U191" s="35" t="n">
        <f aca="false">F191*P191</f>
        <v>3582600768.37846</v>
      </c>
      <c r="V191" s="35" t="n">
        <f aca="false">H191^$AB$7*E191</f>
        <v>0.234601381248627</v>
      </c>
      <c r="W191" s="35" t="n">
        <f aca="false">I191^$AB$7*E191</f>
        <v>0.135485521295162</v>
      </c>
      <c r="X191" s="35" t="n">
        <f aca="false">J191^$AB$7*E191</f>
        <v>0.109136846990206</v>
      </c>
      <c r="Y191" s="35" t="n">
        <f aca="false">K191^$AB$7*E191</f>
        <v>0.0928114583961444</v>
      </c>
    </row>
    <row r="192" customFormat="false" ht="15" hidden="false" customHeight="false" outlineLevel="0" collapsed="false">
      <c r="A192" s="35" t="n">
        <v>190</v>
      </c>
      <c r="B192" s="35" t="n">
        <f aca="false">C191</f>
        <v>0.0135935639087853</v>
      </c>
      <c r="C192" s="35" t="n">
        <f aca="false">Inputs!$B$23*(Inputs!$B$24/Inputs!$B$23)^(9/60)</f>
        <v>0.0141253754462275</v>
      </c>
      <c r="D192" s="35" t="n">
        <f aca="false">(B192+C192)/2</f>
        <v>0.0138594696775064</v>
      </c>
      <c r="E192" s="35" t="n">
        <f aca="false">C192-B192</f>
        <v>0.000531811537442287</v>
      </c>
      <c r="F192" s="35" t="n">
        <f aca="false">Inputs!$B$16*E192</f>
        <v>1204.23404538431</v>
      </c>
      <c r="G192" s="35" t="n">
        <f aca="false">IF(D192&lt;=Inputs!$B$21,1,IF(D192&lt;=Inputs!$B$22,2,IF(D192&lt;=Inputs!$B$23,3,IF(D192&lt;=Inputs!$B$24,4,5))))</f>
        <v>4</v>
      </c>
      <c r="H192" s="35" t="n">
        <f aca="false">Fit!$B$10*D192^(-1/Fit!$B$9)</f>
        <v>447.0498183487</v>
      </c>
      <c r="I192" s="35" t="n">
        <f aca="false">EXP(Fit!$B$16+Fit!$B$15*-NORMSINV(D192))</f>
        <v>261.49374357523</v>
      </c>
      <c r="J192" s="35" t="n">
        <f aca="false">Fit!$B$22*LN(1/D192)^(1/Fit!$B$21)</f>
        <v>211.58534459877</v>
      </c>
      <c r="K192" s="35" t="n">
        <f aca="false">MAX(0,Fit!$B$28+Fit!$B$27*-NORMSINV(D192))</f>
        <v>180.411022866283</v>
      </c>
      <c r="L192" s="35" t="n">
        <f aca="false">INDEX(H192:K192,1,Inputs!$B$5)</f>
        <v>447.0498183487</v>
      </c>
      <c r="M192" s="35" t="n">
        <f aca="false">L192*E192</f>
        <v>0.237746251209317</v>
      </c>
      <c r="N192" s="35" t="n">
        <f aca="false">L192^$AB$7</f>
        <v>447.0498183487</v>
      </c>
      <c r="O192" s="35" t="n">
        <f aca="false">N192*E192</f>
        <v>0.237746251209317</v>
      </c>
      <c r="P192" s="35" t="n">
        <f aca="false">N192*$AB$3/($AB$4*$AB$1)</f>
        <v>3014884.13542968</v>
      </c>
      <c r="Q192" s="35" t="n">
        <f aca="false">IF(G192&lt;=3,F192*SQRT(P192),0)</f>
        <v>0</v>
      </c>
      <c r="R192" s="35" t="n">
        <f aca="false">SQRT(P192/$AB$6)</f>
        <v>802255759.43502</v>
      </c>
      <c r="S192" s="35" t="n">
        <f aca="false">2*$AB$6*R192</f>
        <v>0.00751601742953614</v>
      </c>
      <c r="T192" s="35" t="n">
        <f aca="false">IF(G192&lt;=3,F192*R192,0)</f>
        <v>0</v>
      </c>
      <c r="U192" s="35" t="n">
        <f aca="false">F192*P192</f>
        <v>3630626118.77348</v>
      </c>
      <c r="V192" s="35" t="n">
        <f aca="false">H192^$AB$7*E192</f>
        <v>0.237746251209317</v>
      </c>
      <c r="W192" s="35" t="n">
        <f aca="false">I192^$AB$7*E192</f>
        <v>0.139065389802282</v>
      </c>
      <c r="X192" s="35" t="n">
        <f aca="false">J192^$AB$7*E192</f>
        <v>0.112523527411328</v>
      </c>
      <c r="Y192" s="35" t="n">
        <f aca="false">K192^$AB$7*E192</f>
        <v>0.0959446634420536</v>
      </c>
    </row>
    <row r="193" customFormat="false" ht="15" hidden="false" customHeight="false" outlineLevel="0" collapsed="false">
      <c r="A193" s="35" t="n">
        <v>191</v>
      </c>
      <c r="B193" s="35" t="n">
        <f aca="false">C192</f>
        <v>0.0141253754462275</v>
      </c>
      <c r="C193" s="35" t="n">
        <f aca="false">Inputs!$B$23*(Inputs!$B$24/Inputs!$B$23)^(10/60)</f>
        <v>0.0146779926762207</v>
      </c>
      <c r="D193" s="35" t="n">
        <f aca="false">(B193+C193)/2</f>
        <v>0.0144016840612241</v>
      </c>
      <c r="E193" s="35" t="n">
        <f aca="false">C193-B193</f>
        <v>0.000552617229993151</v>
      </c>
      <c r="F193" s="35" t="n">
        <f aca="false">Inputs!$B$16*E193</f>
        <v>1251.34645559649</v>
      </c>
      <c r="G193" s="35" t="n">
        <f aca="false">IF(D193&lt;=Inputs!$B$21,1,IF(D193&lt;=Inputs!$B$22,2,IF(D193&lt;=Inputs!$B$23,3,IF(D193&lt;=Inputs!$B$24,4,5))))</f>
        <v>4</v>
      </c>
      <c r="H193" s="35" t="n">
        <f aca="false">Fit!$B$10*D193^(-1/Fit!$B$9)</f>
        <v>435.98582452845</v>
      </c>
      <c r="I193" s="35" t="n">
        <f aca="false">EXP(Fit!$B$16+Fit!$B$15*-NORMSINV(D193))</f>
        <v>258.281036206869</v>
      </c>
      <c r="J193" s="35" t="n">
        <f aca="false">Fit!$B$22*LN(1/D193)^(1/Fit!$B$21)</f>
        <v>209.923117319472</v>
      </c>
      <c r="K193" s="35" t="n">
        <f aca="false">MAX(0,Fit!$B$28+Fit!$B$27*-NORMSINV(D193))</f>
        <v>179.470032285632</v>
      </c>
      <c r="L193" s="35" t="n">
        <f aca="false">INDEX(H193:K193,1,Inputs!$B$5)</f>
        <v>435.98582452845</v>
      </c>
      <c r="M193" s="35" t="n">
        <f aca="false">L193*E193</f>
        <v>0.240933278667192</v>
      </c>
      <c r="N193" s="35" t="n">
        <f aca="false">L193^$AB$7</f>
        <v>435.98582452845</v>
      </c>
      <c r="O193" s="35" t="n">
        <f aca="false">N193*E193</f>
        <v>0.240933278667192</v>
      </c>
      <c r="P193" s="35" t="n">
        <f aca="false">N193*$AB$3/($AB$4*$AB$1)</f>
        <v>2940269.05211218</v>
      </c>
      <c r="Q193" s="35" t="n">
        <f aca="false">IF(G193&lt;=3,F193*SQRT(P193),0)</f>
        <v>0</v>
      </c>
      <c r="R193" s="35" t="n">
        <f aca="false">SQRT(P193/$AB$6)</f>
        <v>792266087.756052</v>
      </c>
      <c r="S193" s="35" t="n">
        <f aca="false">2*$AB$6*R193</f>
        <v>0.00742242814012132</v>
      </c>
      <c r="T193" s="35" t="n">
        <f aca="false">IF(G193&lt;=3,F193*R193,0)</f>
        <v>0</v>
      </c>
      <c r="U193" s="35" t="n">
        <f aca="false">F193*P193</f>
        <v>3679295256.86063</v>
      </c>
      <c r="V193" s="35" t="n">
        <f aca="false">H193^$AB$7*E193</f>
        <v>0.240933278667192</v>
      </c>
      <c r="W193" s="35" t="n">
        <f aca="false">I193^$AB$7*E193</f>
        <v>0.142730550788401</v>
      </c>
      <c r="X193" s="35" t="n">
        <f aca="false">J193^$AB$7*E193</f>
        <v>0.116007131604614</v>
      </c>
      <c r="Y193" s="35" t="n">
        <f aca="false">K193^$AB$7*E193</f>
        <v>0.0991782321084673</v>
      </c>
    </row>
    <row r="194" customFormat="false" ht="15" hidden="false" customHeight="false" outlineLevel="0" collapsed="false">
      <c r="A194" s="35" t="n">
        <v>192</v>
      </c>
      <c r="B194" s="35" t="n">
        <f aca="false">C193</f>
        <v>0.0146779926762207</v>
      </c>
      <c r="C194" s="35" t="n">
        <f aca="false">Inputs!$B$23*(Inputs!$B$24/Inputs!$B$23)^(11/60)</f>
        <v>0.0152522295653902</v>
      </c>
      <c r="D194" s="35" t="n">
        <f aca="false">(B194+C194)/2</f>
        <v>0.0149651111208054</v>
      </c>
      <c r="E194" s="35" t="n">
        <f aca="false">C194-B194</f>
        <v>0.000574236889169496</v>
      </c>
      <c r="F194" s="35" t="n">
        <f aca="false">Inputs!$B$16*E194</f>
        <v>1300.30201183541</v>
      </c>
      <c r="G194" s="35" t="n">
        <f aca="false">IF(D194&lt;=Inputs!$B$21,1,IF(D194&lt;=Inputs!$B$22,2,IF(D194&lt;=Inputs!$B$23,3,IF(D194&lt;=Inputs!$B$24,4,5))))</f>
        <v>4</v>
      </c>
      <c r="H194" s="35" t="n">
        <f aca="false">Fit!$B$10*D194^(-1/Fit!$B$9)</f>
        <v>425.195652448485</v>
      </c>
      <c r="I194" s="35" t="n">
        <f aca="false">EXP(Fit!$B$16+Fit!$B$15*-NORMSINV(D194))</f>
        <v>255.090933018622</v>
      </c>
      <c r="J194" s="35" t="n">
        <f aca="false">Fit!$B$22*LN(1/D194)^(1/Fit!$B$21)</f>
        <v>208.2590148804</v>
      </c>
      <c r="K194" s="35" t="n">
        <f aca="false">MAX(0,Fit!$B$28+Fit!$B$27*-NORMSINV(D194))</f>
        <v>178.524008734154</v>
      </c>
      <c r="L194" s="35" t="n">
        <f aca="false">INDEX(H194:K194,1,Inputs!$B$5)</f>
        <v>425.195652448485</v>
      </c>
      <c r="M194" s="35" t="n">
        <f aca="false">L194*E194</f>
        <v>0.244163028750412</v>
      </c>
      <c r="N194" s="35" t="n">
        <f aca="false">L194^$AB$7</f>
        <v>425.195652448485</v>
      </c>
      <c r="O194" s="35" t="n">
        <f aca="false">N194*E194</f>
        <v>0.244163028750412</v>
      </c>
      <c r="P194" s="35" t="n">
        <f aca="false">N194*$AB$3/($AB$4*$AB$1)</f>
        <v>2867500.61045929</v>
      </c>
      <c r="Q194" s="35" t="n">
        <f aca="false">IF(G194&lt;=3,F194*SQRT(P194),0)</f>
        <v>0</v>
      </c>
      <c r="R194" s="35" t="n">
        <f aca="false">SQRT(P194/$AB$6)</f>
        <v>782400807.25668</v>
      </c>
      <c r="S194" s="35" t="n">
        <f aca="false">2*$AB$6*R194</f>
        <v>0.00733000422255074</v>
      </c>
      <c r="T194" s="35" t="n">
        <f aca="false">IF(G194&lt;=3,F194*R194,0)</f>
        <v>0</v>
      </c>
      <c r="U194" s="35" t="n">
        <f aca="false">F194*P194</f>
        <v>3728616812.71946</v>
      </c>
      <c r="V194" s="35" t="n">
        <f aca="false">H194^$AB$7*E194</f>
        <v>0.244163028750412</v>
      </c>
      <c r="W194" s="35" t="n">
        <f aca="false">I194^$AB$7*E194</f>
        <v>0.146482623831958</v>
      </c>
      <c r="X194" s="35" t="n">
        <f aca="false">J194^$AB$7*E194</f>
        <v>0.119590008846425</v>
      </c>
      <c r="Y194" s="35" t="n">
        <f aca="false">K194^$AB$7*E194</f>
        <v>0.102515071417569</v>
      </c>
    </row>
    <row r="195" customFormat="false" ht="15" hidden="false" customHeight="false" outlineLevel="0" collapsed="false">
      <c r="A195" s="35" t="n">
        <v>193</v>
      </c>
      <c r="B195" s="35" t="n">
        <f aca="false">C194</f>
        <v>0.0152522295653902</v>
      </c>
      <c r="C195" s="35" t="n">
        <f aca="false">Inputs!$B$23*(Inputs!$B$24/Inputs!$B$23)^(12/60)</f>
        <v>0.0158489319246111</v>
      </c>
      <c r="D195" s="35" t="n">
        <f aca="false">(B195+C195)/2</f>
        <v>0.0155505807450007</v>
      </c>
      <c r="E195" s="35" t="n">
        <f aca="false">C195-B195</f>
        <v>0.000596702359220947</v>
      </c>
      <c r="F195" s="35" t="n">
        <f aca="false">Inputs!$B$16*E195</f>
        <v>1351.17282221991</v>
      </c>
      <c r="G195" s="35" t="n">
        <f aca="false">IF(D195&lt;=Inputs!$B$21,1,IF(D195&lt;=Inputs!$B$22,2,IF(D195&lt;=Inputs!$B$23,3,IF(D195&lt;=Inputs!$B$24,4,5))))</f>
        <v>4</v>
      </c>
      <c r="H195" s="35" t="n">
        <f aca="false">Fit!$B$10*D195^(-1/Fit!$B$9)</f>
        <v>414.672525320363</v>
      </c>
      <c r="I195" s="35" t="n">
        <f aca="false">EXP(Fit!$B$16+Fit!$B$15*-NORMSINV(D195))</f>
        <v>251.923319115403</v>
      </c>
      <c r="J195" s="35" t="n">
        <f aca="false">Fit!$B$22*LN(1/D195)^(1/Fit!$B$21)</f>
        <v>206.593018011108</v>
      </c>
      <c r="K195" s="35" t="n">
        <f aca="false">MAX(0,Fit!$B$28+Fit!$B$27*-NORMSINV(D195))</f>
        <v>177.572875180555</v>
      </c>
      <c r="L195" s="35" t="n">
        <f aca="false">INDEX(H195:K195,1,Inputs!$B$5)</f>
        <v>414.672525320363</v>
      </c>
      <c r="M195" s="35" t="n">
        <f aca="false">L195*E195</f>
        <v>0.247436074162769</v>
      </c>
      <c r="N195" s="35" t="n">
        <f aca="false">L195^$AB$7</f>
        <v>414.672525320363</v>
      </c>
      <c r="O195" s="35" t="n">
        <f aca="false">N195*E195</f>
        <v>0.247436074162769</v>
      </c>
      <c r="P195" s="35" t="n">
        <f aca="false">N195*$AB$3/($AB$4*$AB$1)</f>
        <v>2796533.1081105</v>
      </c>
      <c r="Q195" s="35" t="n">
        <f aca="false">IF(G195&lt;=3,F195*SQRT(P195),0)</f>
        <v>0</v>
      </c>
      <c r="R195" s="35" t="n">
        <f aca="false">SQRT(P195/$AB$6)</f>
        <v>772658369.020577</v>
      </c>
      <c r="S195" s="35" t="n">
        <f aca="false">2*$AB$6*R195</f>
        <v>0.00723873116563895</v>
      </c>
      <c r="T195" s="35" t="n">
        <f aca="false">IF(G195&lt;=3,F195*R195,0)</f>
        <v>0</v>
      </c>
      <c r="U195" s="35" t="n">
        <f aca="false">F195*P195</f>
        <v>3778599532.11709</v>
      </c>
      <c r="V195" s="35" t="n">
        <f aca="false">H195^$AB$7*E195</f>
        <v>0.247436074162769</v>
      </c>
      <c r="W195" s="35" t="n">
        <f aca="false">I195^$AB$7*E195</f>
        <v>0.150323238858932</v>
      </c>
      <c r="X195" s="35" t="n">
        <f aca="false">J195^$AB$7*E195</f>
        <v>0.123274541245804</v>
      </c>
      <c r="Y195" s="35" t="n">
        <f aca="false">K195^$AB$7*E195</f>
        <v>0.105958153553884</v>
      </c>
    </row>
    <row r="196" customFormat="false" ht="15" hidden="false" customHeight="false" outlineLevel="0" collapsed="false">
      <c r="A196" s="35" t="n">
        <v>194</v>
      </c>
      <c r="B196" s="35" t="n">
        <f aca="false">C195</f>
        <v>0.0158489319246111</v>
      </c>
      <c r="C196" s="35" t="n">
        <f aca="false">Inputs!$B$23*(Inputs!$B$24/Inputs!$B$23)^(13/60)</f>
        <v>0.0164689786548287</v>
      </c>
      <c r="D196" s="35" t="n">
        <f aca="false">(B196+C196)/2</f>
        <v>0.0161589552897199</v>
      </c>
      <c r="E196" s="35" t="n">
        <f aca="false">C196-B196</f>
        <v>0.000620046730217549</v>
      </c>
      <c r="F196" s="35" t="n">
        <f aca="false">Inputs!$B$16*E196</f>
        <v>1404.03381590462</v>
      </c>
      <c r="G196" s="35" t="n">
        <f aca="false">IF(D196&lt;=Inputs!$B$21,1,IF(D196&lt;=Inputs!$B$22,2,IF(D196&lt;=Inputs!$B$23,3,IF(D196&lt;=Inputs!$B$24,4,5))))</f>
        <v>4</v>
      </c>
      <c r="H196" s="35" t="n">
        <f aca="false">Fit!$B$10*D196^(-1/Fit!$B$9)</f>
        <v>404.409834073739</v>
      </c>
      <c r="I196" s="35" t="n">
        <f aca="false">EXP(Fit!$B$16+Fit!$B$15*-NORMSINV(D196))</f>
        <v>248.778079802912</v>
      </c>
      <c r="J196" s="35" t="n">
        <f aca="false">Fit!$B$22*LN(1/D196)^(1/Fit!$B$21)</f>
        <v>204.925107063561</v>
      </c>
      <c r="K196" s="35" t="n">
        <f aca="false">MAX(0,Fit!$B$28+Fit!$B$27*-NORMSINV(D196))</f>
        <v>176.616552662326</v>
      </c>
      <c r="L196" s="35" t="n">
        <f aca="false">INDEX(H196:K196,1,Inputs!$B$5)</f>
        <v>404.409834073739</v>
      </c>
      <c r="M196" s="35" t="n">
        <f aca="false">L196*E196</f>
        <v>0.250752995285244</v>
      </c>
      <c r="N196" s="35" t="n">
        <f aca="false">L196^$AB$7</f>
        <v>404.409834073739</v>
      </c>
      <c r="O196" s="35" t="n">
        <f aca="false">N196*E196</f>
        <v>0.250752995285244</v>
      </c>
      <c r="P196" s="35" t="n">
        <f aca="false">N196*$AB$3/($AB$4*$AB$1)</f>
        <v>2727321.97378872</v>
      </c>
      <c r="Q196" s="35" t="n">
        <f aca="false">IF(G196&lt;=3,F196*SQRT(P196),0)</f>
        <v>0</v>
      </c>
      <c r="R196" s="35" t="n">
        <f aca="false">SQRT(P196/$AB$6)</f>
        <v>763037243.418489</v>
      </c>
      <c r="S196" s="35" t="n">
        <f aca="false">2*$AB$6*R196</f>
        <v>0.00714859463889344</v>
      </c>
      <c r="T196" s="35" t="n">
        <f aca="false">IF(G196&lt;=3,F196*R196,0)</f>
        <v>0</v>
      </c>
      <c r="U196" s="35" t="n">
        <f aca="false">F196*P196</f>
        <v>3829252278.05909</v>
      </c>
      <c r="V196" s="35" t="n">
        <f aca="false">H196^$AB$7*E196</f>
        <v>0.250752995285244</v>
      </c>
      <c r="W196" s="35" t="n">
        <f aca="false">I196^$AB$7*E196</f>
        <v>0.154254034931596</v>
      </c>
      <c r="X196" s="35" t="n">
        <f aca="false">J196^$AB$7*E196</f>
        <v>0.127063142574242</v>
      </c>
      <c r="Y196" s="35" t="n">
        <f aca="false">K196^$AB$7*E196</f>
        <v>0.109510515980571</v>
      </c>
    </row>
    <row r="197" customFormat="false" ht="15" hidden="false" customHeight="false" outlineLevel="0" collapsed="false">
      <c r="A197" s="35" t="n">
        <v>195</v>
      </c>
      <c r="B197" s="35" t="n">
        <f aca="false">C196</f>
        <v>0.0164689786548287</v>
      </c>
      <c r="C197" s="35" t="n">
        <f aca="false">Inputs!$B$23*(Inputs!$B$24/Inputs!$B$23)^(14/60)</f>
        <v>0.0171132830416178</v>
      </c>
      <c r="D197" s="35" t="n">
        <f aca="false">(B197+C197)/2</f>
        <v>0.0167911308482233</v>
      </c>
      <c r="E197" s="35" t="n">
        <f aca="false">C197-B197</f>
        <v>0.000644304386789123</v>
      </c>
      <c r="F197" s="35" t="n">
        <f aca="false">Inputs!$B$16*E197</f>
        <v>1458.96285344529</v>
      </c>
      <c r="G197" s="35" t="n">
        <f aca="false">IF(D197&lt;=Inputs!$B$21,1,IF(D197&lt;=Inputs!$B$22,2,IF(D197&lt;=Inputs!$B$23,3,IF(D197&lt;=Inputs!$B$24,4,5))))</f>
        <v>4</v>
      </c>
      <c r="H197" s="35" t="n">
        <f aca="false">Fit!$B$10*D197^(-1/Fit!$B$9)</f>
        <v>394.401133205528</v>
      </c>
      <c r="I197" s="35" t="n">
        <f aca="false">EXP(Fit!$B$16+Fit!$B$15*-NORMSINV(D197))</f>
        <v>245.655100579331</v>
      </c>
      <c r="J197" s="35" t="n">
        <f aca="false">Fit!$B$22*LN(1/D197)^(1/Fit!$B$21)</f>
        <v>203.25526200115</v>
      </c>
      <c r="K197" s="35" t="n">
        <f aca="false">MAX(0,Fit!$B$28+Fit!$B$27*-NORMSINV(D197))</f>
        <v>175.654960218402</v>
      </c>
      <c r="L197" s="35" t="n">
        <f aca="false">INDEX(H197:K197,1,Inputs!$B$5)</f>
        <v>394.401133205528</v>
      </c>
      <c r="M197" s="35" t="n">
        <f aca="false">L197*E197</f>
        <v>0.254114380278923</v>
      </c>
      <c r="N197" s="35" t="n">
        <f aca="false">L197^$AB$7</f>
        <v>394.401133205528</v>
      </c>
      <c r="O197" s="35" t="n">
        <f aca="false">N197*E197</f>
        <v>0.254114380278923</v>
      </c>
      <c r="P197" s="35" t="n">
        <f aca="false">N197*$AB$3/($AB$4*$AB$1)</f>
        <v>2659823.73930718</v>
      </c>
      <c r="Q197" s="35" t="n">
        <f aca="false">IF(G197&lt;=3,F197*SQRT(P197),0)</f>
        <v>0</v>
      </c>
      <c r="R197" s="35" t="n">
        <f aca="false">SQRT(P197/$AB$6)</f>
        <v>753535919.868075</v>
      </c>
      <c r="S197" s="35" t="n">
        <f aca="false">2*$AB$6*R197</f>
        <v>0.00705958049026475</v>
      </c>
      <c r="T197" s="35" t="n">
        <f aca="false">IF(G197&lt;=3,F197*R197,0)</f>
        <v>0</v>
      </c>
      <c r="U197" s="35" t="n">
        <f aca="false">F197*P197</f>
        <v>3880584032.36113</v>
      </c>
      <c r="V197" s="35" t="n">
        <f aca="false">H197^$AB$7*E197</f>
        <v>0.254114380278923</v>
      </c>
      <c r="W197" s="35" t="n">
        <f aca="false">I197^$AB$7*E197</f>
        <v>0.158276658940386</v>
      </c>
      <c r="X197" s="35" t="n">
        <f aca="false">J197^$AB$7*E197</f>
        <v>0.130958256945314</v>
      </c>
      <c r="Y197" s="35" t="n">
        <f aca="false">K197^$AB$7*E197</f>
        <v>0.113175261429985</v>
      </c>
    </row>
    <row r="198" customFormat="false" ht="15" hidden="false" customHeight="false" outlineLevel="0" collapsed="false">
      <c r="A198" s="35" t="n">
        <v>196</v>
      </c>
      <c r="B198" s="35" t="n">
        <f aca="false">C197</f>
        <v>0.0171132830416178</v>
      </c>
      <c r="C198" s="35" t="n">
        <f aca="false">Inputs!$B$23*(Inputs!$B$24/Inputs!$B$23)^(15/60)</f>
        <v>0.0177827941003892</v>
      </c>
      <c r="D198" s="35" t="n">
        <f aca="false">(B198+C198)/2</f>
        <v>0.0174480385710035</v>
      </c>
      <c r="E198" s="35" t="n">
        <f aca="false">C198-B198</f>
        <v>0.000669511058771419</v>
      </c>
      <c r="F198" s="35" t="n">
        <f aca="false">Inputs!$B$16*E198</f>
        <v>1516.040841482</v>
      </c>
      <c r="G198" s="35" t="n">
        <f aca="false">IF(D198&lt;=Inputs!$B$21,1,IF(D198&lt;=Inputs!$B$22,2,IF(D198&lt;=Inputs!$B$23,3,IF(D198&lt;=Inputs!$B$24,4,5))))</f>
        <v>4</v>
      </c>
      <c r="H198" s="35" t="n">
        <f aca="false">Fit!$B$10*D198^(-1/Fit!$B$9)</f>
        <v>384.640136731793</v>
      </c>
      <c r="I198" s="35" t="n">
        <f aca="false">EXP(Fit!$B$16+Fit!$B$15*-NORMSINV(D198))</f>
        <v>242.554267126686</v>
      </c>
      <c r="J198" s="35" t="n">
        <f aca="false">Fit!$B$22*LN(1/D198)^(1/Fit!$B$21)</f>
        <v>201.583462387287</v>
      </c>
      <c r="K198" s="35" t="n">
        <f aca="false">MAX(0,Fit!$B$28+Fit!$B$27*-NORMSINV(D198))</f>
        <v>174.688014818786</v>
      </c>
      <c r="L198" s="35" t="n">
        <f aca="false">INDEX(H198:K198,1,Inputs!$B$5)</f>
        <v>384.640136731793</v>
      </c>
      <c r="M198" s="35" t="n">
        <f aca="false">L198*E198</f>
        <v>0.257520825189286</v>
      </c>
      <c r="N198" s="35" t="n">
        <f aca="false">L198^$AB$7</f>
        <v>384.640136731793</v>
      </c>
      <c r="O198" s="35" t="n">
        <f aca="false">N198*E198</f>
        <v>0.257520825189286</v>
      </c>
      <c r="P198" s="35" t="n">
        <f aca="false">N198*$AB$3/($AB$4*$AB$1)</f>
        <v>2593996.01226917</v>
      </c>
      <c r="Q198" s="35" t="n">
        <f aca="false">IF(G198&lt;=3,F198*SQRT(P198),0)</f>
        <v>0</v>
      </c>
      <c r="R198" s="35" t="n">
        <f aca="false">SQRT(P198/$AB$6)</f>
        <v>744152906.59673</v>
      </c>
      <c r="S198" s="35" t="n">
        <f aca="false">2*$AB$6*R198</f>
        <v>0.00697167474392438</v>
      </c>
      <c r="T198" s="35" t="n">
        <f aca="false">IF(G198&lt;=3,F198*R198,0)</f>
        <v>0</v>
      </c>
      <c r="U198" s="35" t="n">
        <f aca="false">F198*P198</f>
        <v>3932603897.24151</v>
      </c>
      <c r="V198" s="35" t="n">
        <f aca="false">H198^$AB$7*E198</f>
        <v>0.257520825189286</v>
      </c>
      <c r="W198" s="35" t="n">
        <f aca="false">I198^$AB$7*E198</f>
        <v>0.162392764193513</v>
      </c>
      <c r="X198" s="35" t="n">
        <f aca="false">J198^$AB$7*E198</f>
        <v>0.134962357333721</v>
      </c>
      <c r="Y198" s="35" t="n">
        <f aca="false">K198^$AB$7*E198</f>
        <v>0.116955557756003</v>
      </c>
    </row>
    <row r="199" customFormat="false" ht="15" hidden="false" customHeight="false" outlineLevel="0" collapsed="false">
      <c r="A199" s="35" t="n">
        <v>197</v>
      </c>
      <c r="B199" s="35" t="n">
        <f aca="false">C198</f>
        <v>0.0177827941003892</v>
      </c>
      <c r="C199" s="35" t="n">
        <f aca="false">Inputs!$B$23*(Inputs!$B$24/Inputs!$B$23)^(16/60)</f>
        <v>0.0184784979742229</v>
      </c>
      <c r="D199" s="35" t="n">
        <f aca="false">(B199+C199)/2</f>
        <v>0.0181306460373061</v>
      </c>
      <c r="E199" s="35" t="n">
        <f aca="false">C199-B199</f>
        <v>0.000695703873833681</v>
      </c>
      <c r="F199" s="35" t="n">
        <f aca="false">Inputs!$B$16*E199</f>
        <v>1575.35185190899</v>
      </c>
      <c r="G199" s="35" t="n">
        <f aca="false">IF(D199&lt;=Inputs!$B$21,1,IF(D199&lt;=Inputs!$B$22,2,IF(D199&lt;=Inputs!$B$23,3,IF(D199&lt;=Inputs!$B$24,4,5))))</f>
        <v>4</v>
      </c>
      <c r="H199" s="35" t="n">
        <f aca="false">Fit!$B$10*D199^(-1/Fit!$B$9)</f>
        <v>375.120714239821</v>
      </c>
      <c r="I199" s="35" t="n">
        <f aca="false">EXP(Fit!$B$16+Fit!$B$15*-NORMSINV(D199))</f>
        <v>239.475465301838</v>
      </c>
      <c r="J199" s="35" t="n">
        <f aca="false">Fit!$B$22*LN(1/D199)^(1/Fit!$B$21)</f>
        <v>199.909687373545</v>
      </c>
      <c r="K199" s="35" t="n">
        <f aca="false">MAX(0,Fit!$B$28+Fit!$B$27*-NORMSINV(D199))</f>
        <v>173.715631291006</v>
      </c>
      <c r="L199" s="35" t="n">
        <f aca="false">INDEX(H199:K199,1,Inputs!$B$5)</f>
        <v>375.120714239821</v>
      </c>
      <c r="M199" s="35" t="n">
        <f aca="false">L199*E199</f>
        <v>0.260972934051901</v>
      </c>
      <c r="N199" s="35" t="n">
        <f aca="false">L199^$AB$7</f>
        <v>375.120714239821</v>
      </c>
      <c r="O199" s="35" t="n">
        <f aca="false">N199*E199</f>
        <v>0.260972934051901</v>
      </c>
      <c r="P199" s="35" t="n">
        <f aca="false">N199*$AB$3/($AB$4*$AB$1)</f>
        <v>2529797.44944342</v>
      </c>
      <c r="Q199" s="35" t="n">
        <f aca="false">IF(G199&lt;=3,F199*SQRT(P199),0)</f>
        <v>0</v>
      </c>
      <c r="R199" s="35" t="n">
        <f aca="false">SQRT(P199/$AB$6)</f>
        <v>734886730.407374</v>
      </c>
      <c r="S199" s="35" t="n">
        <f aca="false">2*$AB$6*R199</f>
        <v>0.00688486359807059</v>
      </c>
      <c r="T199" s="35" t="n">
        <f aca="false">IF(G199&lt;=3,F199*R199,0)</f>
        <v>0</v>
      </c>
      <c r="U199" s="35" t="n">
        <f aca="false">F199*P199</f>
        <v>3985321096.93533</v>
      </c>
      <c r="V199" s="35" t="n">
        <f aca="false">H199^$AB$7*E199</f>
        <v>0.260972934051901</v>
      </c>
      <c r="W199" s="35" t="n">
        <f aca="false">I199^$AB$7*E199</f>
        <v>0.166604008898612</v>
      </c>
      <c r="X199" s="35" t="n">
        <f aca="false">J199^$AB$7*E199</f>
        <v>0.139077943922656</v>
      </c>
      <c r="Y199" s="35" t="n">
        <f aca="false">K199^$AB$7*E199</f>
        <v>0.120854637634617</v>
      </c>
    </row>
    <row r="200" customFormat="false" ht="15" hidden="false" customHeight="false" outlineLevel="0" collapsed="false">
      <c r="A200" s="35" t="n">
        <v>198</v>
      </c>
      <c r="B200" s="35" t="n">
        <f aca="false">C199</f>
        <v>0.0184784979742229</v>
      </c>
      <c r="C200" s="35" t="n">
        <f aca="false">Inputs!$B$23*(Inputs!$B$24/Inputs!$B$23)^(17/60)</f>
        <v>0.019201419386388</v>
      </c>
      <c r="D200" s="35" t="n">
        <f aca="false">(B200+C200)/2</f>
        <v>0.0188399586803055</v>
      </c>
      <c r="E200" s="35" t="n">
        <f aca="false">C200-B200</f>
        <v>0.000722921412165106</v>
      </c>
      <c r="F200" s="35" t="n">
        <f aca="false">Inputs!$B$16*E200</f>
        <v>1636.98324570667</v>
      </c>
      <c r="G200" s="35" t="n">
        <f aca="false">IF(D200&lt;=Inputs!$B$21,1,IF(D200&lt;=Inputs!$B$22,2,IF(D200&lt;=Inputs!$B$23,3,IF(D200&lt;=Inputs!$B$24,4,5))))</f>
        <v>4</v>
      </c>
      <c r="H200" s="35" t="n">
        <f aca="false">Fit!$B$10*D200^(-1/Fit!$B$9)</f>
        <v>365.836887037905</v>
      </c>
      <c r="I200" s="35" t="n">
        <f aca="false">EXP(Fit!$B$16+Fit!$B$15*-NORMSINV(D200))</f>
        <v>236.41858112711</v>
      </c>
      <c r="J200" s="35" t="n">
        <f aca="false">Fit!$B$22*LN(1/D200)^(1/Fit!$B$21)</f>
        <v>198.233915687343</v>
      </c>
      <c r="K200" s="35" t="n">
        <f aca="false">MAX(0,Fit!$B$28+Fit!$B$27*-NORMSINV(D200))</f>
        <v>172.737722243205</v>
      </c>
      <c r="L200" s="35" t="n">
        <f aca="false">INDEX(H200:K200,1,Inputs!$B$5)</f>
        <v>365.836887037905</v>
      </c>
      <c r="M200" s="35" t="n">
        <f aca="false">L200*E200</f>
        <v>0.264471318999529</v>
      </c>
      <c r="N200" s="35" t="n">
        <f aca="false">L200^$AB$7</f>
        <v>365.836887037905</v>
      </c>
      <c r="O200" s="35" t="n">
        <f aca="false">N200*E200</f>
        <v>0.264471318999529</v>
      </c>
      <c r="P200" s="35" t="n">
        <f aca="false">N200*$AB$3/($AB$4*$AB$1)</f>
        <v>2467187.73079839</v>
      </c>
      <c r="Q200" s="35" t="n">
        <f aca="false">IF(G200&lt;=3,F200*SQRT(P200),0)</f>
        <v>0</v>
      </c>
      <c r="R200" s="35" t="n">
        <f aca="false">SQRT(P200/$AB$6)</f>
        <v>725735936.447141</v>
      </c>
      <c r="S200" s="35" t="n">
        <f aca="false">2*$AB$6*R200</f>
        <v>0.00679913342276136</v>
      </c>
      <c r="T200" s="35" t="n">
        <f aca="false">IF(G200&lt;=3,F200*R200,0)</f>
        <v>0</v>
      </c>
      <c r="U200" s="35" t="n">
        <f aca="false">F200*P200</f>
        <v>4038744979.33</v>
      </c>
      <c r="V200" s="35" t="n">
        <f aca="false">H200^$AB$7*E200</f>
        <v>0.264471318999529</v>
      </c>
      <c r="W200" s="35" t="n">
        <f aca="false">I200^$AB$7*E200</f>
        <v>0.170912054530481</v>
      </c>
      <c r="X200" s="35" t="n">
        <f aca="false">J200^$AB$7*E200</f>
        <v>0.143307542267712</v>
      </c>
      <c r="Y200" s="35" t="n">
        <f aca="false">K200^$AB$7*E200</f>
        <v>0.124875798098242</v>
      </c>
    </row>
    <row r="201" customFormat="false" ht="15" hidden="false" customHeight="false" outlineLevel="0" collapsed="false">
      <c r="A201" s="35" t="n">
        <v>199</v>
      </c>
      <c r="B201" s="35" t="n">
        <f aca="false">C200</f>
        <v>0.019201419386388</v>
      </c>
      <c r="C201" s="35" t="n">
        <f aca="false">Inputs!$B$23*(Inputs!$B$24/Inputs!$B$23)^(18/60)</f>
        <v>0.0199526231496888</v>
      </c>
      <c r="D201" s="35" t="n">
        <f aca="false">(B201+C201)/2</f>
        <v>0.0195770212680384</v>
      </c>
      <c r="E201" s="35" t="n">
        <f aca="false">C201-B201</f>
        <v>0.000751203763300779</v>
      </c>
      <c r="F201" s="35" t="n">
        <f aca="false">Inputs!$B$16*E201</f>
        <v>1701.02580161828</v>
      </c>
      <c r="G201" s="35" t="n">
        <f aca="false">IF(D201&lt;=Inputs!$B$21,1,IF(D201&lt;=Inputs!$B$22,2,IF(D201&lt;=Inputs!$B$23,3,IF(D201&lt;=Inputs!$B$24,4,5))))</f>
        <v>4</v>
      </c>
      <c r="H201" s="35" t="n">
        <f aca="false">Fit!$B$10*D201^(-1/Fit!$B$9)</f>
        <v>356.782824400417</v>
      </c>
      <c r="I201" s="35" t="n">
        <f aca="false">EXP(Fit!$B$16+Fit!$B$15*-NORMSINV(D201))</f>
        <v>233.383500780496</v>
      </c>
      <c r="J201" s="35" t="n">
        <f aca="false">Fit!$B$22*LN(1/D201)^(1/Fit!$B$21)</f>
        <v>196.556125619124</v>
      </c>
      <c r="K201" s="35" t="n">
        <f aca="false">MAX(0,Fit!$B$28+Fit!$B$27*-NORMSINV(D201))</f>
        <v>171.754197983686</v>
      </c>
      <c r="L201" s="35" t="n">
        <f aca="false">INDEX(H201:K201,1,Inputs!$B$5)</f>
        <v>356.782824400417</v>
      </c>
      <c r="M201" s="35" t="n">
        <f aca="false">L201*E201</f>
        <v>0.268016600370674</v>
      </c>
      <c r="N201" s="35" t="n">
        <f aca="false">L201^$AB$7</f>
        <v>356.782824400417</v>
      </c>
      <c r="O201" s="35" t="n">
        <f aca="false">N201*E201</f>
        <v>0.268016600370674</v>
      </c>
      <c r="P201" s="35" t="n">
        <f aca="false">N201*$AB$3/($AB$4*$AB$1)</f>
        <v>2406127.53417918</v>
      </c>
      <c r="Q201" s="35" t="n">
        <f aca="false">IF(G201&lt;=3,F201*SQRT(P201),0)</f>
        <v>0</v>
      </c>
      <c r="R201" s="35" t="n">
        <f aca="false">SQRT(P201/$AB$6)</f>
        <v>716699087.978966</v>
      </c>
      <c r="S201" s="35" t="n">
        <f aca="false">2*$AB$6*R201</f>
        <v>0.00671447075777443</v>
      </c>
      <c r="T201" s="35" t="n">
        <f aca="false">IF(G201&lt;=3,F201*R201,0)</f>
        <v>0</v>
      </c>
      <c r="U201" s="35" t="n">
        <f aca="false">F201*P201</f>
        <v>4092885017.62297</v>
      </c>
      <c r="V201" s="35" t="n">
        <f aca="false">H201^$AB$7*E201</f>
        <v>0.268016600370674</v>
      </c>
      <c r="W201" s="35" t="n">
        <f aca="false">I201^$AB$7*E201</f>
        <v>0.175318564078619</v>
      </c>
      <c r="X201" s="35" t="n">
        <f aca="false">J201^$AB$7*E201</f>
        <v>0.147653701264907</v>
      </c>
      <c r="Y201" s="35" t="n">
        <f aca="false">K201^$AB$7*E201</f>
        <v>0.129022399888052</v>
      </c>
    </row>
    <row r="202" customFormat="false" ht="15" hidden="false" customHeight="false" outlineLevel="0" collapsed="false">
      <c r="A202" s="35" t="n">
        <v>200</v>
      </c>
      <c r="B202" s="35" t="n">
        <f aca="false">C201</f>
        <v>0.0199526231496888</v>
      </c>
      <c r="C202" s="35" t="n">
        <f aca="false">Inputs!$B$23*(Inputs!$B$24/Inputs!$B$23)^(19/60)</f>
        <v>0.0207332157348596</v>
      </c>
      <c r="D202" s="35" t="n">
        <f aca="false">(B202+C202)/2</f>
        <v>0.0203429194422742</v>
      </c>
      <c r="E202" s="35" t="n">
        <f aca="false">C202-B202</f>
        <v>0.000780592585170756</v>
      </c>
      <c r="F202" s="35" t="n">
        <f aca="false">Inputs!$B$16*E202</f>
        <v>1767.57384986066</v>
      </c>
      <c r="G202" s="35" t="n">
        <f aca="false">IF(D202&lt;=Inputs!$B$21,1,IF(D202&lt;=Inputs!$B$22,2,IF(D202&lt;=Inputs!$B$23,3,IF(D202&lt;=Inputs!$B$24,4,5))))</f>
        <v>4</v>
      </c>
      <c r="H202" s="35" t="n">
        <f aca="false">Fit!$B$10*D202^(-1/Fit!$B$9)</f>
        <v>347.952839905806</v>
      </c>
      <c r="I202" s="35" t="n">
        <f aca="false">EXP(Fit!$B$16+Fit!$B$15*-NORMSINV(D202))</f>
        <v>230.370110585459</v>
      </c>
      <c r="J202" s="35" t="n">
        <f aca="false">Fit!$B$22*LN(1/D202)^(1/Fit!$B$21)</f>
        <v>194.876295009032</v>
      </c>
      <c r="K202" s="35" t="n">
        <f aca="false">MAX(0,Fit!$B$28+Fit!$B$27*-NORMSINV(D202))</f>
        <v>170.76496643671</v>
      </c>
      <c r="L202" s="35" t="n">
        <f aca="false">INDEX(H202:K202,1,Inputs!$B$5)</f>
        <v>347.952839905806</v>
      </c>
      <c r="M202" s="35" t="n">
        <f aca="false">L202*E202</f>
        <v>0.271609406819579</v>
      </c>
      <c r="N202" s="35" t="n">
        <f aca="false">L202^$AB$7</f>
        <v>347.952839905806</v>
      </c>
      <c r="O202" s="35" t="n">
        <f aca="false">N202*E202</f>
        <v>0.271609406819579</v>
      </c>
      <c r="P202" s="35" t="n">
        <f aca="false">N202*$AB$3/($AB$4*$AB$1)</f>
        <v>2346578.51061124</v>
      </c>
      <c r="Q202" s="35" t="n">
        <f aca="false">IF(G202&lt;=3,F202*SQRT(P202),0)</f>
        <v>0</v>
      </c>
      <c r="R202" s="35" t="n">
        <f aca="false">SQRT(P202/$AB$6)</f>
        <v>707774766.156</v>
      </c>
      <c r="S202" s="35" t="n">
        <f aca="false">2*$AB$6*R202</f>
        <v>0.00663086231049393</v>
      </c>
      <c r="T202" s="35" t="n">
        <f aca="false">IF(G202&lt;=3,F202*R202,0)</f>
        <v>0</v>
      </c>
      <c r="U202" s="35" t="n">
        <f aca="false">F202*P202</f>
        <v>4147750812.0014</v>
      </c>
      <c r="V202" s="35" t="n">
        <f aca="false">H202^$AB$7*E202</f>
        <v>0.271609406819579</v>
      </c>
      <c r="W202" s="35" t="n">
        <f aca="false">I202^$AB$7*E202</f>
        <v>0.179825200167976</v>
      </c>
      <c r="X202" s="35" t="n">
        <f aca="false">J202^$AB$7*E202</f>
        <v>0.152118990909599</v>
      </c>
      <c r="Y202" s="35" t="n">
        <f aca="false">K202^$AB$7*E202</f>
        <v>0.133297866607429</v>
      </c>
    </row>
    <row r="203" customFormat="false" ht="15" hidden="false" customHeight="false" outlineLevel="0" collapsed="false">
      <c r="A203" s="35" t="n">
        <v>201</v>
      </c>
      <c r="B203" s="35" t="n">
        <f aca="false">C202</f>
        <v>0.0207332157348596</v>
      </c>
      <c r="C203" s="35" t="n">
        <f aca="false">Inputs!$B$23*(Inputs!$B$24/Inputs!$B$23)^(20/60)</f>
        <v>0.0215443469003188</v>
      </c>
      <c r="D203" s="35" t="n">
        <f aca="false">(B203+C203)/2</f>
        <v>0.0211387813175892</v>
      </c>
      <c r="E203" s="35" t="n">
        <f aca="false">C203-B203</f>
        <v>0.000811131165459288</v>
      </c>
      <c r="F203" s="35" t="n">
        <f aca="false">Inputs!$B$16*E203</f>
        <v>1836.72541106601</v>
      </c>
      <c r="G203" s="35" t="n">
        <f aca="false">IF(D203&lt;=Inputs!$B$21,1,IF(D203&lt;=Inputs!$B$22,2,IF(D203&lt;=Inputs!$B$23,3,IF(D203&lt;=Inputs!$B$24,4,5))))</f>
        <v>4</v>
      </c>
      <c r="H203" s="35" t="n">
        <f aca="false">Fit!$B$10*D203^(-1/Fit!$B$9)</f>
        <v>339.341387865234</v>
      </c>
      <c r="I203" s="35" t="n">
        <f aca="false">EXP(Fit!$B$16+Fit!$B$15*-NORMSINV(D203))</f>
        <v>227.37829700027</v>
      </c>
      <c r="J203" s="35" t="n">
        <f aca="false">Fit!$B$22*LN(1/D203)^(1/Fit!$B$21)</f>
        <v>193.194401233036</v>
      </c>
      <c r="K203" s="35" t="n">
        <f aca="false">MAX(0,Fit!$B$28+Fit!$B$27*-NORMSINV(D203))</f>
        <v>169.769933054338</v>
      </c>
      <c r="L203" s="35" t="n">
        <f aca="false">INDEX(H203:K203,1,Inputs!$B$5)</f>
        <v>339.341387865234</v>
      </c>
      <c r="M203" s="35" t="n">
        <f aca="false">L203*E203</f>
        <v>0.275250375427699</v>
      </c>
      <c r="N203" s="35" t="n">
        <f aca="false">L203^$AB$7</f>
        <v>339.341387865234</v>
      </c>
      <c r="O203" s="35" t="n">
        <f aca="false">N203*E203</f>
        <v>0.275250375427699</v>
      </c>
      <c r="P203" s="35" t="n">
        <f aca="false">N203*$AB$3/($AB$4*$AB$1)</f>
        <v>2288503.26021513</v>
      </c>
      <c r="Q203" s="35" t="n">
        <f aca="false">IF(G203&lt;=3,F203*SQRT(P203),0)</f>
        <v>0</v>
      </c>
      <c r="R203" s="35" t="n">
        <f aca="false">SQRT(P203/$AB$6)</f>
        <v>698961569.798848</v>
      </c>
      <c r="S203" s="35" t="n">
        <f aca="false">2*$AB$6*R203</f>
        <v>0.00654829495382338</v>
      </c>
      <c r="T203" s="35" t="n">
        <f aca="false">IF(G203&lt;=3,F203*R203,0)</f>
        <v>0</v>
      </c>
      <c r="U203" s="35" t="n">
        <f aca="false">F203*P203</f>
        <v>4203352091.34455</v>
      </c>
      <c r="V203" s="35" t="n">
        <f aca="false">H203^$AB$7*E203</f>
        <v>0.275250375427699</v>
      </c>
      <c r="W203" s="35" t="n">
        <f aca="false">I203^$AB$7*E203</f>
        <v>0.184433623045977</v>
      </c>
      <c r="X203" s="35" t="n">
        <f aca="false">J203^$AB$7*E203</f>
        <v>0.156705999832362</v>
      </c>
      <c r="Y203" s="35" t="n">
        <f aca="false">K203^$AB$7*E203</f>
        <v>0.137705683658311</v>
      </c>
    </row>
    <row r="204" customFormat="false" ht="15" hidden="false" customHeight="false" outlineLevel="0" collapsed="false">
      <c r="A204" s="35" t="n">
        <v>202</v>
      </c>
      <c r="B204" s="35" t="n">
        <f aca="false">C203</f>
        <v>0.0215443469003188</v>
      </c>
      <c r="C204" s="35" t="n">
        <f aca="false">Inputs!$B$23*(Inputs!$B$24/Inputs!$B$23)^(21/60)</f>
        <v>0.0223872113856834</v>
      </c>
      <c r="D204" s="35" t="n">
        <f aca="false">(B204+C204)/2</f>
        <v>0.0219657791430011</v>
      </c>
      <c r="E204" s="35" t="n">
        <f aca="false">C204-B204</f>
        <v>0.000842864485364556</v>
      </c>
      <c r="F204" s="35" t="n">
        <f aca="false">Inputs!$B$16*E204</f>
        <v>1908.5823406595</v>
      </c>
      <c r="G204" s="35" t="n">
        <f aca="false">IF(D204&lt;=Inputs!$B$21,1,IF(D204&lt;=Inputs!$B$22,2,IF(D204&lt;=Inputs!$B$23,3,IF(D204&lt;=Inputs!$B$24,4,5))))</f>
        <v>4</v>
      </c>
      <c r="H204" s="35" t="n">
        <f aca="false">Fit!$B$10*D204^(-1/Fit!$B$9)</f>
        <v>330.943059839592</v>
      </c>
      <c r="I204" s="35" t="n">
        <f aca="false">EXP(Fit!$B$16+Fit!$B$15*-NORMSINV(D204))</f>
        <v>224.407946606874</v>
      </c>
      <c r="J204" s="35" t="n">
        <f aca="false">Fit!$B$22*LN(1/D204)^(1/Fit!$B$21)</f>
        <v>191.510421188487</v>
      </c>
      <c r="K204" s="35" t="n">
        <f aca="false">MAX(0,Fit!$B$28+Fit!$B$27*-NORMSINV(D204))</f>
        <v>168.769000724079</v>
      </c>
      <c r="L204" s="35" t="n">
        <f aca="false">INDEX(H204:K204,1,Inputs!$B$5)</f>
        <v>330.943059839592</v>
      </c>
      <c r="M204" s="35" t="n">
        <f aca="false">L204*E204</f>
        <v>0.278940151816669</v>
      </c>
      <c r="N204" s="35" t="n">
        <f aca="false">L204^$AB$7</f>
        <v>330.943059839592</v>
      </c>
      <c r="O204" s="35" t="n">
        <f aca="false">N204*E204</f>
        <v>0.278940151816669</v>
      </c>
      <c r="P204" s="35" t="n">
        <f aca="false">N204*$AB$3/($AB$4*$AB$1)</f>
        <v>2231865.30871754</v>
      </c>
      <c r="Q204" s="35" t="n">
        <f aca="false">IF(G204&lt;=3,F204*SQRT(P204),0)</f>
        <v>0</v>
      </c>
      <c r="R204" s="35" t="n">
        <f aca="false">SQRT(P204/$AB$6)</f>
        <v>690258115.17557</v>
      </c>
      <c r="S204" s="35" t="n">
        <f aca="false">2*$AB$6*R204</f>
        <v>0.0064667557241246</v>
      </c>
      <c r="T204" s="35" t="n">
        <f aca="false">IF(G204&lt;=3,F204*R204,0)</f>
        <v>0</v>
      </c>
      <c r="U204" s="35" t="n">
        <f aca="false">F204*P204</f>
        <v>4259698714.94886</v>
      </c>
      <c r="V204" s="35" t="n">
        <f aca="false">H204^$AB$7*E204</f>
        <v>0.278940151816669</v>
      </c>
      <c r="W204" s="35" t="n">
        <f aca="false">I204^$AB$7*E204</f>
        <v>0.18914548842852</v>
      </c>
      <c r="X204" s="35" t="n">
        <f aca="false">J204^$AB$7*E204</f>
        <v>0.161417332596983</v>
      </c>
      <c r="Y204" s="35" t="n">
        <f aca="false">K204^$AB$7*E204</f>
        <v>0.142249396940791</v>
      </c>
    </row>
    <row r="205" customFormat="false" ht="15" hidden="false" customHeight="false" outlineLevel="0" collapsed="false">
      <c r="A205" s="35" t="n">
        <v>203</v>
      </c>
      <c r="B205" s="35" t="n">
        <f aca="false">C204</f>
        <v>0.0223872113856834</v>
      </c>
      <c r="C205" s="35" t="n">
        <f aca="false">Inputs!$B$23*(Inputs!$B$24/Inputs!$B$23)^(22/60)</f>
        <v>0.0232630506715363</v>
      </c>
      <c r="D205" s="35" t="n">
        <f aca="false">(B205+C205)/2</f>
        <v>0.0228251310286098</v>
      </c>
      <c r="E205" s="35" t="n">
        <f aca="false">C205-B205</f>
        <v>0.000875839285852862</v>
      </c>
      <c r="F205" s="35" t="n">
        <f aca="false">Inputs!$B$16*E205</f>
        <v>1983.25047888522</v>
      </c>
      <c r="G205" s="35" t="n">
        <f aca="false">IF(D205&lt;=Inputs!$B$21,1,IF(D205&lt;=Inputs!$B$22,2,IF(D205&lt;=Inputs!$B$23,3,IF(D205&lt;=Inputs!$B$24,4,5))))</f>
        <v>4</v>
      </c>
      <c r="H205" s="35" t="n">
        <f aca="false">Fit!$B$10*D205^(-1/Fit!$B$9)</f>
        <v>322.752581242721</v>
      </c>
      <c r="I205" s="35" t="n">
        <f aca="false">EXP(Fit!$B$16+Fit!$B$15*-NORMSINV(D205))</f>
        <v>221.458946099248</v>
      </c>
      <c r="J205" s="35" t="n">
        <f aca="false">Fit!$B$22*LN(1/D205)^(1/Fit!$B$21)</f>
        <v>189.824331279081</v>
      </c>
      <c r="K205" s="35" t="n">
        <f aca="false">MAX(0,Fit!$B$28+Fit!$B$27*-NORMSINV(D205))</f>
        <v>167.762069672107</v>
      </c>
      <c r="L205" s="35" t="n">
        <f aca="false">INDEX(H205:K205,1,Inputs!$B$5)</f>
        <v>322.752581242721</v>
      </c>
      <c r="M205" s="35" t="n">
        <f aca="false">L205*E205</f>
        <v>0.282679390262793</v>
      </c>
      <c r="N205" s="35" t="n">
        <f aca="false">L205^$AB$7</f>
        <v>322.752581242721</v>
      </c>
      <c r="O205" s="35" t="n">
        <f aca="false">N205*E205</f>
        <v>0.282679390262793</v>
      </c>
      <c r="P205" s="35" t="n">
        <f aca="false">N205*$AB$3/($AB$4*$AB$1)</f>
        <v>2176629.08454348</v>
      </c>
      <c r="Q205" s="35" t="n">
        <f aca="false">IF(G205&lt;=3,F205*SQRT(P205),0)</f>
        <v>0</v>
      </c>
      <c r="R205" s="35" t="n">
        <f aca="false">SQRT(P205/$AB$6)</f>
        <v>681663035.784425</v>
      </c>
      <c r="S205" s="35" t="n">
        <f aca="false">2*$AB$6*R205</f>
        <v>0.00638623181918239</v>
      </c>
      <c r="T205" s="35" t="n">
        <f aca="false">IF(G205&lt;=3,F205*R205,0)</f>
        <v>0</v>
      </c>
      <c r="U205" s="35" t="n">
        <f aca="false">F205*P205</f>
        <v>4316800674.27635</v>
      </c>
      <c r="V205" s="35" t="n">
        <f aca="false">H205^$AB$7*E205</f>
        <v>0.282679390262793</v>
      </c>
      <c r="W205" s="35" t="n">
        <f aca="false">I205^$AB$7*E205</f>
        <v>0.193962445197293</v>
      </c>
      <c r="X205" s="35" t="n">
        <f aca="false">J205^$AB$7*E205</f>
        <v>0.166255606744967</v>
      </c>
      <c r="Y205" s="35" t="n">
        <f aca="false">K205^$AB$7*E205</f>
        <v>0.146932611294816</v>
      </c>
    </row>
    <row r="206" customFormat="false" ht="15" hidden="false" customHeight="false" outlineLevel="0" collapsed="false">
      <c r="A206" s="35" t="n">
        <v>204</v>
      </c>
      <c r="B206" s="35" t="n">
        <f aca="false">C205</f>
        <v>0.0232630506715363</v>
      </c>
      <c r="C206" s="35" t="n">
        <f aca="false">Inputs!$B$23*(Inputs!$B$24/Inputs!$B$23)^(23/60)</f>
        <v>0.024173154808041</v>
      </c>
      <c r="D206" s="35" t="n">
        <f aca="false">(B206+C206)/2</f>
        <v>0.0237181027397887</v>
      </c>
      <c r="E206" s="35" t="n">
        <f aca="false">C206-B206</f>
        <v>0.000910104136504782</v>
      </c>
      <c r="F206" s="35" t="n">
        <f aca="false">Inputs!$B$16*E206</f>
        <v>2060.83980670143</v>
      </c>
      <c r="G206" s="35" t="n">
        <f aca="false">IF(D206&lt;=Inputs!$B$21,1,IF(D206&lt;=Inputs!$B$22,2,IF(D206&lt;=Inputs!$B$23,3,IF(D206&lt;=Inputs!$B$24,4,5))))</f>
        <v>4</v>
      </c>
      <c r="H206" s="35" t="n">
        <f aca="false">Fit!$B$10*D206^(-1/Fit!$B$9)</f>
        <v>314.764808028699</v>
      </c>
      <c r="I206" s="35" t="n">
        <f aca="false">EXP(Fit!$B$16+Fit!$B$15*-NORMSINV(D206))</f>
        <v>218.531182271222</v>
      </c>
      <c r="J206" s="35" t="n">
        <f aca="false">Fit!$B$22*LN(1/D206)^(1/Fit!$B$21)</f>
        <v>188.136107399184</v>
      </c>
      <c r="K206" s="35" t="n">
        <f aca="false">MAX(0,Fit!$B$28+Fit!$B$27*-NORMSINV(D206))</f>
        <v>166.749037361786</v>
      </c>
      <c r="L206" s="35" t="n">
        <f aca="false">INDEX(H206:K206,1,Inputs!$B$5)</f>
        <v>314.764808028699</v>
      </c>
      <c r="M206" s="35" t="n">
        <f aca="false">L206*E206</f>
        <v>0.286468753813052</v>
      </c>
      <c r="N206" s="35" t="n">
        <f aca="false">L206^$AB$7</f>
        <v>314.764808028699</v>
      </c>
      <c r="O206" s="35" t="n">
        <f aca="false">N206*E206</f>
        <v>0.286468753813052</v>
      </c>
      <c r="P206" s="35" t="n">
        <f aca="false">N206*$AB$3/($AB$4*$AB$1)</f>
        <v>2122759.89647554</v>
      </c>
      <c r="Q206" s="35" t="n">
        <f aca="false">IF(G206&lt;=3,F206*SQRT(P206),0)</f>
        <v>0</v>
      </c>
      <c r="R206" s="35" t="n">
        <f aca="false">SQRT(P206/$AB$6)</f>
        <v>673174982.139325</v>
      </c>
      <c r="S206" s="35" t="n">
        <f aca="false">2*$AB$6*R206</f>
        <v>0.00630671059619442</v>
      </c>
      <c r="T206" s="35" t="n">
        <f aca="false">IF(G206&lt;=3,F206*R206,0)</f>
        <v>0</v>
      </c>
      <c r="U206" s="35" t="n">
        <f aca="false">F206*P206</f>
        <v>4374668094.72618</v>
      </c>
      <c r="V206" s="35" t="n">
        <f aca="false">H206^$AB$7*E206</f>
        <v>0.286468753813052</v>
      </c>
      <c r="W206" s="35" t="n">
        <f aca="false">I206^$AB$7*E206</f>
        <v>0.198886132940319</v>
      </c>
      <c r="X206" s="35" t="n">
        <f aca="false">J206^$AB$7*E206</f>
        <v>0.171223449569905</v>
      </c>
      <c r="Y206" s="35" t="n">
        <f aca="false">K206^$AB$7*E206</f>
        <v>0.151758988661151</v>
      </c>
    </row>
    <row r="207" customFormat="false" ht="15" hidden="false" customHeight="false" outlineLevel="0" collapsed="false">
      <c r="A207" s="35" t="n">
        <v>205</v>
      </c>
      <c r="B207" s="35" t="n">
        <f aca="false">C206</f>
        <v>0.024173154808041</v>
      </c>
      <c r="C207" s="35" t="n">
        <f aca="false">Inputs!$B$23*(Inputs!$B$24/Inputs!$B$23)^(24/60)</f>
        <v>0.0251188643150958</v>
      </c>
      <c r="D207" s="35" t="n">
        <f aca="false">(B207+C207)/2</f>
        <v>0.0246460095615684</v>
      </c>
      <c r="E207" s="35" t="n">
        <f aca="false">C207-B207</f>
        <v>0.000945709507054762</v>
      </c>
      <c r="F207" s="35" t="n">
        <f aca="false">Inputs!$B$16*E207</f>
        <v>2141.4646077748</v>
      </c>
      <c r="G207" s="35" t="n">
        <f aca="false">IF(D207&lt;=Inputs!$B$21,1,IF(D207&lt;=Inputs!$B$22,2,IF(D207&lt;=Inputs!$B$23,3,IF(D207&lt;=Inputs!$B$24,4,5))))</f>
        <v>4</v>
      </c>
      <c r="H207" s="35" t="n">
        <f aca="false">Fit!$B$10*D207^(-1/Fit!$B$9)</f>
        <v>306.97472346111</v>
      </c>
      <c r="I207" s="35" t="n">
        <f aca="false">EXP(Fit!$B$16+Fit!$B$15*-NORMSINV(D207))</f>
        <v>215.624542003736</v>
      </c>
      <c r="J207" s="35" t="n">
        <f aca="false">Fit!$B$22*LN(1/D207)^(1/Fit!$B$21)</f>
        <v>186.445724917501</v>
      </c>
      <c r="K207" s="35" t="n">
        <f aca="false">MAX(0,Fit!$B$28+Fit!$B$27*-NORMSINV(D207))</f>
        <v>165.729798387221</v>
      </c>
      <c r="L207" s="35" t="n">
        <f aca="false">INDEX(H207:K207,1,Inputs!$B$5)</f>
        <v>306.97472346111</v>
      </c>
      <c r="M207" s="35" t="n">
        <f aca="false">L207*E207</f>
        <v>0.290308914402678</v>
      </c>
      <c r="N207" s="35" t="n">
        <f aca="false">L207^$AB$7</f>
        <v>306.97472346111</v>
      </c>
      <c r="O207" s="35" t="n">
        <f aca="false">N207*E207</f>
        <v>0.290308914402678</v>
      </c>
      <c r="P207" s="35" t="n">
        <f aca="false">N207*$AB$3/($AB$4*$AB$1)</f>
        <v>2070223.91186596</v>
      </c>
      <c r="Q207" s="35" t="n">
        <f aca="false">IF(G207&lt;=3,F207*SQRT(P207),0)</f>
        <v>0</v>
      </c>
      <c r="R207" s="35" t="n">
        <f aca="false">SQRT(P207/$AB$6)</f>
        <v>664792621.557952</v>
      </c>
      <c r="S207" s="35" t="n">
        <f aca="false">2*$AB$6*R207</f>
        <v>0.00622817956978631</v>
      </c>
      <c r="T207" s="35" t="n">
        <f aca="false">IF(G207&lt;=3,F207*R207,0)</f>
        <v>0</v>
      </c>
      <c r="U207" s="35" t="n">
        <f aca="false">F207*P207</f>
        <v>4433311237.43006</v>
      </c>
      <c r="V207" s="35" t="n">
        <f aca="false">H207^$AB$7*E207</f>
        <v>0.290308914402678</v>
      </c>
      <c r="W207" s="35" t="n">
        <f aca="false">I207^$AB$7*E207</f>
        <v>0.203918179327262</v>
      </c>
      <c r="X207" s="35" t="n">
        <f aca="false">J207^$AB$7*E207</f>
        <v>0.176323494604198</v>
      </c>
      <c r="Y207" s="35" t="n">
        <f aca="false">K207^$AB$7*E207</f>
        <v>0.156732245937064</v>
      </c>
    </row>
    <row r="208" customFormat="false" ht="15" hidden="false" customHeight="false" outlineLevel="0" collapsed="false">
      <c r="A208" s="35" t="n">
        <v>206</v>
      </c>
      <c r="B208" s="35" t="n">
        <f aca="false">C207</f>
        <v>0.0251188643150958</v>
      </c>
      <c r="C208" s="35" t="n">
        <f aca="false">Inputs!$B$23*(Inputs!$B$24/Inputs!$B$23)^(25/60)</f>
        <v>0.0261015721568254</v>
      </c>
      <c r="D208" s="35" t="n">
        <f aca="false">(B208+C208)/2</f>
        <v>0.0256102182359606</v>
      </c>
      <c r="E208" s="35" t="n">
        <f aca="false">C208-B208</f>
        <v>0.000982707841729567</v>
      </c>
      <c r="F208" s="35" t="n">
        <f aca="false">Inputs!$B$16*E208</f>
        <v>2225.24363681243</v>
      </c>
      <c r="G208" s="35" t="n">
        <f aca="false">IF(D208&lt;=Inputs!$B$21,1,IF(D208&lt;=Inputs!$B$22,2,IF(D208&lt;=Inputs!$B$23,3,IF(D208&lt;=Inputs!$B$24,4,5))))</f>
        <v>4</v>
      </c>
      <c r="H208" s="35" t="n">
        <f aca="false">Fit!$B$10*D208^(-1/Fit!$B$9)</f>
        <v>299.377434962275</v>
      </c>
      <c r="I208" s="35" t="n">
        <f aca="false">EXP(Fit!$B$16+Fit!$B$15*-NORMSINV(D208))</f>
        <v>212.73891225149</v>
      </c>
      <c r="J208" s="35" t="n">
        <f aca="false">Fit!$B$22*LN(1/D208)^(1/Fit!$B$21)</f>
        <v>184.753158660038</v>
      </c>
      <c r="K208" s="35" t="n">
        <f aca="false">MAX(0,Fit!$B$28+Fit!$B$27*-NORMSINV(D208))</f>
        <v>164.704244361545</v>
      </c>
      <c r="L208" s="35" t="n">
        <f aca="false">INDEX(H208:K208,1,Inputs!$B$5)</f>
        <v>299.377434962275</v>
      </c>
      <c r="M208" s="35" t="n">
        <f aca="false">L208*E208</f>
        <v>0.294200552974311</v>
      </c>
      <c r="N208" s="35" t="n">
        <f aca="false">L208^$AB$7</f>
        <v>299.377434962275</v>
      </c>
      <c r="O208" s="35" t="n">
        <f aca="false">N208*E208</f>
        <v>0.294200552974311</v>
      </c>
      <c r="P208" s="35" t="n">
        <f aca="false">N208*$AB$3/($AB$4*$AB$1)</f>
        <v>2018988.13538802</v>
      </c>
      <c r="Q208" s="35" t="n">
        <f aca="false">IF(G208&lt;=3,F208*SQRT(P208),0)</f>
        <v>0</v>
      </c>
      <c r="R208" s="35" t="n">
        <f aca="false">SQRT(P208/$AB$6)</f>
        <v>656514637.952523</v>
      </c>
      <c r="S208" s="35" t="n">
        <f aca="false">2*$AB$6*R208</f>
        <v>0.00615062641005127</v>
      </c>
      <c r="T208" s="35" t="n">
        <f aca="false">IF(G208&lt;=3,F208*R208,0)</f>
        <v>0</v>
      </c>
      <c r="U208" s="35" t="n">
        <f aca="false">F208*P208</f>
        <v>4492740501.07198</v>
      </c>
      <c r="V208" s="35" t="n">
        <f aca="false">H208^$AB$7*E208</f>
        <v>0.294200552974311</v>
      </c>
      <c r="W208" s="35" t="n">
        <f aca="false">I208^$AB$7*E208</f>
        <v>0.209060197310557</v>
      </c>
      <c r="X208" s="35" t="n">
        <f aca="false">J208^$AB$7*E208</f>
        <v>0.181558377799526</v>
      </c>
      <c r="Y208" s="35" t="n">
        <f aca="false">K208^$AB$7*E208</f>
        <v>0.161856152500233</v>
      </c>
    </row>
    <row r="209" customFormat="false" ht="15" hidden="false" customHeight="false" outlineLevel="0" collapsed="false">
      <c r="A209" s="35" t="n">
        <v>207</v>
      </c>
      <c r="B209" s="35" t="n">
        <f aca="false">C208</f>
        <v>0.0261015721568254</v>
      </c>
      <c r="C209" s="35" t="n">
        <f aca="false">Inputs!$B$23*(Inputs!$B$24/Inputs!$B$23)^(26/60)</f>
        <v>0.0271227257933203</v>
      </c>
      <c r="D209" s="35" t="n">
        <f aca="false">(B209+C209)/2</f>
        <v>0.0266121489750728</v>
      </c>
      <c r="E209" s="35" t="n">
        <f aca="false">C209-B209</f>
        <v>0.00102115363649491</v>
      </c>
      <c r="F209" s="35" t="n">
        <f aca="false">Inputs!$B$16*E209</f>
        <v>2312.30029447908</v>
      </c>
      <c r="G209" s="35" t="n">
        <f aca="false">IF(D209&lt;=Inputs!$B$21,1,IF(D209&lt;=Inputs!$B$22,2,IF(D209&lt;=Inputs!$B$23,3,IF(D209&lt;=Inputs!$B$24,4,5))))</f>
        <v>4</v>
      </c>
      <c r="H209" s="35" t="n">
        <f aca="false">Fit!$B$10*D209^(-1/Fit!$B$9)</f>
        <v>291.96817104046</v>
      </c>
      <c r="I209" s="35" t="n">
        <f aca="false">EXP(Fit!$B$16+Fit!$B$15*-NORMSINV(D209))</f>
        <v>209.874180028947</v>
      </c>
      <c r="J209" s="35" t="n">
        <f aca="false">Fit!$B$22*LN(1/D209)^(1/Fit!$B$21)</f>
        <v>183.058382892336</v>
      </c>
      <c r="K209" s="35" t="n">
        <f aca="false">MAX(0,Fit!$B$28+Fit!$B$27*-NORMSINV(D209))</f>
        <v>163.672263799602</v>
      </c>
      <c r="L209" s="35" t="n">
        <f aca="false">INDEX(H209:K209,1,Inputs!$B$5)</f>
        <v>291.96817104046</v>
      </c>
      <c r="M209" s="35" t="n">
        <f aca="false">L209*E209</f>
        <v>0.298144359598735</v>
      </c>
      <c r="N209" s="35" t="n">
        <f aca="false">L209^$AB$7</f>
        <v>291.96817104046</v>
      </c>
      <c r="O209" s="35" t="n">
        <f aca="false">N209*E209</f>
        <v>0.298144359598735</v>
      </c>
      <c r="P209" s="35" t="n">
        <f aca="false">N209*$AB$3/($AB$4*$AB$1)</f>
        <v>1969020.3883132</v>
      </c>
      <c r="Q209" s="35" t="n">
        <f aca="false">IF(G209&lt;=3,F209*SQRT(P209),0)</f>
        <v>0</v>
      </c>
      <c r="R209" s="35" t="n">
        <f aca="false">SQRT(P209/$AB$6)</f>
        <v>648339731.623149</v>
      </c>
      <c r="S209" s="35" t="n">
        <f aca="false">2*$AB$6*R209</f>
        <v>0.00607403894061425</v>
      </c>
      <c r="T209" s="35" t="n">
        <f aca="false">IF(G209&lt;=3,F209*R209,0)</f>
        <v>0</v>
      </c>
      <c r="U209" s="35" t="n">
        <f aca="false">F209*P209</f>
        <v>4552966423.73192</v>
      </c>
      <c r="V209" s="35" t="n">
        <f aca="false">H209^$AB$7*E209</f>
        <v>0.298144359598735</v>
      </c>
      <c r="W209" s="35" t="n">
        <f aca="false">I209^$AB$7*E209</f>
        <v>0.214313782142947</v>
      </c>
      <c r="X209" s="35" t="n">
        <f aca="false">J209^$AB$7*E209</f>
        <v>0.186930733381387</v>
      </c>
      <c r="Y209" s="35" t="n">
        <f aca="false">K209^$AB$7*E209</f>
        <v>0.167134527372318</v>
      </c>
    </row>
    <row r="210" customFormat="false" ht="15" hidden="false" customHeight="false" outlineLevel="0" collapsed="false">
      <c r="A210" s="35" t="n">
        <v>208</v>
      </c>
      <c r="B210" s="35" t="n">
        <f aca="false">C209</f>
        <v>0.0271227257933203</v>
      </c>
      <c r="C210" s="35" t="n">
        <f aca="false">Inputs!$B$23*(Inputs!$B$24/Inputs!$B$23)^(27/60)</f>
        <v>0.0281838293126445</v>
      </c>
      <c r="D210" s="35" t="n">
        <f aca="false">(B210+C210)/2</f>
        <v>0.0276532775529824</v>
      </c>
      <c r="E210" s="35" t="n">
        <f aca="false">C210-B210</f>
        <v>0.00106110351932426</v>
      </c>
      <c r="F210" s="35" t="n">
        <f aca="false">Inputs!$B$16*E210</f>
        <v>2402.76280915785</v>
      </c>
      <c r="G210" s="35" t="n">
        <f aca="false">IF(D210&lt;=Inputs!$B$21,1,IF(D210&lt;=Inputs!$B$22,2,IF(D210&lt;=Inputs!$B$23,3,IF(D210&lt;=Inputs!$B$24,4,5))))</f>
        <v>4</v>
      </c>
      <c r="H210" s="35" t="n">
        <f aca="false">Fit!$B$10*D210^(-1/Fit!$B$9)</f>
        <v>284.742278293129</v>
      </c>
      <c r="I210" s="35" t="n">
        <f aca="false">EXP(Fit!$B$16+Fit!$B$15*-NORMSINV(D210))</f>
        <v>207.030232395663</v>
      </c>
      <c r="J210" s="35" t="n">
        <f aca="false">Fit!$B$22*LN(1/D210)^(1/Fit!$B$21)</f>
        <v>181.361371300923</v>
      </c>
      <c r="K210" s="35" t="n">
        <f aca="false">MAX(0,Fit!$B$28+Fit!$B$27*-NORMSINV(D210))</f>
        <v>162.633741994712</v>
      </c>
      <c r="L210" s="35" t="n">
        <f aca="false">INDEX(H210:K210,1,Inputs!$B$5)</f>
        <v>284.742278293129</v>
      </c>
      <c r="M210" s="35" t="n">
        <f aca="false">L210*E210</f>
        <v>0.302141033597247</v>
      </c>
      <c r="N210" s="35" t="n">
        <f aca="false">L210^$AB$7</f>
        <v>284.742278293129</v>
      </c>
      <c r="O210" s="35" t="n">
        <f aca="false">N210*E210</f>
        <v>0.302141033597247</v>
      </c>
      <c r="P210" s="35" t="n">
        <f aca="false">N210*$AB$3/($AB$4*$AB$1)</f>
        <v>1920289.28830132</v>
      </c>
      <c r="Q210" s="35" t="n">
        <f aca="false">IF(G210&lt;=3,F210*SQRT(P210),0)</f>
        <v>0</v>
      </c>
      <c r="R210" s="35" t="n">
        <f aca="false">SQRT(P210/$AB$6)</f>
        <v>640266619.053778</v>
      </c>
      <c r="S210" s="35" t="n">
        <f aca="false">2*$AB$6*R210</f>
        <v>0.00599840513672017</v>
      </c>
      <c r="T210" s="35" t="n">
        <f aca="false">IF(G210&lt;=3,F210*R210,0)</f>
        <v>0</v>
      </c>
      <c r="U210" s="35" t="n">
        <f aca="false">F210*P210</f>
        <v>4613999684.7546</v>
      </c>
      <c r="V210" s="35" t="n">
        <f aca="false">H210^$AB$7*E210</f>
        <v>0.302141033597247</v>
      </c>
      <c r="W210" s="35" t="n">
        <f aca="false">I210^$AB$7*E210</f>
        <v>0.219680508201557</v>
      </c>
      <c r="X210" s="35" t="n">
        <f aca="false">J210^$AB$7*E210</f>
        <v>0.192443189356883</v>
      </c>
      <c r="Y210" s="35" t="n">
        <f aca="false">K210^$AB$7*E210</f>
        <v>0.172571235991462</v>
      </c>
    </row>
    <row r="211" customFormat="false" ht="15" hidden="false" customHeight="false" outlineLevel="0" collapsed="false">
      <c r="A211" s="35" t="n">
        <v>209</v>
      </c>
      <c r="B211" s="35" t="n">
        <f aca="false">C210</f>
        <v>0.0281838293126445</v>
      </c>
      <c r="C211" s="35" t="n">
        <f aca="false">Inputs!$B$23*(Inputs!$B$24/Inputs!$B$23)^(28/60)</f>
        <v>0.0292864456462524</v>
      </c>
      <c r="D211" s="35" t="n">
        <f aca="false">(B211+C211)/2</f>
        <v>0.0287351374794485</v>
      </c>
      <c r="E211" s="35" t="n">
        <f aca="false">C211-B211</f>
        <v>0.00110261633360783</v>
      </c>
      <c r="F211" s="35" t="n">
        <f aca="false">Inputs!$B$16*E211</f>
        <v>2496.76442582156</v>
      </c>
      <c r="G211" s="35" t="n">
        <f aca="false">IF(D211&lt;=Inputs!$B$21,1,IF(D211&lt;=Inputs!$B$22,2,IF(D211&lt;=Inputs!$B$23,3,IF(D211&lt;=Inputs!$B$24,4,5))))</f>
        <v>4</v>
      </c>
      <c r="H211" s="35" t="n">
        <f aca="false">Fit!$B$10*D211^(-1/Fit!$B$9)</f>
        <v>277.695218484368</v>
      </c>
      <c r="I211" s="35" t="n">
        <f aca="false">EXP(Fit!$B$16+Fit!$B$15*-NORMSINV(D211))</f>
        <v>204.206956440884</v>
      </c>
      <c r="J211" s="35" t="n">
        <f aca="false">Fit!$B$22*LN(1/D211)^(1/Fit!$B$21)</f>
        <v>179.66209697395</v>
      </c>
      <c r="K211" s="35" t="n">
        <f aca="false">MAX(0,Fit!$B$28+Fit!$B$27*-NORMSINV(D211))</f>
        <v>161.588560889125</v>
      </c>
      <c r="L211" s="35" t="n">
        <f aca="false">INDEX(H211:K211,1,Inputs!$B$5)</f>
        <v>277.695218484368</v>
      </c>
      <c r="M211" s="35" t="n">
        <f aca="false">L211*E211</f>
        <v>0.306191283665658</v>
      </c>
      <c r="N211" s="35" t="n">
        <f aca="false">L211^$AB$7</f>
        <v>277.695218484368</v>
      </c>
      <c r="O211" s="35" t="n">
        <f aca="false">N211*E211</f>
        <v>0.306191283665658</v>
      </c>
      <c r="P211" s="35" t="n">
        <f aca="false">N211*$AB$3/($AB$4*$AB$1)</f>
        <v>1872764.22969077</v>
      </c>
      <c r="Q211" s="35" t="n">
        <f aca="false">IF(G211&lt;=3,F211*SQRT(P211),0)</f>
        <v>0</v>
      </c>
      <c r="R211" s="35" t="n">
        <f aca="false">SQRT(P211/$AB$6)</f>
        <v>632294032.710671</v>
      </c>
      <c r="S211" s="35" t="n">
        <f aca="false">2*$AB$6*R211</f>
        <v>0.00592371312334595</v>
      </c>
      <c r="T211" s="35" t="n">
        <f aca="false">IF(G211&lt;=3,F211*R211,0)</f>
        <v>0</v>
      </c>
      <c r="U211" s="35" t="n">
        <f aca="false">F211*P211</f>
        <v>4675851106.64303</v>
      </c>
      <c r="V211" s="35" t="n">
        <f aca="false">H211^$AB$7*E211</f>
        <v>0.306191283665658</v>
      </c>
      <c r="W211" s="35" t="n">
        <f aca="false">I211^$AB$7*E211</f>
        <v>0.225161925608061</v>
      </c>
      <c r="X211" s="35" t="n">
        <f aca="false">J211^$AB$7*E211</f>
        <v>0.19809836265371</v>
      </c>
      <c r="Y211" s="35" t="n">
        <f aca="false">K211^$AB$7*E211</f>
        <v>0.178170186560532</v>
      </c>
    </row>
    <row r="212" customFormat="false" ht="15" hidden="false" customHeight="false" outlineLevel="0" collapsed="false">
      <c r="A212" s="35" t="n">
        <v>210</v>
      </c>
      <c r="B212" s="35" t="n">
        <f aca="false">C211</f>
        <v>0.0292864456462524</v>
      </c>
      <c r="C212" s="35" t="n">
        <f aca="false">Inputs!$B$23*(Inputs!$B$24/Inputs!$B$23)^(29/60)</f>
        <v>0.0304321988710772</v>
      </c>
      <c r="D212" s="35" t="n">
        <f aca="false">(B212+C212)/2</f>
        <v>0.0298593222586648</v>
      </c>
      <c r="E212" s="35" t="n">
        <f aca="false">C212-B212</f>
        <v>0.00114575322482485</v>
      </c>
      <c r="F212" s="35" t="n">
        <f aca="false">Inputs!$B$16*E212</f>
        <v>2594.4436022934</v>
      </c>
      <c r="G212" s="35" t="n">
        <f aca="false">IF(D212&lt;=Inputs!$B$21,1,IF(D212&lt;=Inputs!$B$22,2,IF(D212&lt;=Inputs!$B$23,3,IF(D212&lt;=Inputs!$B$24,4,5))))</f>
        <v>4</v>
      </c>
      <c r="H212" s="35" t="n">
        <f aca="false">Fit!$B$10*D212^(-1/Fit!$B$9)</f>
        <v>270.822565694635</v>
      </c>
      <c r="I212" s="35" t="n">
        <f aca="false">EXP(Fit!$B$16+Fit!$B$15*-NORMSINV(D212))</f>
        <v>201.404239267376</v>
      </c>
      <c r="J212" s="35" t="n">
        <f aca="false">Fit!$B$22*LN(1/D212)^(1/Fit!$B$21)</f>
        <v>177.960532380963</v>
      </c>
      <c r="K212" s="35" t="n">
        <f aca="false">MAX(0,Fit!$B$28+Fit!$B$27*-NORMSINV(D212))</f>
        <v>160.536598937782</v>
      </c>
      <c r="L212" s="35" t="n">
        <f aca="false">INDEX(H212:K212,1,Inputs!$B$5)</f>
        <v>270.822565694635</v>
      </c>
      <c r="M212" s="35" t="n">
        <f aca="false">L212*E212</f>
        <v>0.310295827999968</v>
      </c>
      <c r="N212" s="35" t="n">
        <f aca="false">L212^$AB$7</f>
        <v>270.822565694635</v>
      </c>
      <c r="O212" s="35" t="n">
        <f aca="false">N212*E212</f>
        <v>0.310295827999968</v>
      </c>
      <c r="P212" s="35" t="n">
        <f aca="false">N212*$AB$3/($AB$4*$AB$1)</f>
        <v>1826415.36427657</v>
      </c>
      <c r="Q212" s="35" t="n">
        <f aca="false">IF(G212&lt;=3,F212*SQRT(P212),0)</f>
        <v>0</v>
      </c>
      <c r="R212" s="35" t="n">
        <f aca="false">SQRT(P212/$AB$6)</f>
        <v>624420720.843395</v>
      </c>
      <c r="S212" s="35" t="n">
        <f aca="false">2*$AB$6*R212</f>
        <v>0.00584995117333602</v>
      </c>
      <c r="T212" s="35" t="n">
        <f aca="false">IF(G212&lt;=3,F212*R212,0)</f>
        <v>0</v>
      </c>
      <c r="U212" s="35" t="n">
        <f aca="false">F212*P212</f>
        <v>4738531656.97772</v>
      </c>
      <c r="V212" s="35" t="n">
        <f aca="false">H212^$AB$7*E212</f>
        <v>0.310295827999968</v>
      </c>
      <c r="W212" s="35" t="n">
        <f aca="false">I212^$AB$7*E212</f>
        <v>0.230759556633992</v>
      </c>
      <c r="X212" s="35" t="n">
        <f aca="false">J212^$AB$7*E212</f>
        <v>0.203898853867036</v>
      </c>
      <c r="Y212" s="35" t="n">
        <f aca="false">K212^$AB$7*E212</f>
        <v>0.183935325935378</v>
      </c>
    </row>
    <row r="213" customFormat="false" ht="15" hidden="false" customHeight="false" outlineLevel="0" collapsed="false">
      <c r="A213" s="35" t="n">
        <v>211</v>
      </c>
      <c r="B213" s="35" t="n">
        <f aca="false">C212</f>
        <v>0.0304321988710772</v>
      </c>
      <c r="C213" s="35" t="n">
        <f aca="false">Inputs!$B$23*(Inputs!$B$24/Inputs!$B$23)^(30/60)</f>
        <v>0.0316227766016838</v>
      </c>
      <c r="D213" s="35" t="n">
        <f aca="false">(B213+C213)/2</f>
        <v>0.0310274877363805</v>
      </c>
      <c r="E213" s="35" t="n">
        <f aca="false">C213-B213</f>
        <v>0.00119057773060658</v>
      </c>
      <c r="F213" s="35" t="n">
        <f aca="false">Inputs!$B$16*E213</f>
        <v>2695.94421318554</v>
      </c>
      <c r="G213" s="35" t="n">
        <f aca="false">IF(D213&lt;=Inputs!$B$21,1,IF(D213&lt;=Inputs!$B$22,2,IF(D213&lt;=Inputs!$B$23,3,IF(D213&lt;=Inputs!$B$24,4,5))))</f>
        <v>4</v>
      </c>
      <c r="H213" s="35" t="n">
        <f aca="false">Fit!$B$10*D213^(-1/Fit!$B$9)</f>
        <v>264.120003541053</v>
      </c>
      <c r="I213" s="35" t="n">
        <f aca="false">EXP(Fit!$B$16+Fit!$B$15*-NORMSINV(D213))</f>
        <v>198.621967974429</v>
      </c>
      <c r="J213" s="35" t="n">
        <f aca="false">Fit!$B$22*LN(1/D213)^(1/Fit!$B$21)</f>
        <v>176.256649351759</v>
      </c>
      <c r="K213" s="35" t="n">
        <f aca="false">MAX(0,Fit!$B$28+Fit!$B$27*-NORMSINV(D213))</f>
        <v>159.477730964958</v>
      </c>
      <c r="L213" s="35" t="n">
        <f aca="false">INDEX(H213:K213,1,Inputs!$B$5)</f>
        <v>264.120003541053</v>
      </c>
      <c r="M213" s="35" t="n">
        <f aca="false">L213*E213</f>
        <v>0.314455394423708</v>
      </c>
      <c r="N213" s="35" t="n">
        <f aca="false">L213^$AB$7</f>
        <v>264.120003541053</v>
      </c>
      <c r="O213" s="35" t="n">
        <f aca="false">N213*E213</f>
        <v>0.314455394423708</v>
      </c>
      <c r="P213" s="35" t="n">
        <f aca="false">N213*$AB$3/($AB$4*$AB$1)</f>
        <v>1781213.58256417</v>
      </c>
      <c r="Q213" s="35" t="n">
        <f aca="false">IF(G213&lt;=3,F213*SQRT(P213),0)</f>
        <v>0</v>
      </c>
      <c r="R213" s="35" t="n">
        <f aca="false">SQRT(P213/$AB$6)</f>
        <v>616645447.288285</v>
      </c>
      <c r="S213" s="35" t="n">
        <f aca="false">2*$AB$6*R213</f>
        <v>0.00577710770556114</v>
      </c>
      <c r="T213" s="35" t="n">
        <f aca="false">IF(G213&lt;=3,F213*R213,0)</f>
        <v>0</v>
      </c>
      <c r="U213" s="35" t="n">
        <f aca="false">F213*P213</f>
        <v>4802052450.36137</v>
      </c>
      <c r="V213" s="35" t="n">
        <f aca="false">H213^$AB$7*E213</f>
        <v>0.314455394423708</v>
      </c>
      <c r="W213" s="35" t="n">
        <f aca="false">I213^$AB$7*E213</f>
        <v>0.236474891879608</v>
      </c>
      <c r="X213" s="35" t="n">
        <f aca="false">J213^$AB$7*E213</f>
        <v>0.209847241589538</v>
      </c>
      <c r="Y213" s="35" t="n">
        <f aca="false">K213^$AB$7*E213</f>
        <v>0.189870635014546</v>
      </c>
    </row>
    <row r="214" customFormat="false" ht="15" hidden="false" customHeight="false" outlineLevel="0" collapsed="false">
      <c r="A214" s="35" t="n">
        <v>212</v>
      </c>
      <c r="B214" s="35" t="n">
        <f aca="false">C213</f>
        <v>0.0316227766016838</v>
      </c>
      <c r="C214" s="35" t="n">
        <f aca="false">Inputs!$B$23*(Inputs!$B$24/Inputs!$B$23)^(31/60)</f>
        <v>0.0328599324760066</v>
      </c>
      <c r="D214" s="35" t="n">
        <f aca="false">(B214+C214)/2</f>
        <v>0.0322413545388452</v>
      </c>
      <c r="E214" s="35" t="n">
        <f aca="false">C214-B214</f>
        <v>0.00123715587432275</v>
      </c>
      <c r="F214" s="35" t="n">
        <f aca="false">Inputs!$B$16*E214</f>
        <v>2801.41576181643</v>
      </c>
      <c r="G214" s="35" t="n">
        <f aca="false">IF(D214&lt;=Inputs!$B$21,1,IF(D214&lt;=Inputs!$B$22,2,IF(D214&lt;=Inputs!$B$23,3,IF(D214&lt;=Inputs!$B$24,4,5))))</f>
        <v>4</v>
      </c>
      <c r="H214" s="35" t="n">
        <f aca="false">Fit!$B$10*D214^(-1/Fit!$B$9)</f>
        <v>257.583322466499</v>
      </c>
      <c r="I214" s="35" t="n">
        <f aca="false">EXP(Fit!$B$16+Fit!$B$15*-NORMSINV(D214))</f>
        <v>195.860029639983</v>
      </c>
      <c r="J214" s="35" t="n">
        <f aca="false">Fit!$B$22*LN(1/D214)^(1/Fit!$B$21)</f>
        <v>174.550419054285</v>
      </c>
      <c r="K214" s="35" t="n">
        <f aca="false">MAX(0,Fit!$B$28+Fit!$B$27*-NORMSINV(D214))</f>
        <v>158.41182801332</v>
      </c>
      <c r="L214" s="35" t="n">
        <f aca="false">INDEX(H214:K214,1,Inputs!$B$5)</f>
        <v>257.583322466499</v>
      </c>
      <c r="M214" s="35" t="n">
        <f aca="false">L214*E214</f>
        <v>0.318670720517</v>
      </c>
      <c r="N214" s="35" t="n">
        <f aca="false">L214^$AB$7</f>
        <v>257.583322466499</v>
      </c>
      <c r="O214" s="35" t="n">
        <f aca="false">N214*E214</f>
        <v>0.318670720517</v>
      </c>
      <c r="P214" s="35" t="n">
        <f aca="false">N214*$AB$3/($AB$4*$AB$1)</f>
        <v>1737130.49548714</v>
      </c>
      <c r="Q214" s="35" t="n">
        <f aca="false">IF(G214&lt;=3,F214*SQRT(P214),0)</f>
        <v>0</v>
      </c>
      <c r="R214" s="35" t="n">
        <f aca="false">SQRT(P214/$AB$6)</f>
        <v>608966991.274359</v>
      </c>
      <c r="S214" s="35" t="n">
        <f aca="false">2*$AB$6*R214</f>
        <v>0.00570517128310001</v>
      </c>
      <c r="T214" s="35" t="n">
        <f aca="false">IF(G214&lt;=3,F214*R214,0)</f>
        <v>0</v>
      </c>
      <c r="U214" s="35" t="n">
        <f aca="false">F214*P214</f>
        <v>4866424750.38968</v>
      </c>
      <c r="V214" s="35" t="n">
        <f aca="false">H214^$AB$7*E214</f>
        <v>0.318670720517</v>
      </c>
      <c r="W214" s="35" t="n">
        <f aca="false">I214^$AB$7*E214</f>
        <v>0.242309386214133</v>
      </c>
      <c r="X214" s="35" t="n">
        <f aca="false">J214^$AB$7*E214</f>
        <v>0.215946076298506</v>
      </c>
      <c r="Y214" s="35" t="n">
        <f aca="false">K214^$AB$7*E214</f>
        <v>0.195980123588884</v>
      </c>
    </row>
    <row r="215" customFormat="false" ht="15" hidden="false" customHeight="false" outlineLevel="0" collapsed="false">
      <c r="A215" s="35" t="n">
        <v>213</v>
      </c>
      <c r="B215" s="35" t="n">
        <f aca="false">C214</f>
        <v>0.0328599324760066</v>
      </c>
      <c r="C215" s="35" t="n">
        <f aca="false">Inputs!$B$23*(Inputs!$B$24/Inputs!$B$23)^(32/60)</f>
        <v>0.034145488738336</v>
      </c>
      <c r="D215" s="35" t="n">
        <f aca="false">(B215+C215)/2</f>
        <v>0.0335027106071713</v>
      </c>
      <c r="E215" s="35" t="n">
        <f aca="false">C215-B215</f>
        <v>0.00128555626232946</v>
      </c>
      <c r="F215" s="35" t="n">
        <f aca="false">Inputs!$B$16*E215</f>
        <v>2911.01360041884</v>
      </c>
      <c r="G215" s="35" t="n">
        <f aca="false">IF(D215&lt;=Inputs!$B$21,1,IF(D215&lt;=Inputs!$B$22,2,IF(D215&lt;=Inputs!$B$23,3,IF(D215&lt;=Inputs!$B$24,4,5))))</f>
        <v>4</v>
      </c>
      <c r="H215" s="35" t="n">
        <f aca="false">Fit!$B$10*D215^(-1/Fit!$B$9)</f>
        <v>251.208417095783</v>
      </c>
      <c r="I215" s="35" t="n">
        <f aca="false">EXP(Fit!$B$16+Fit!$B$15*-NORMSINV(D215))</f>
        <v>193.118311301831</v>
      </c>
      <c r="J215" s="35" t="n">
        <f aca="false">Fit!$B$22*LN(1/D215)^(1/Fit!$B$21)</f>
        <v>172.841811971505</v>
      </c>
      <c r="K215" s="35" t="n">
        <f aca="false">MAX(0,Fit!$B$28+Fit!$B$27*-NORMSINV(D215))</f>
        <v>157.338757184929</v>
      </c>
      <c r="L215" s="35" t="n">
        <f aca="false">INDEX(H215:K215,1,Inputs!$B$5)</f>
        <v>251.208417095783</v>
      </c>
      <c r="M215" s="35" t="n">
        <f aca="false">L215*E215</f>
        <v>0.322942553747355</v>
      </c>
      <c r="N215" s="35" t="n">
        <f aca="false">L215^$AB$7</f>
        <v>251.208417095783</v>
      </c>
      <c r="O215" s="35" t="n">
        <f aca="false">N215*E215</f>
        <v>0.322942553747355</v>
      </c>
      <c r="P215" s="35" t="n">
        <f aca="false">N215*$AB$3/($AB$4*$AB$1)</f>
        <v>1694138.41657739</v>
      </c>
      <c r="Q215" s="35" t="n">
        <f aca="false">IF(G215&lt;=3,F215*SQRT(P215),0)</f>
        <v>0</v>
      </c>
      <c r="R215" s="35" t="n">
        <f aca="false">SQRT(P215/$AB$6)</f>
        <v>601384147.231652</v>
      </c>
      <c r="S215" s="35" t="n">
        <f aca="false">2*$AB$6*R215</f>
        <v>0.00563413061144365</v>
      </c>
      <c r="T215" s="35" t="n">
        <f aca="false">IF(G215&lt;=3,F215*R215,0)</f>
        <v>0</v>
      </c>
      <c r="U215" s="35" t="n">
        <f aca="false">F215*P215</f>
        <v>4931659971.64882</v>
      </c>
      <c r="V215" s="35" t="n">
        <f aca="false">H215^$AB$7*E215</f>
        <v>0.322942553747355</v>
      </c>
      <c r="W215" s="35" t="n">
        <f aca="false">I215^$AB$7*E215</f>
        <v>0.24826445446456</v>
      </c>
      <c r="X215" s="35" t="n">
        <f aca="false">J215^$AB$7*E215</f>
        <v>0.22219787377234</v>
      </c>
      <c r="Y215" s="35" t="n">
        <f aca="false">K215^$AB$7*E215</f>
        <v>0.202267824606221</v>
      </c>
    </row>
    <row r="216" customFormat="false" ht="15" hidden="false" customHeight="false" outlineLevel="0" collapsed="false">
      <c r="A216" s="35" t="n">
        <v>214</v>
      </c>
      <c r="B216" s="35" t="n">
        <f aca="false">C215</f>
        <v>0.034145488738336</v>
      </c>
      <c r="C216" s="35" t="n">
        <f aca="false">Inputs!$B$23*(Inputs!$B$24/Inputs!$B$23)^(33/60)</f>
        <v>0.0354813389233576</v>
      </c>
      <c r="D216" s="35" t="n">
        <f aca="false">(B216+C216)/2</f>
        <v>0.0348134138308468</v>
      </c>
      <c r="E216" s="35" t="n">
        <f aca="false">C216-B216</f>
        <v>0.00133585018502154</v>
      </c>
      <c r="F216" s="35" t="n">
        <f aca="false">Inputs!$B$16*E216</f>
        <v>3024.89915896277</v>
      </c>
      <c r="G216" s="35" t="n">
        <f aca="false">IF(D216&lt;=Inputs!$B$21,1,IF(D216&lt;=Inputs!$B$22,2,IF(D216&lt;=Inputs!$B$23,3,IF(D216&lt;=Inputs!$B$24,4,5))))</f>
        <v>4</v>
      </c>
      <c r="H216" s="35" t="n">
        <f aca="false">Fit!$B$10*D216^(-1/Fit!$B$9)</f>
        <v>244.991283657257</v>
      </c>
      <c r="I216" s="35" t="n">
        <f aca="false">EXP(Fit!$B$16+Fit!$B$15*-NORMSINV(D216))</f>
        <v>190.396699937808</v>
      </c>
      <c r="J216" s="35" t="n">
        <f aca="false">Fit!$B$22*LN(1/D216)^(1/Fit!$B$21)</f>
        <v>171.130797877203</v>
      </c>
      <c r="K216" s="35" t="n">
        <f aca="false">MAX(0,Fit!$B$28+Fit!$B$27*-NORMSINV(D216))</f>
        <v>156.258381473636</v>
      </c>
      <c r="L216" s="35" t="n">
        <f aca="false">INDEX(H216:K216,1,Inputs!$B$5)</f>
        <v>244.991283657257</v>
      </c>
      <c r="M216" s="35" t="n">
        <f aca="false">L216*E216</f>
        <v>0.327271651602211</v>
      </c>
      <c r="N216" s="35" t="n">
        <f aca="false">L216^$AB$7</f>
        <v>244.991283657257</v>
      </c>
      <c r="O216" s="35" t="n">
        <f aca="false">N216*E216</f>
        <v>0.327271651602211</v>
      </c>
      <c r="P216" s="35" t="n">
        <f aca="false">N216*$AB$3/($AB$4*$AB$1)</f>
        <v>1652210.34457661</v>
      </c>
      <c r="Q216" s="35" t="n">
        <f aca="false">IF(G216&lt;=3,F216*SQRT(P216),0)</f>
        <v>0</v>
      </c>
      <c r="R216" s="35" t="n">
        <f aca="false">SQRT(P216/$AB$6)</f>
        <v>593895724.601926</v>
      </c>
      <c r="S216" s="35" t="n">
        <f aca="false">2*$AB$6*R216</f>
        <v>0.00556397453672207</v>
      </c>
      <c r="T216" s="35" t="n">
        <f aca="false">IF(G216&lt;=3,F216*R216,0)</f>
        <v>0</v>
      </c>
      <c r="U216" s="35" t="n">
        <f aca="false">F216*P216</f>
        <v>4997769681.73938</v>
      </c>
      <c r="V216" s="35" t="n">
        <f aca="false">H216^$AB$7*E216</f>
        <v>0.327271651602211</v>
      </c>
      <c r="W216" s="35" t="n">
        <f aca="false">I216^$AB$7*E216</f>
        <v>0.254341466839412</v>
      </c>
      <c r="X216" s="35" t="n">
        <f aca="false">J216^$AB$7*E216</f>
        <v>0.228605108007145</v>
      </c>
      <c r="Y216" s="35" t="n">
        <f aca="false">K216^$AB$7*E216</f>
        <v>0.208737787802723</v>
      </c>
    </row>
    <row r="217" customFormat="false" ht="15" hidden="false" customHeight="false" outlineLevel="0" collapsed="false">
      <c r="A217" s="35" t="n">
        <v>215</v>
      </c>
      <c r="B217" s="35" t="n">
        <f aca="false">C216</f>
        <v>0.0354813389233576</v>
      </c>
      <c r="C217" s="35" t="n">
        <f aca="false">Inputs!$B$23*(Inputs!$B$24/Inputs!$B$23)^(34/60)</f>
        <v>0.0368694506451958</v>
      </c>
      <c r="D217" s="35" t="n">
        <f aca="false">(B217+C217)/2</f>
        <v>0.0361753947842767</v>
      </c>
      <c r="E217" s="35" t="n">
        <f aca="false">C217-B217</f>
        <v>0.0013881117218382</v>
      </c>
      <c r="F217" s="35" t="n">
        <f aca="false">Inputs!$B$16*E217</f>
        <v>3143.24018293042</v>
      </c>
      <c r="G217" s="35" t="n">
        <f aca="false">IF(D217&lt;=Inputs!$B$21,1,IF(D217&lt;=Inputs!$B$22,2,IF(D217&lt;=Inputs!$B$23,3,IF(D217&lt;=Inputs!$B$24,4,5))))</f>
        <v>4</v>
      </c>
      <c r="H217" s="35" t="n">
        <f aca="false">Fit!$B$10*D217^(-1/Fit!$B$9)</f>
        <v>238.928017468242</v>
      </c>
      <c r="I217" s="35" t="n">
        <f aca="false">EXP(Fit!$B$16+Fit!$B$15*-NORMSINV(D217))</f>
        <v>187.695082444933</v>
      </c>
      <c r="J217" s="35" t="n">
        <f aca="false">Fit!$B$22*LN(1/D217)^(1/Fit!$B$21)</f>
        <v>169.417345810634</v>
      </c>
      <c r="K217" s="35" t="n">
        <f aca="false">MAX(0,Fit!$B$28+Fit!$B$27*-NORMSINV(D217))</f>
        <v>155.170559588315</v>
      </c>
      <c r="L217" s="35" t="n">
        <f aca="false">INDEX(H217:K217,1,Inputs!$B$5)</f>
        <v>238.928017468242</v>
      </c>
      <c r="M217" s="35" t="n">
        <f aca="false">L217*E217</f>
        <v>0.331658781723228</v>
      </c>
      <c r="N217" s="35" t="n">
        <f aca="false">L217^$AB$7</f>
        <v>238.928017468242</v>
      </c>
      <c r="O217" s="35" t="n">
        <f aca="false">N217*E217</f>
        <v>0.331658781723228</v>
      </c>
      <c r="P217" s="35" t="n">
        <f aca="false">N217*$AB$3/($AB$4*$AB$1)</f>
        <v>1611319.94647809</v>
      </c>
      <c r="Q217" s="35" t="n">
        <f aca="false">IF(G217&lt;=3,F217*SQRT(P217),0)</f>
        <v>0</v>
      </c>
      <c r="R217" s="35" t="n">
        <f aca="false">SQRT(P217/$AB$6)</f>
        <v>586500547.651755</v>
      </c>
      <c r="S217" s="35" t="n">
        <f aca="false">2*$AB$6*R217</f>
        <v>0.00549469204395301</v>
      </c>
      <c r="T217" s="35" t="n">
        <f aca="false">IF(G217&lt;=3,F217*R217,0)</f>
        <v>0</v>
      </c>
      <c r="U217" s="35" t="n">
        <f aca="false">F217*P217</f>
        <v>5064765603.32722</v>
      </c>
      <c r="V217" s="35" t="n">
        <f aca="false">H217^$AB$7*E217</f>
        <v>0.331658781723228</v>
      </c>
      <c r="W217" s="35" t="n">
        <f aca="false">I217^$AB$7*E217</f>
        <v>0.260541744073198</v>
      </c>
      <c r="X217" s="35" t="n">
        <f aca="false">J217^$AB$7*E217</f>
        <v>0.235170203602456</v>
      </c>
      <c r="Y217" s="35" t="n">
        <f aca="false">K217^$AB$7*E217</f>
        <v>0.215394072648732</v>
      </c>
    </row>
    <row r="218" customFormat="false" ht="15" hidden="false" customHeight="false" outlineLevel="0" collapsed="false">
      <c r="A218" s="35" t="n">
        <v>216</v>
      </c>
      <c r="B218" s="35" t="n">
        <f aca="false">C217</f>
        <v>0.0368694506451958</v>
      </c>
      <c r="C218" s="35" t="n">
        <f aca="false">Inputs!$B$23*(Inputs!$B$24/Inputs!$B$23)^(35/60)</f>
        <v>0.0383118684955729</v>
      </c>
      <c r="D218" s="35" t="n">
        <f aca="false">(B218+C218)/2</f>
        <v>0.0375906595703843</v>
      </c>
      <c r="E218" s="35" t="n">
        <f aca="false">C218-B218</f>
        <v>0.00144241785037713</v>
      </c>
      <c r="F218" s="35" t="n">
        <f aca="false">Inputs!$B$16*E218</f>
        <v>3266.21098039398</v>
      </c>
      <c r="G218" s="35" t="n">
        <f aca="false">IF(D218&lt;=Inputs!$B$21,1,IF(D218&lt;=Inputs!$B$22,2,IF(D218&lt;=Inputs!$B$23,3,IF(D218&lt;=Inputs!$B$24,4,5))))</f>
        <v>4</v>
      </c>
      <c r="H218" s="35" t="n">
        <f aca="false">Fit!$B$10*D218^(-1/Fit!$B$9)</f>
        <v>233.014810482681</v>
      </c>
      <c r="I218" s="35" t="n">
        <f aca="false">EXP(Fit!$B$16+Fit!$B$15*-NORMSINV(D218))</f>
        <v>185.013345617398</v>
      </c>
      <c r="J218" s="35" t="n">
        <f aca="false">Fit!$B$22*LN(1/D218)^(1/Fit!$B$21)</f>
        <v>167.701424049968</v>
      </c>
      <c r="K218" s="35" t="n">
        <f aca="false">MAX(0,Fit!$B$28+Fit!$B$27*-NORMSINV(D218))</f>
        <v>154.075145766313</v>
      </c>
      <c r="L218" s="35" t="n">
        <f aca="false">INDEX(H218:K218,1,Inputs!$B$5)</f>
        <v>233.014810482681</v>
      </c>
      <c r="M218" s="35" t="n">
        <f aca="false">L218*E218</f>
        <v>0.336104722042463</v>
      </c>
      <c r="N218" s="35" t="n">
        <f aca="false">L218^$AB$7</f>
        <v>233.014810482681</v>
      </c>
      <c r="O218" s="35" t="n">
        <f aca="false">N218*E218</f>
        <v>0.336104722042463</v>
      </c>
      <c r="P218" s="35" t="n">
        <f aca="false">N218*$AB$3/($AB$4*$AB$1)</f>
        <v>1571441.54098823</v>
      </c>
      <c r="Q218" s="35" t="n">
        <f aca="false">IF(G218&lt;=3,F218*SQRT(P218),0)</f>
        <v>0</v>
      </c>
      <c r="R218" s="35" t="n">
        <f aca="false">SQRT(P218/$AB$6)</f>
        <v>579197455.287916</v>
      </c>
      <c r="S218" s="35" t="n">
        <f aca="false">2*$AB$6*R218</f>
        <v>0.00542627225531256</v>
      </c>
      <c r="T218" s="35" t="n">
        <f aca="false">IF(G218&lt;=3,F218*R218,0)</f>
        <v>0</v>
      </c>
      <c r="U218" s="35" t="n">
        <f aca="false">F218*P218</f>
        <v>5132659616.22298</v>
      </c>
      <c r="V218" s="35" t="n">
        <f aca="false">H218^$AB$7*E218</f>
        <v>0.336104722042463</v>
      </c>
      <c r="W218" s="35" t="n">
        <f aca="false">I218^$AB$7*E218</f>
        <v>0.266866552276529</v>
      </c>
      <c r="X218" s="35" t="n">
        <f aca="false">J218^$AB$7*E218</f>
        <v>0.241895527583338</v>
      </c>
      <c r="Y218" s="35" t="n">
        <f aca="false">K218^$AB$7*E218</f>
        <v>0.222240740552788</v>
      </c>
    </row>
    <row r="219" customFormat="false" ht="15" hidden="false" customHeight="false" outlineLevel="0" collapsed="false">
      <c r="A219" s="35" t="n">
        <v>217</v>
      </c>
      <c r="B219" s="35" t="n">
        <f aca="false">C218</f>
        <v>0.0383118684955729</v>
      </c>
      <c r="C219" s="35" t="n">
        <f aca="false">Inputs!$B$23*(Inputs!$B$24/Inputs!$B$23)^(36/60)</f>
        <v>0.0398107170553497</v>
      </c>
      <c r="D219" s="35" t="n">
        <f aca="false">(B219+C219)/2</f>
        <v>0.0390612927754613</v>
      </c>
      <c r="E219" s="35" t="n">
        <f aca="false">C219-B219</f>
        <v>0.00149884855977684</v>
      </c>
      <c r="F219" s="35" t="n">
        <f aca="false">Inputs!$B$16*E219</f>
        <v>3393.99267875868</v>
      </c>
      <c r="G219" s="35" t="n">
        <f aca="false">IF(D219&lt;=Inputs!$B$21,1,IF(D219&lt;=Inputs!$B$22,2,IF(D219&lt;=Inputs!$B$23,3,IF(D219&lt;=Inputs!$B$24,4,5))))</f>
        <v>4</v>
      </c>
      <c r="H219" s="35" t="n">
        <f aca="false">Fit!$B$10*D219^(-1/Fit!$B$9)</f>
        <v>227.247948899491</v>
      </c>
      <c r="I219" s="35" t="n">
        <f aca="false">EXP(Fit!$B$16+Fit!$B$15*-NORMSINV(D219))</f>
        <v>182.351376123359</v>
      </c>
      <c r="J219" s="35" t="n">
        <f aca="false">Fit!$B$22*LN(1/D219)^(1/Fit!$B$21)</f>
        <v>165.983000084451</v>
      </c>
      <c r="K219" s="35" t="n">
        <f aca="false">MAX(0,Fit!$B$28+Fit!$B$27*-NORMSINV(D219))</f>
        <v>152.971989576458</v>
      </c>
      <c r="L219" s="35" t="n">
        <f aca="false">INDEX(H219:K219,1,Inputs!$B$5)</f>
        <v>227.247948899491</v>
      </c>
      <c r="M219" s="35" t="n">
        <f aca="false">L219*E219</f>
        <v>0.340610260920243</v>
      </c>
      <c r="N219" s="35" t="n">
        <f aca="false">L219^$AB$7</f>
        <v>227.247948899491</v>
      </c>
      <c r="O219" s="35" t="n">
        <f aca="false">N219*E219</f>
        <v>0.340610260920243</v>
      </c>
      <c r="P219" s="35" t="n">
        <f aca="false">N219*$AB$3/($AB$4*$AB$1)</f>
        <v>1532550.08239733</v>
      </c>
      <c r="Q219" s="35" t="n">
        <f aca="false">IF(G219&lt;=3,F219*SQRT(P219),0)</f>
        <v>0</v>
      </c>
      <c r="R219" s="35" t="n">
        <f aca="false">SQRT(P219/$AB$6)</f>
        <v>571985300.875095</v>
      </c>
      <c r="S219" s="35" t="n">
        <f aca="false">2*$AB$6*R219</f>
        <v>0.00535870442842723</v>
      </c>
      <c r="T219" s="35" t="n">
        <f aca="false">IF(G219&lt;=3,F219*R219,0)</f>
        <v>0</v>
      </c>
      <c r="U219" s="35" t="n">
        <f aca="false">F219*P219</f>
        <v>5201463759.48753</v>
      </c>
      <c r="V219" s="35" t="n">
        <f aca="false">H219^$AB$7*E219</f>
        <v>0.340610260920243</v>
      </c>
      <c r="W219" s="35" t="n">
        <f aca="false">I219^$AB$7*E219</f>
        <v>0.273317097475821</v>
      </c>
      <c r="X219" s="35" t="n">
        <f aca="false">J219^$AB$7*E219</f>
        <v>0.248783380624019</v>
      </c>
      <c r="Y219" s="35" t="n">
        <f aca="false">K219^$AB$7*E219</f>
        <v>0.229281846262872</v>
      </c>
    </row>
    <row r="220" customFormat="false" ht="15" hidden="false" customHeight="false" outlineLevel="0" collapsed="false">
      <c r="A220" s="35" t="n">
        <v>218</v>
      </c>
      <c r="B220" s="35" t="n">
        <f aca="false">C219</f>
        <v>0.0398107170553497</v>
      </c>
      <c r="C220" s="35" t="n">
        <f aca="false">Inputs!$B$23*(Inputs!$B$24/Inputs!$B$23)^(37/60)</f>
        <v>0.0413682040238851</v>
      </c>
      <c r="D220" s="35" t="n">
        <f aca="false">(B220+C220)/2</f>
        <v>0.0405894605396174</v>
      </c>
      <c r="E220" s="35" t="n">
        <f aca="false">C220-B220</f>
        <v>0.00155748696853535</v>
      </c>
      <c r="F220" s="35" t="n">
        <f aca="false">Inputs!$B$16*E220</f>
        <v>3526.77349155145</v>
      </c>
      <c r="G220" s="35" t="n">
        <f aca="false">IF(D220&lt;=Inputs!$B$21,1,IF(D220&lt;=Inputs!$B$22,2,IF(D220&lt;=Inputs!$B$23,3,IF(D220&lt;=Inputs!$B$24,4,5))))</f>
        <v>4</v>
      </c>
      <c r="H220" s="35" t="n">
        <f aca="false">Fit!$B$10*D220^(-1/Fit!$B$9)</f>
        <v>221.623810830102</v>
      </c>
      <c r="I220" s="35" t="n">
        <f aca="false">EXP(Fit!$B$16+Fit!$B$15*-NORMSINV(D220))</f>
        <v>179.709060480409</v>
      </c>
      <c r="J220" s="35" t="n">
        <f aca="false">Fit!$B$22*LN(1/D220)^(1/Fit!$B$21)</f>
        <v>164.262040585213</v>
      </c>
      <c r="K220" s="35" t="n">
        <f aca="false">MAX(0,Fit!$B$28+Fit!$B$27*-NORMSINV(D220))</f>
        <v>151.860935710897</v>
      </c>
      <c r="L220" s="35" t="n">
        <f aca="false">INDEX(H220:K220,1,Inputs!$B$5)</f>
        <v>221.623810830102</v>
      </c>
      <c r="M220" s="35" t="n">
        <f aca="false">L220*E220</f>
        <v>0.345176197285028</v>
      </c>
      <c r="N220" s="35" t="n">
        <f aca="false">L220^$AB$7</f>
        <v>221.623810830102</v>
      </c>
      <c r="O220" s="35" t="n">
        <f aca="false">N220*E220</f>
        <v>0.345176197285028</v>
      </c>
      <c r="P220" s="35" t="n">
        <f aca="false">N220*$AB$3/($AB$4*$AB$1)</f>
        <v>1494621.14484961</v>
      </c>
      <c r="Q220" s="35" t="n">
        <f aca="false">IF(G220&lt;=3,F220*SQRT(P220),0)</f>
        <v>0</v>
      </c>
      <c r="R220" s="35" t="n">
        <f aca="false">SQRT(P220/$AB$6)</f>
        <v>564862952.055859</v>
      </c>
      <c r="S220" s="35" t="n">
        <f aca="false">2*$AB$6*R220</f>
        <v>0.00529197795468733</v>
      </c>
      <c r="T220" s="35" t="n">
        <f aca="false">IF(G220&lt;=3,F220*R220,0)</f>
        <v>0</v>
      </c>
      <c r="U220" s="35" t="n">
        <f aca="false">F220*P220</f>
        <v>5271190233.56787</v>
      </c>
      <c r="V220" s="35" t="n">
        <f aca="false">H220^$AB$7*E220</f>
        <v>0.345176197285028</v>
      </c>
      <c r="W220" s="35" t="n">
        <f aca="false">I220^$AB$7*E220</f>
        <v>0.279894519825969</v>
      </c>
      <c r="X220" s="35" t="n">
        <f aca="false">J220^$AB$7*E220</f>
        <v>0.255835987636494</v>
      </c>
      <c r="Y220" s="35" t="n">
        <f aca="false">K220^$AB$7*E220</f>
        <v>0.236521428399307</v>
      </c>
    </row>
    <row r="221" customFormat="false" ht="15" hidden="false" customHeight="false" outlineLevel="0" collapsed="false">
      <c r="A221" s="35" t="n">
        <v>219</v>
      </c>
      <c r="B221" s="35" t="n">
        <f aca="false">C220</f>
        <v>0.0413682040238851</v>
      </c>
      <c r="C221" s="35" t="n">
        <f aca="false">Inputs!$B$23*(Inputs!$B$24/Inputs!$B$23)^(38/60)</f>
        <v>0.0429866234708228</v>
      </c>
      <c r="D221" s="35" t="n">
        <f aca="false">(B221+C221)/2</f>
        <v>0.0421774137473539</v>
      </c>
      <c r="E221" s="35" t="n">
        <f aca="false">C221-B221</f>
        <v>0.0016184194469377</v>
      </c>
      <c r="F221" s="35" t="n">
        <f aca="false">Inputs!$B$16*E221</f>
        <v>3664.74899564572</v>
      </c>
      <c r="G221" s="35" t="n">
        <f aca="false">IF(D221&lt;=Inputs!$B$21,1,IF(D221&lt;=Inputs!$B$22,2,IF(D221&lt;=Inputs!$B$23,3,IF(D221&lt;=Inputs!$B$24,4,5))))</f>
        <v>4</v>
      </c>
      <c r="H221" s="35" t="n">
        <f aca="false">Fit!$B$10*D221^(-1/Fit!$B$9)</f>
        <v>216.138864023722</v>
      </c>
      <c r="I221" s="35" t="n">
        <f aca="false">EXP(Fit!$B$16+Fit!$B$15*-NORMSINV(D221))</f>
        <v>177.086285029673</v>
      </c>
      <c r="J221" s="35" t="n">
        <f aca="false">Fit!$B$22*LN(1/D221)^(1/Fit!$B$21)</f>
        <v>162.538511374616</v>
      </c>
      <c r="K221" s="35" t="n">
        <f aca="false">MAX(0,Fit!$B$28+Fit!$B$27*-NORMSINV(D221))</f>
        <v>150.741823765</v>
      </c>
      <c r="L221" s="35" t="n">
        <f aca="false">INDEX(H221:K221,1,Inputs!$B$5)</f>
        <v>216.138864023722</v>
      </c>
      <c r="M221" s="35" t="n">
        <f aca="false">L221*E221</f>
        <v>0.349803340775014</v>
      </c>
      <c r="N221" s="35" t="n">
        <f aca="false">L221^$AB$7</f>
        <v>216.138864023722</v>
      </c>
      <c r="O221" s="35" t="n">
        <f aca="false">N221*E221</f>
        <v>0.349803340775014</v>
      </c>
      <c r="P221" s="35" t="n">
        <f aca="false">N221*$AB$3/($AB$4*$AB$1)</f>
        <v>1457630.90700248</v>
      </c>
      <c r="Q221" s="35" t="n">
        <f aca="false">IF(G221&lt;=3,F221*SQRT(P221),0)</f>
        <v>0</v>
      </c>
      <c r="R221" s="35" t="n">
        <f aca="false">SQRT(P221/$AB$6)</f>
        <v>557829290.572861</v>
      </c>
      <c r="S221" s="35" t="n">
        <f aca="false">2*$AB$6*R221</f>
        <v>0.00522608235758138</v>
      </c>
      <c r="T221" s="35" t="n">
        <f aca="false">IF(G221&lt;=3,F221*R221,0)</f>
        <v>0</v>
      </c>
      <c r="U221" s="35" t="n">
        <f aca="false">F221*P221</f>
        <v>5341851402.45952</v>
      </c>
      <c r="V221" s="35" t="n">
        <f aca="false">H221^$AB$7*E221</f>
        <v>0.349803340775014</v>
      </c>
      <c r="W221" s="35" t="n">
        <f aca="false">I221^$AB$7*E221</f>
        <v>0.286599887477976</v>
      </c>
      <c r="X221" s="35" t="n">
        <f aca="false">J221^$AB$7*E221</f>
        <v>0.263055487684983</v>
      </c>
      <c r="Y221" s="35" t="n">
        <f aca="false">K221^$AB$7*E221</f>
        <v>0.243963499048132</v>
      </c>
    </row>
    <row r="222" customFormat="false" ht="15" hidden="false" customHeight="false" outlineLevel="0" collapsed="false">
      <c r="A222" s="35" t="n">
        <v>220</v>
      </c>
      <c r="B222" s="35" t="n">
        <f aca="false">C221</f>
        <v>0.0429866234708228</v>
      </c>
      <c r="C222" s="35" t="n">
        <f aca="false">Inputs!$B$23*(Inputs!$B$24/Inputs!$B$23)^(39/60)</f>
        <v>0.0446683592150963</v>
      </c>
      <c r="D222" s="35" t="n">
        <f aca="false">(B222+C222)/2</f>
        <v>0.0438274913429595</v>
      </c>
      <c r="E222" s="35" t="n">
        <f aca="false">C222-B222</f>
        <v>0.00168173574427355</v>
      </c>
      <c r="F222" s="35" t="n">
        <f aca="false">Inputs!$B$16*E222</f>
        <v>3808.12241933303</v>
      </c>
      <c r="G222" s="35" t="n">
        <f aca="false">IF(D222&lt;=Inputs!$B$21,1,IF(D222&lt;=Inputs!$B$22,2,IF(D222&lt;=Inputs!$B$23,3,IF(D222&lt;=Inputs!$B$24,4,5))))</f>
        <v>4</v>
      </c>
      <c r="H222" s="35" t="n">
        <f aca="false">Fit!$B$10*D222^(-1/Fit!$B$9)</f>
        <v>210.789663648901</v>
      </c>
      <c r="I222" s="35" t="n">
        <f aca="false">EXP(Fit!$B$16+Fit!$B$15*-NORMSINV(D222))</f>
        <v>174.482935908403</v>
      </c>
      <c r="J222" s="35" t="n">
        <f aca="false">Fit!$B$22*LN(1/D222)^(1/Fit!$B$21)</f>
        <v>160.812377394091</v>
      </c>
      <c r="K222" s="35" t="n">
        <f aca="false">MAX(0,Fit!$B$28+Fit!$B$27*-NORMSINV(D222))</f>
        <v>149.614488004484</v>
      </c>
      <c r="L222" s="35" t="n">
        <f aca="false">INDEX(H222:K222,1,Inputs!$B$5)</f>
        <v>210.789663648901</v>
      </c>
      <c r="M222" s="35" t="n">
        <f aca="false">L222*E222</f>
        <v>0.354492511881756</v>
      </c>
      <c r="N222" s="35" t="n">
        <f aca="false">L222^$AB$7</f>
        <v>210.789663648901</v>
      </c>
      <c r="O222" s="35" t="n">
        <f aca="false">N222*E222</f>
        <v>0.354492511881756</v>
      </c>
      <c r="P222" s="35" t="n">
        <f aca="false">N222*$AB$3/($AB$4*$AB$1)</f>
        <v>1421556.13706554</v>
      </c>
      <c r="Q222" s="35" t="n">
        <f aca="false">IF(G222&lt;=3,F222*SQRT(P222),0)</f>
        <v>0</v>
      </c>
      <c r="R222" s="35" t="n">
        <f aca="false">SQRT(P222/$AB$6)</f>
        <v>550883212.093277</v>
      </c>
      <c r="S222" s="35" t="n">
        <f aca="false">2*$AB$6*R222</f>
        <v>0.00516100729105116</v>
      </c>
      <c r="T222" s="35" t="n">
        <f aca="false">IF(G222&lt;=3,F222*R222,0)</f>
        <v>0</v>
      </c>
      <c r="U222" s="35" t="n">
        <f aca="false">F222*P222</f>
        <v>5413459795.89974</v>
      </c>
      <c r="V222" s="35" t="n">
        <f aca="false">H222^$AB$7*E222</f>
        <v>0.354492511881756</v>
      </c>
      <c r="W222" s="35" t="n">
        <f aca="false">I222^$AB$7*E222</f>
        <v>0.293434190082952</v>
      </c>
      <c r="X222" s="35" t="n">
        <f aca="false">J222^$AB$7*E222</f>
        <v>0.27044392318525</v>
      </c>
      <c r="Y222" s="35" t="n">
        <f aca="false">K222^$AB$7*E222</f>
        <v>0.251612032338327</v>
      </c>
    </row>
    <row r="223" customFormat="false" ht="15" hidden="false" customHeight="false" outlineLevel="0" collapsed="false">
      <c r="A223" s="35" t="n">
        <v>221</v>
      </c>
      <c r="B223" s="35" t="n">
        <f aca="false">C222</f>
        <v>0.0446683592150963</v>
      </c>
      <c r="C223" s="35" t="n">
        <f aca="false">Inputs!$B$23*(Inputs!$B$24/Inputs!$B$23)^(40/60)</f>
        <v>0.0464158883361278</v>
      </c>
      <c r="D223" s="35" t="n">
        <f aca="false">(B223+C223)/2</f>
        <v>0.0455421237756121</v>
      </c>
      <c r="E223" s="35" t="n">
        <f aca="false">C223-B223</f>
        <v>0.00174752912103147</v>
      </c>
      <c r="F223" s="35" t="n">
        <f aca="false">Inputs!$B$16*E223</f>
        <v>3957.10494166365</v>
      </c>
      <c r="G223" s="35" t="n">
        <f aca="false">IF(D223&lt;=Inputs!$B$21,1,IF(D223&lt;=Inputs!$B$22,2,IF(D223&lt;=Inputs!$B$23,3,IF(D223&lt;=Inputs!$B$24,4,5))))</f>
        <v>4</v>
      </c>
      <c r="H223" s="35" t="n">
        <f aca="false">Fit!$B$10*D223^(-1/Fit!$B$9)</f>
        <v>205.572850129999</v>
      </c>
      <c r="I223" s="35" t="n">
        <f aca="false">EXP(Fit!$B$16+Fit!$B$15*-NORMSINV(D223))</f>
        <v>171.898899020972</v>
      </c>
      <c r="J223" s="35" t="n">
        <f aca="false">Fit!$B$22*LN(1/D223)^(1/Fit!$B$21)</f>
        <v>159.083602670322</v>
      </c>
      <c r="K223" s="35" t="n">
        <f aca="false">MAX(0,Fit!$B$28+Fit!$B$27*-NORMSINV(D223))</f>
        <v>148.478757118839</v>
      </c>
      <c r="L223" s="35" t="n">
        <f aca="false">INDEX(H223:K223,1,Inputs!$B$5)</f>
        <v>205.572850129999</v>
      </c>
      <c r="M223" s="35" t="n">
        <f aca="false">L223*E223</f>
        <v>0.359244542095611</v>
      </c>
      <c r="N223" s="35" t="n">
        <f aca="false">L223^$AB$7</f>
        <v>205.572850129999</v>
      </c>
      <c r="O223" s="35" t="n">
        <f aca="false">N223*E223</f>
        <v>0.359244542095611</v>
      </c>
      <c r="P223" s="35" t="n">
        <f aca="false">N223*$AB$3/($AB$4*$AB$1)</f>
        <v>1386374.17820975</v>
      </c>
      <c r="Q223" s="35" t="n">
        <f aca="false">IF(G223&lt;=3,F223*SQRT(P223),0)</f>
        <v>0</v>
      </c>
      <c r="R223" s="35" t="n">
        <f aca="false">SQRT(P223/$AB$6)</f>
        <v>544023626.035406</v>
      </c>
      <c r="S223" s="35" t="n">
        <f aca="false">2*$AB$6*R223</f>
        <v>0.00509674253786737</v>
      </c>
      <c r="T223" s="35" t="n">
        <f aca="false">IF(G223&lt;=3,F223*R223,0)</f>
        <v>0</v>
      </c>
      <c r="U223" s="35" t="n">
        <f aca="false">F223*P223</f>
        <v>5486028111.5887</v>
      </c>
      <c r="V223" s="35" t="n">
        <f aca="false">H223^$AB$7*E223</f>
        <v>0.359244542095611</v>
      </c>
      <c r="W223" s="35" t="n">
        <f aca="false">I223^$AB$7*E223</f>
        <v>0.300398331912397</v>
      </c>
      <c r="X223" s="35" t="n">
        <f aca="false">J223^$AB$7*E223</f>
        <v>0.278003228344987</v>
      </c>
      <c r="Y223" s="35" t="n">
        <f aca="false">K223^$AB$7*E223</f>
        <v>0.25947095191973</v>
      </c>
    </row>
    <row r="224" customFormat="false" ht="15" hidden="false" customHeight="false" outlineLevel="0" collapsed="false">
      <c r="A224" s="35" t="n">
        <v>222</v>
      </c>
      <c r="B224" s="35" t="n">
        <f aca="false">C223</f>
        <v>0.0464158883361278</v>
      </c>
      <c r="C224" s="35" t="n">
        <f aca="false">Inputs!$B$23*(Inputs!$B$24/Inputs!$B$23)^(41/60)</f>
        <v>0.0482317848223931</v>
      </c>
      <c r="D224" s="35" t="n">
        <f aca="false">(B224+C224)/2</f>
        <v>0.0473238365792604</v>
      </c>
      <c r="E224" s="35" t="n">
        <f aca="false">C224-B224</f>
        <v>0.00181589648626528</v>
      </c>
      <c r="F224" s="35" t="n">
        <f aca="false">Inputs!$B$16*E224</f>
        <v>4111.91600349911</v>
      </c>
      <c r="G224" s="35" t="n">
        <f aca="false">IF(D224&lt;=Inputs!$B$21,1,IF(D224&lt;=Inputs!$B$22,2,IF(D224&lt;=Inputs!$B$23,3,IF(D224&lt;=Inputs!$B$24,4,5))))</f>
        <v>4</v>
      </c>
      <c r="H224" s="35" t="n">
        <f aca="false">Fit!$B$10*D224^(-1/Fit!$B$9)</f>
        <v>200.485147037197</v>
      </c>
      <c r="I224" s="35" t="n">
        <f aca="false">EXP(Fit!$B$16+Fit!$B$15*-NORMSINV(D224))</f>
        <v>169.334060008161</v>
      </c>
      <c r="J224" s="35" t="n">
        <f aca="false">Fit!$B$22*LN(1/D224)^(1/Fit!$B$21)</f>
        <v>157.352150279718</v>
      </c>
      <c r="K224" s="35" t="n">
        <f aca="false">MAX(0,Fit!$B$28+Fit!$B$27*-NORMSINV(D224))</f>
        <v>147.334453960087</v>
      </c>
      <c r="L224" s="35" t="n">
        <f aca="false">INDEX(H224:K224,1,Inputs!$B$5)</f>
        <v>200.485147037197</v>
      </c>
      <c r="M224" s="35" t="n">
        <f aca="false">L224*E224</f>
        <v>0.364060274053224</v>
      </c>
      <c r="N224" s="35" t="n">
        <f aca="false">L224^$AB$7</f>
        <v>200.485147037197</v>
      </c>
      <c r="O224" s="35" t="n">
        <f aca="false">N224*E224</f>
        <v>0.364060274053224</v>
      </c>
      <c r="P224" s="35" t="n">
        <f aca="false">N224*$AB$3/($AB$4*$AB$1)</f>
        <v>1352062.93433782</v>
      </c>
      <c r="Q224" s="35" t="n">
        <f aca="false">IF(G224&lt;=3,F224*SQRT(P224),0)</f>
        <v>0</v>
      </c>
      <c r="R224" s="35" t="n">
        <f aca="false">SQRT(P224/$AB$6)</f>
        <v>537249455.39745</v>
      </c>
      <c r="S224" s="35" t="n">
        <f aca="false">2*$AB$6*R224</f>
        <v>0.00503327800802544</v>
      </c>
      <c r="T224" s="35" t="n">
        <f aca="false">IF(G224&lt;=3,F224*R224,0)</f>
        <v>0</v>
      </c>
      <c r="U224" s="35" t="n">
        <f aca="false">F224*P224</f>
        <v>5559569217.44163</v>
      </c>
      <c r="V224" s="35" t="n">
        <f aca="false">H224^$AB$7*E224</f>
        <v>0.364060274053224</v>
      </c>
      <c r="W224" s="35" t="n">
        <f aca="false">I224^$AB$7*E224</f>
        <v>0.307493124573855</v>
      </c>
      <c r="X224" s="35" t="n">
        <f aca="false">J224^$AB$7*E224</f>
        <v>0.285735216799227</v>
      </c>
      <c r="Y224" s="35" t="n">
        <f aca="false">K224^$AB$7*E224</f>
        <v>0.267544117251936</v>
      </c>
    </row>
    <row r="225" customFormat="false" ht="15" hidden="false" customHeight="false" outlineLevel="0" collapsed="false">
      <c r="A225" s="35" t="n">
        <v>223</v>
      </c>
      <c r="B225" s="35" t="n">
        <f aca="false">C224</f>
        <v>0.0482317848223931</v>
      </c>
      <c r="C225" s="35" t="n">
        <f aca="false">Inputs!$B$23*(Inputs!$B$24/Inputs!$B$23)^(42/60)</f>
        <v>0.0501187233627272</v>
      </c>
      <c r="D225" s="35" t="n">
        <f aca="false">(B225+C225)/2</f>
        <v>0.0491752540925601</v>
      </c>
      <c r="E225" s="35" t="n">
        <f aca="false">C225-B225</f>
        <v>0.00188693854033415</v>
      </c>
      <c r="F225" s="35" t="n">
        <f aca="false">Inputs!$B$16*E225</f>
        <v>4272.78363073265</v>
      </c>
      <c r="G225" s="35" t="n">
        <f aca="false">IF(D225&lt;=Inputs!$B$21,1,IF(D225&lt;=Inputs!$B$22,2,IF(D225&lt;=Inputs!$B$23,3,IF(D225&lt;=Inputs!$B$24,4,5))))</f>
        <v>4</v>
      </c>
      <c r="H225" s="35" t="n">
        <f aca="false">Fit!$B$10*D225^(-1/Fit!$B$9)</f>
        <v>195.523359028726</v>
      </c>
      <c r="I225" s="35" t="n">
        <f aca="false">EXP(Fit!$B$16+Fit!$B$15*-NORMSINV(D225))</f>
        <v>166.788304214591</v>
      </c>
      <c r="J225" s="35" t="n">
        <f aca="false">Fit!$B$22*LN(1/D225)^(1/Fit!$B$21)</f>
        <v>155.61798231102</v>
      </c>
      <c r="K225" s="35" t="n">
        <f aca="false">MAX(0,Fit!$B$28+Fit!$B$27*-NORMSINV(D225))</f>
        <v>146.181395265779</v>
      </c>
      <c r="L225" s="35" t="n">
        <f aca="false">INDEX(H225:K225,1,Inputs!$B$5)</f>
        <v>195.523359028726</v>
      </c>
      <c r="M225" s="35" t="n">
        <f aca="false">L225*E225</f>
        <v>0.368940561686895</v>
      </c>
      <c r="N225" s="35" t="n">
        <f aca="false">L225^$AB$7</f>
        <v>195.523359028726</v>
      </c>
      <c r="O225" s="35" t="n">
        <f aca="false">N225*E225</f>
        <v>0.368940561686895</v>
      </c>
      <c r="P225" s="35" t="n">
        <f aca="false">N225*$AB$3/($AB$4*$AB$1)</f>
        <v>1318600.85620666</v>
      </c>
      <c r="Q225" s="35" t="n">
        <f aca="false">IF(G225&lt;=3,F225*SQRT(P225),0)</f>
        <v>0</v>
      </c>
      <c r="R225" s="35" t="n">
        <f aca="false">SQRT(P225/$AB$6)</f>
        <v>530559636.588416</v>
      </c>
      <c r="S225" s="35" t="n">
        <f aca="false">2*$AB$6*R225</f>
        <v>0.00497060373716131</v>
      </c>
      <c r="T225" s="35" t="n">
        <f aca="false">IF(G225&lt;=3,F225*R225,0)</f>
        <v>0</v>
      </c>
      <c r="U225" s="35" t="n">
        <f aca="false">F225*P225</f>
        <v>5634096153.86988</v>
      </c>
      <c r="V225" s="35" t="n">
        <f aca="false">H225^$AB$7*E225</f>
        <v>0.368940561686895</v>
      </c>
      <c r="W225" s="35" t="n">
        <f aca="false">I225^$AB$7*E225</f>
        <v>0.314719279299489</v>
      </c>
      <c r="X225" s="35" t="n">
        <f aca="false">J225^$AB$7*E225</f>
        <v>0.293641568391702</v>
      </c>
      <c r="Y225" s="35" t="n">
        <f aca="false">K225^$AB$7*E225</f>
        <v>0.275835308606818</v>
      </c>
    </row>
    <row r="226" customFormat="false" ht="15" hidden="false" customHeight="false" outlineLevel="0" collapsed="false">
      <c r="A226" s="35" t="n">
        <v>224</v>
      </c>
      <c r="B226" s="35" t="n">
        <f aca="false">C225</f>
        <v>0.0501187233627272</v>
      </c>
      <c r="C226" s="35" t="n">
        <f aca="false">Inputs!$B$23*(Inputs!$B$24/Inputs!$B$23)^(43/60)</f>
        <v>0.0520794832859546</v>
      </c>
      <c r="D226" s="35" t="n">
        <f aca="false">(B226+C226)/2</f>
        <v>0.0510991033243409</v>
      </c>
      <c r="E226" s="35" t="n">
        <f aca="false">C226-B226</f>
        <v>0.00196075992322742</v>
      </c>
      <c r="F226" s="35" t="n">
        <f aca="false">Inputs!$B$16*E226</f>
        <v>4439.94477015616</v>
      </c>
      <c r="G226" s="35" t="n">
        <f aca="false">IF(D226&lt;=Inputs!$B$21,1,IF(D226&lt;=Inputs!$B$22,2,IF(D226&lt;=Inputs!$B$23,3,IF(D226&lt;=Inputs!$B$24,4,5))))</f>
        <v>4</v>
      </c>
      <c r="H226" s="35" t="n">
        <f aca="false">Fit!$B$10*D226^(-1/Fit!$B$9)</f>
        <v>190.684369844033</v>
      </c>
      <c r="I226" s="35" t="n">
        <f aca="false">EXP(Fit!$B$16+Fit!$B$15*-NORMSINV(D226))</f>
        <v>164.261516654177</v>
      </c>
      <c r="J226" s="35" t="n">
        <f aca="false">Fit!$B$22*LN(1/D226)^(1/Fit!$B$21)</f>
        <v>153.881059825958</v>
      </c>
      <c r="K226" s="35" t="n">
        <f aca="false">MAX(0,Fit!$B$28+Fit!$B$27*-NORMSINV(D226))</f>
        <v>145.01939136508</v>
      </c>
      <c r="L226" s="35" t="n">
        <f aca="false">INDEX(H226:K226,1,Inputs!$B$5)</f>
        <v>190.684369844033</v>
      </c>
      <c r="M226" s="35" t="n">
        <f aca="false">L226*E226</f>
        <v>0.373886270376055</v>
      </c>
      <c r="N226" s="35" t="n">
        <f aca="false">L226^$AB$7</f>
        <v>190.684369844033</v>
      </c>
      <c r="O226" s="35" t="n">
        <f aca="false">N226*E226</f>
        <v>0.373886270376055</v>
      </c>
      <c r="P226" s="35" t="n">
        <f aca="false">N226*$AB$3/($AB$4*$AB$1)</f>
        <v>1285966.9278934</v>
      </c>
      <c r="Q226" s="35" t="n">
        <f aca="false">IF(G226&lt;=3,F226*SQRT(P226),0)</f>
        <v>0</v>
      </c>
      <c r="R226" s="35" t="n">
        <f aca="false">SQRT(P226/$AB$6)</f>
        <v>523953119.261119</v>
      </c>
      <c r="S226" s="35" t="n">
        <f aca="false">2*$AB$6*R226</f>
        <v>0.00490870988498695</v>
      </c>
      <c r="T226" s="35" t="n">
        <f aca="false">IF(G226&lt;=3,F226*R226,0)</f>
        <v>0</v>
      </c>
      <c r="U226" s="35" t="n">
        <f aca="false">F226*P226</f>
        <v>5709622136.0941</v>
      </c>
      <c r="V226" s="35" t="n">
        <f aca="false">H226^$AB$7*E226</f>
        <v>0.373886270376055</v>
      </c>
      <c r="W226" s="35" t="n">
        <f aca="false">I226^$AB$7*E226</f>
        <v>0.322077398784064</v>
      </c>
      <c r="X226" s="35" t="n">
        <f aca="false">J226^$AB$7*E226</f>
        <v>0.301723815050499</v>
      </c>
      <c r="Y226" s="35" t="n">
        <f aca="false">K226^$AB$7*E226</f>
        <v>0.284348210679481</v>
      </c>
    </row>
    <row r="227" customFormat="false" ht="15" hidden="false" customHeight="false" outlineLevel="0" collapsed="false">
      <c r="A227" s="35" t="n">
        <v>225</v>
      </c>
      <c r="B227" s="35" t="n">
        <f aca="false">C226</f>
        <v>0.0520794832859546</v>
      </c>
      <c r="C227" s="35" t="n">
        <f aca="false">Inputs!$B$23*(Inputs!$B$24/Inputs!$B$23)^(44/60)</f>
        <v>0.0541169526546464</v>
      </c>
      <c r="D227" s="35" t="n">
        <f aca="false">(B227+C227)/2</f>
        <v>0.0530982179703005</v>
      </c>
      <c r="E227" s="35" t="n">
        <f aca="false">C227-B227</f>
        <v>0.00203746936869172</v>
      </c>
      <c r="F227" s="35" t="n">
        <f aca="false">Inputs!$B$16*E227</f>
        <v>4613.64563846554</v>
      </c>
      <c r="G227" s="35" t="n">
        <f aca="false">IF(D227&lt;=Inputs!$B$21,1,IF(D227&lt;=Inputs!$B$22,2,IF(D227&lt;=Inputs!$B$23,3,IF(D227&lt;=Inputs!$B$24,4,5))))</f>
        <v>4</v>
      </c>
      <c r="H227" s="35" t="n">
        <f aca="false">Fit!$B$10*D227^(-1/Fit!$B$9)</f>
        <v>185.965140346601</v>
      </c>
      <c r="I227" s="35" t="n">
        <f aca="false">EXP(Fit!$B$16+Fit!$B$15*-NORMSINV(D227))</f>
        <v>161.753581973452</v>
      </c>
      <c r="J227" s="35" t="n">
        <f aca="false">Fit!$B$22*LN(1/D227)^(1/Fit!$B$21)</f>
        <v>152.141342817798</v>
      </c>
      <c r="K227" s="35" t="n">
        <f aca="false">MAX(0,Fit!$B$28+Fit!$B$27*-NORMSINV(D227))</f>
        <v>143.848245866666</v>
      </c>
      <c r="L227" s="35" t="n">
        <f aca="false">INDEX(H227:K227,1,Inputs!$B$5)</f>
        <v>185.965140346601</v>
      </c>
      <c r="M227" s="35" t="n">
        <f aca="false">L227*E227</f>
        <v>0.378898277100658</v>
      </c>
      <c r="N227" s="35" t="n">
        <f aca="false">L227^$AB$7</f>
        <v>185.965140346601</v>
      </c>
      <c r="O227" s="35" t="n">
        <f aca="false">N227*E227</f>
        <v>0.378898277100658</v>
      </c>
      <c r="P227" s="35" t="n">
        <f aca="false">N227*$AB$3/($AB$4*$AB$1)</f>
        <v>1254140.65359625</v>
      </c>
      <c r="Q227" s="35" t="n">
        <f aca="false">IF(G227&lt;=3,F227*SQRT(P227),0)</f>
        <v>0</v>
      </c>
      <c r="R227" s="35" t="n">
        <f aca="false">SQRT(P227/$AB$6)</f>
        <v>517428866.14728</v>
      </c>
      <c r="S227" s="35" t="n">
        <f aca="false">2*$AB$6*R227</f>
        <v>0.00484758673374544</v>
      </c>
      <c r="T227" s="35" t="n">
        <f aca="false">IF(G227&lt;=3,F227*R227,0)</f>
        <v>0</v>
      </c>
      <c r="U227" s="35" t="n">
        <f aca="false">F227*P227</f>
        <v>5786160556.48665</v>
      </c>
      <c r="V227" s="35" t="n">
        <f aca="false">H227^$AB$7*E227</f>
        <v>0.378898277100658</v>
      </c>
      <c r="W227" s="35" t="n">
        <f aca="false">I227^$AB$7*E227</f>
        <v>0.329567968547075</v>
      </c>
      <c r="X227" s="35" t="n">
        <f aca="false">J227^$AB$7*E227</f>
        <v>0.309983325702889</v>
      </c>
      <c r="Y227" s="35" t="n">
        <f aca="false">K227^$AB$7*E227</f>
        <v>0.293086394693368</v>
      </c>
    </row>
    <row r="228" customFormat="false" ht="15" hidden="false" customHeight="false" outlineLevel="0" collapsed="false">
      <c r="A228" s="35" t="n">
        <v>226</v>
      </c>
      <c r="B228" s="35" t="n">
        <f aca="false">C227</f>
        <v>0.0541169526546464</v>
      </c>
      <c r="C228" s="35" t="n">
        <f aca="false">Inputs!$B$23*(Inputs!$B$24/Inputs!$B$23)^(45/60)</f>
        <v>0.0562341325190349</v>
      </c>
      <c r="D228" s="35" t="n">
        <f aca="false">(B228+C228)/2</f>
        <v>0.0551755425868406</v>
      </c>
      <c r="E228" s="35" t="n">
        <f aca="false">C228-B228</f>
        <v>0.00211717986438855</v>
      </c>
      <c r="F228" s="35" t="n">
        <f aca="false">Inputs!$B$16*E228</f>
        <v>4794.14208492143</v>
      </c>
      <c r="G228" s="35" t="n">
        <f aca="false">IF(D228&lt;=Inputs!$B$21,1,IF(D228&lt;=Inputs!$B$22,2,IF(D228&lt;=Inputs!$B$23,3,IF(D228&lt;=Inputs!$B$24,4,5))))</f>
        <v>4</v>
      </c>
      <c r="H228" s="35" t="n">
        <f aca="false">Fit!$B$10*D228^(-1/Fit!$B$9)</f>
        <v>181.362706615218</v>
      </c>
      <c r="I228" s="35" t="n">
        <f aca="false">EXP(Fit!$B$16+Fit!$B$15*-NORMSINV(D228))</f>
        <v>159.264384412591</v>
      </c>
      <c r="J228" s="35" t="n">
        <f aca="false">Fit!$B$22*LN(1/D228)^(1/Fit!$B$21)</f>
        <v>150.398790167664</v>
      </c>
      <c r="K228" s="35" t="n">
        <f aca="false">MAX(0,Fit!$B$28+Fit!$B$27*-NORMSINV(D228))</f>
        <v>142.667755327056</v>
      </c>
      <c r="L228" s="35" t="n">
        <f aca="false">INDEX(H228:K228,1,Inputs!$B$5)</f>
        <v>181.362706615218</v>
      </c>
      <c r="M228" s="35" t="n">
        <f aca="false">L228*E228</f>
        <v>0.383977470596748</v>
      </c>
      <c r="N228" s="35" t="n">
        <f aca="false">L228^$AB$7</f>
        <v>181.362706615218</v>
      </c>
      <c r="O228" s="35" t="n">
        <f aca="false">N228*E228</f>
        <v>0.383977470596748</v>
      </c>
      <c r="P228" s="35" t="n">
        <f aca="false">N228*$AB$3/($AB$4*$AB$1)</f>
        <v>1223102.04476208</v>
      </c>
      <c r="Q228" s="35" t="n">
        <f aca="false">IF(G228&lt;=3,F228*SQRT(P228),0)</f>
        <v>0</v>
      </c>
      <c r="R228" s="35" t="n">
        <f aca="false">SQRT(P228/$AB$6)</f>
        <v>510985852.894658</v>
      </c>
      <c r="S228" s="35" t="n">
        <f aca="false">2*$AB$6*R228</f>
        <v>0.00478722468668511</v>
      </c>
      <c r="T228" s="35" t="n">
        <f aca="false">IF(G228&lt;=3,F228*R228,0)</f>
        <v>0</v>
      </c>
      <c r="U228" s="35" t="n">
        <f aca="false">F228*P228</f>
        <v>5863724986.94732</v>
      </c>
      <c r="V228" s="35" t="n">
        <f aca="false">H228^$AB$7*E228</f>
        <v>0.383977470596748</v>
      </c>
      <c r="W228" s="35" t="n">
        <f aca="false">I228^$AB$7*E228</f>
        <v>0.337191347792575</v>
      </c>
      <c r="X228" s="35" t="n">
        <f aca="false">J228^$AB$7*E228</f>
        <v>0.318421290171376</v>
      </c>
      <c r="Y228" s="35" t="n">
        <f aca="false">K228^$AB$7*E228</f>
        <v>0.302053298875955</v>
      </c>
    </row>
    <row r="229" customFormat="false" ht="15" hidden="false" customHeight="false" outlineLevel="0" collapsed="false">
      <c r="A229" s="35" t="n">
        <v>227</v>
      </c>
      <c r="B229" s="35" t="n">
        <f aca="false">C228</f>
        <v>0.0562341325190349</v>
      </c>
      <c r="C229" s="35" t="n">
        <f aca="false">Inputs!$B$23*(Inputs!$B$24/Inputs!$B$23)^(46/60)</f>
        <v>0.0584341413373518</v>
      </c>
      <c r="D229" s="35" t="n">
        <f aca="false">(B229+C229)/2</f>
        <v>0.0573341369281933</v>
      </c>
      <c r="E229" s="35" t="n">
        <f aca="false">C229-B229</f>
        <v>0.00220000881831686</v>
      </c>
      <c r="F229" s="35" t="n">
        <f aca="false">Inputs!$B$16*E229</f>
        <v>4981.69996819669</v>
      </c>
      <c r="G229" s="35" t="n">
        <f aca="false">IF(D229&lt;=Inputs!$B$21,1,IF(D229&lt;=Inputs!$B$22,2,IF(D229&lt;=Inputs!$B$23,3,IF(D229&lt;=Inputs!$B$24,4,5))))</f>
        <v>4</v>
      </c>
      <c r="H229" s="35" t="n">
        <f aca="false">Fit!$B$10*D229^(-1/Fit!$B$9)</f>
        <v>176.874178082478</v>
      </c>
      <c r="I229" s="35" t="n">
        <f aca="false">EXP(Fit!$B$16+Fit!$B$15*-NORMSINV(D229))</f>
        <v>156.793807763959</v>
      </c>
      <c r="J229" s="35" t="n">
        <f aca="false">Fit!$B$22*LN(1/D229)^(1/Fit!$B$21)</f>
        <v>148.653359598463</v>
      </c>
      <c r="K229" s="35" t="n">
        <f aca="false">MAX(0,Fit!$B$28+Fit!$B$27*-NORMSINV(D229))</f>
        <v>141.47770889786</v>
      </c>
      <c r="L229" s="35" t="n">
        <f aca="false">INDEX(H229:K229,1,Inputs!$B$5)</f>
        <v>176.874178082478</v>
      </c>
      <c r="M229" s="35" t="n">
        <f aca="false">L229*E229</f>
        <v>0.389124751513997</v>
      </c>
      <c r="N229" s="35" t="n">
        <f aca="false">L229^$AB$7</f>
        <v>176.874178082478</v>
      </c>
      <c r="O229" s="35" t="n">
        <f aca="false">N229*E229</f>
        <v>0.389124751513997</v>
      </c>
      <c r="P229" s="35" t="n">
        <f aca="false">N229*$AB$3/($AB$4*$AB$1)</f>
        <v>1192831.60753258</v>
      </c>
      <c r="Q229" s="35" t="n">
        <f aca="false">IF(G229&lt;=3,F229*SQRT(P229),0)</f>
        <v>0</v>
      </c>
      <c r="R229" s="35" t="n">
        <f aca="false">SQRT(P229/$AB$6)</f>
        <v>504623067.906227</v>
      </c>
      <c r="S229" s="35" t="n">
        <f aca="false">2*$AB$6*R229</f>
        <v>0.00472761426655286</v>
      </c>
      <c r="T229" s="35" t="n">
        <f aca="false">IF(G229&lt;=3,F229*R229,0)</f>
        <v>0</v>
      </c>
      <c r="U229" s="35" t="n">
        <f aca="false">F229*P229</f>
        <v>5942329181.30904</v>
      </c>
      <c r="V229" s="35" t="n">
        <f aca="false">H229^$AB$7*E229</f>
        <v>0.389124751513997</v>
      </c>
      <c r="W229" s="35" t="n">
        <f aca="false">I229^$AB$7*E229</f>
        <v>0.344947759738188</v>
      </c>
      <c r="X229" s="35" t="n">
        <f aca="false">J229^$AB$7*E229</f>
        <v>0.327038701989045</v>
      </c>
      <c r="Y229" s="35" t="n">
        <f aca="false">K229^$AB$7*E229</f>
        <v>0.311252207170557</v>
      </c>
    </row>
    <row r="230" customFormat="false" ht="15" hidden="false" customHeight="false" outlineLevel="0" collapsed="false">
      <c r="A230" s="35" t="n">
        <v>228</v>
      </c>
      <c r="B230" s="35" t="n">
        <f aca="false">C229</f>
        <v>0.0584341413373518</v>
      </c>
      <c r="C230" s="35" t="n">
        <f aca="false">Inputs!$B$23*(Inputs!$B$24/Inputs!$B$23)^(47/60)</f>
        <v>0.0607202195690989</v>
      </c>
      <c r="D230" s="35" t="n">
        <f aca="false">(B230+C230)/2</f>
        <v>0.0595771804532253</v>
      </c>
      <c r="E230" s="35" t="n">
        <f aca="false">C230-B230</f>
        <v>0.00228607823174708</v>
      </c>
      <c r="F230" s="35" t="n">
        <f aca="false">Inputs!$B$16*E230</f>
        <v>5176.5955479681</v>
      </c>
      <c r="G230" s="35" t="n">
        <f aca="false">IF(D230&lt;=Inputs!$B$21,1,IF(D230&lt;=Inputs!$B$22,2,IF(D230&lt;=Inputs!$B$23,3,IF(D230&lt;=Inputs!$B$24,4,5))))</f>
        <v>4</v>
      </c>
      <c r="H230" s="35" t="n">
        <f aca="false">Fit!$B$10*D230^(-1/Fit!$B$9)</f>
        <v>172.496735719354</v>
      </c>
      <c r="I230" s="35" t="n">
        <f aca="false">EXP(Fit!$B$16+Fit!$B$15*-NORMSINV(D230))</f>
        <v>154.341735327995</v>
      </c>
      <c r="J230" s="35" t="n">
        <f aca="false">Fit!$B$22*LN(1/D230)^(1/Fit!$B$21)</f>
        <v>146.90500762626</v>
      </c>
      <c r="K230" s="35" t="n">
        <f aca="false">MAX(0,Fit!$B$28+Fit!$B$27*-NORMSINV(D230))</f>
        <v>140.27788795032</v>
      </c>
      <c r="L230" s="35" t="n">
        <f aca="false">INDEX(H230:K230,1,Inputs!$B$5)</f>
        <v>172.496735719354</v>
      </c>
      <c r="M230" s="35" t="n">
        <f aca="false">L230*E230</f>
        <v>0.394341032575445</v>
      </c>
      <c r="N230" s="35" t="n">
        <f aca="false">L230^$AB$7</f>
        <v>172.496735719354</v>
      </c>
      <c r="O230" s="35" t="n">
        <f aca="false">N230*E230</f>
        <v>0.394341032575445</v>
      </c>
      <c r="P230" s="35" t="n">
        <f aca="false">N230*$AB$3/($AB$4*$AB$1)</f>
        <v>1163310.33050111</v>
      </c>
      <c r="Q230" s="35" t="n">
        <f aca="false">IF(G230&lt;=3,F230*SQRT(P230),0)</f>
        <v>0</v>
      </c>
      <c r="R230" s="35" t="n">
        <f aca="false">SQRT(P230/$AB$6)</f>
        <v>498339512.181346</v>
      </c>
      <c r="S230" s="35" t="n">
        <f aca="false">2*$AB$6*R230</f>
        <v>0.00466874611410616</v>
      </c>
      <c r="T230" s="35" t="n">
        <f aca="false">IF(G230&lt;=3,F230*R230,0)</f>
        <v>0</v>
      </c>
      <c r="U230" s="35" t="n">
        <f aca="false">F230*P230</f>
        <v>6021987077.77734</v>
      </c>
      <c r="V230" s="35" t="n">
        <f aca="false">H230^$AB$7*E230</f>
        <v>0.394341032575445</v>
      </c>
      <c r="W230" s="35" t="n">
        <f aca="false">I230^$AB$7*E230</f>
        <v>0.3528372813834</v>
      </c>
      <c r="X230" s="35" t="n">
        <f aca="false">J230^$AB$7*E230</f>
        <v>0.335836340069032</v>
      </c>
      <c r="Y230" s="35" t="n">
        <f aca="false">K230^$AB$7*E230</f>
        <v>0.320686226038682</v>
      </c>
    </row>
    <row r="231" customFormat="false" ht="15" hidden="false" customHeight="false" outlineLevel="0" collapsed="false">
      <c r="A231" s="35" t="n">
        <v>229</v>
      </c>
      <c r="B231" s="35" t="n">
        <f aca="false">C230</f>
        <v>0.0607202195690989</v>
      </c>
      <c r="C231" s="35" t="n">
        <f aca="false">Inputs!$B$23*(Inputs!$B$24/Inputs!$B$23)^(48/60)</f>
        <v>0.0630957344480193</v>
      </c>
      <c r="D231" s="35" t="n">
        <f aca="false">(B231+C231)/2</f>
        <v>0.0619079770085591</v>
      </c>
      <c r="E231" s="35" t="n">
        <f aca="false">C231-B231</f>
        <v>0.00237551487892048</v>
      </c>
      <c r="F231" s="35" t="n">
        <f aca="false">Inputs!$B$16*E231</f>
        <v>5379.11589182754</v>
      </c>
      <c r="G231" s="35" t="n">
        <f aca="false">IF(D231&lt;=Inputs!$B$21,1,IF(D231&lt;=Inputs!$B$22,2,IF(D231&lt;=Inputs!$B$23,3,IF(D231&lt;=Inputs!$B$24,4,5))))</f>
        <v>4</v>
      </c>
      <c r="H231" s="35" t="n">
        <f aca="false">Fit!$B$10*D231^(-1/Fit!$B$9)</f>
        <v>168.227630264705</v>
      </c>
      <c r="I231" s="35" t="n">
        <f aca="false">EXP(Fit!$B$16+Fit!$B$15*-NORMSINV(D231))</f>
        <v>151.908049866205</v>
      </c>
      <c r="J231" s="35" t="n">
        <f aca="false">Fit!$B$22*LN(1/D231)^(1/Fit!$B$21)</f>
        <v>145.15368950892</v>
      </c>
      <c r="K231" s="35" t="n">
        <f aca="false">MAX(0,Fit!$B$28+Fit!$B$27*-NORMSINV(D231))</f>
        <v>139.068065675318</v>
      </c>
      <c r="L231" s="35" t="n">
        <f aca="false">INDEX(H231:K231,1,Inputs!$B$5)</f>
        <v>168.227630264705</v>
      </c>
      <c r="M231" s="35" t="n">
        <f aca="false">L231*E231</f>
        <v>0.39962723873934</v>
      </c>
      <c r="N231" s="35" t="n">
        <f aca="false">L231^$AB$7</f>
        <v>168.227630264705</v>
      </c>
      <c r="O231" s="35" t="n">
        <f aca="false">N231*E231</f>
        <v>0.39962723873934</v>
      </c>
      <c r="P231" s="35" t="n">
        <f aca="false">N231*$AB$3/($AB$4*$AB$1)</f>
        <v>1134519.67277254</v>
      </c>
      <c r="Q231" s="35" t="n">
        <f aca="false">IF(G231&lt;=3,F231*SQRT(P231),0)</f>
        <v>0</v>
      </c>
      <c r="R231" s="35" t="n">
        <f aca="false">SQRT(P231/$AB$6)</f>
        <v>492134199.158907</v>
      </c>
      <c r="S231" s="35" t="n">
        <f aca="false">2*$AB$6*R231</f>
        <v>0.00461061098664354</v>
      </c>
      <c r="T231" s="35" t="n">
        <f aca="false">IF(G231&lt;=3,F231*R231,0)</f>
        <v>0</v>
      </c>
      <c r="U231" s="35" t="n">
        <f aca="false">F231*P231</f>
        <v>6102712801.40173</v>
      </c>
      <c r="V231" s="35" t="n">
        <f aca="false">H231^$AB$7*E231</f>
        <v>0.39962723873934</v>
      </c>
      <c r="W231" s="35" t="n">
        <f aca="false">I231^$AB$7*E231</f>
        <v>0.360859832684963</v>
      </c>
      <c r="X231" s="35" t="n">
        <f aca="false">J231^$AB$7*E231</f>
        <v>0.344814749158644</v>
      </c>
      <c r="Y231" s="35" t="n">
        <f aca="false">K231^$AB$7*E231</f>
        <v>0.330358259194407</v>
      </c>
    </row>
    <row r="232" customFormat="false" ht="15" hidden="false" customHeight="false" outlineLevel="0" collapsed="false">
      <c r="A232" s="35" t="n">
        <v>230</v>
      </c>
      <c r="B232" s="35" t="n">
        <f aca="false">C231</f>
        <v>0.0630957344480193</v>
      </c>
      <c r="C232" s="35" t="n">
        <f aca="false">Inputs!$B$23*(Inputs!$B$24/Inputs!$B$23)^(49/60)</f>
        <v>0.0655641849417979</v>
      </c>
      <c r="D232" s="35" t="n">
        <f aca="false">(B232+C232)/2</f>
        <v>0.0643299596949086</v>
      </c>
      <c r="E232" s="35" t="n">
        <f aca="false">C232-B232</f>
        <v>0.00246845049377856</v>
      </c>
      <c r="F232" s="35" t="n">
        <f aca="false">Inputs!$B$16*E232</f>
        <v>5589.55929811216</v>
      </c>
      <c r="G232" s="35" t="n">
        <f aca="false">IF(D232&lt;=Inputs!$B$21,1,IF(D232&lt;=Inputs!$B$22,2,IF(D232&lt;=Inputs!$B$23,3,IF(D232&lt;=Inputs!$B$24,4,5))))</f>
        <v>4</v>
      </c>
      <c r="H232" s="35" t="n">
        <f aca="false">Fit!$B$10*D232^(-1/Fit!$B$9)</f>
        <v>164.064180498594</v>
      </c>
      <c r="I232" s="35" t="n">
        <f aca="false">EXP(Fit!$B$16+Fit!$B$15*-NORMSINV(D232))</f>
        <v>149.492633551041</v>
      </c>
      <c r="J232" s="35" t="n">
        <f aca="false">Fit!$B$22*LN(1/D232)^(1/Fit!$B$21)</f>
        <v>143.399359191828</v>
      </c>
      <c r="K232" s="35" t="n">
        <f aca="false">MAX(0,Fit!$B$28+Fit!$B$27*-NORMSINV(D232))</f>
        <v>137.84800665691</v>
      </c>
      <c r="L232" s="35" t="n">
        <f aca="false">INDEX(H232:K232,1,Inputs!$B$5)</f>
        <v>164.064180498594</v>
      </c>
      <c r="M232" s="35" t="n">
        <f aca="false">L232*E232</f>
        <v>0.404984307363128</v>
      </c>
      <c r="N232" s="35" t="n">
        <f aca="false">L232^$AB$7</f>
        <v>164.064180498594</v>
      </c>
      <c r="O232" s="35" t="n">
        <f aca="false">N232*E232</f>
        <v>0.404984307363128</v>
      </c>
      <c r="P232" s="35" t="n">
        <f aca="false">N232*$AB$3/($AB$4*$AB$1)</f>
        <v>1106441.5523186</v>
      </c>
      <c r="Q232" s="35" t="n">
        <f aca="false">IF(G232&lt;=3,F232*SQRT(P232),0)</f>
        <v>0</v>
      </c>
      <c r="R232" s="35" t="n">
        <f aca="false">SQRT(P232/$AB$6)</f>
        <v>486006154.562441</v>
      </c>
      <c r="S232" s="35" t="n">
        <f aca="false">2*$AB$6*R232</f>
        <v>0.00455319975655346</v>
      </c>
      <c r="T232" s="35" t="n">
        <f aca="false">IF(G232&lt;=3,F232*R232,0)</f>
        <v>0</v>
      </c>
      <c r="U232" s="35" t="n">
        <f aca="false">F232*P232</f>
        <v>6184520666.58006</v>
      </c>
      <c r="V232" s="35" t="n">
        <f aca="false">H232^$AB$7*E232</f>
        <v>0.404984307363128</v>
      </c>
      <c r="W232" s="35" t="n">
        <f aca="false">I232^$AB$7*E232</f>
        <v>0.369015165105324</v>
      </c>
      <c r="X232" s="35" t="n">
        <f aca="false">J232^$AB$7*E232</f>
        <v>0.353974219004597</v>
      </c>
      <c r="Y232" s="35" t="n">
        <f aca="false">K232^$AB$7*E232</f>
        <v>0.34027098009864</v>
      </c>
    </row>
    <row r="233" customFormat="false" ht="15" hidden="false" customHeight="false" outlineLevel="0" collapsed="false">
      <c r="A233" s="35" t="n">
        <v>231</v>
      </c>
      <c r="B233" s="35" t="n">
        <f aca="false">C232</f>
        <v>0.0655641849417979</v>
      </c>
      <c r="C233" s="35" t="n">
        <f aca="false">Inputs!$B$23*(Inputs!$B$24/Inputs!$B$23)^(50/60)</f>
        <v>0.0681292069057961</v>
      </c>
      <c r="D233" s="35" t="n">
        <f aca="false">(B233+C233)/2</f>
        <v>0.066846695923797</v>
      </c>
      <c r="E233" s="35" t="n">
        <f aca="false">C233-B233</f>
        <v>0.00256502196399824</v>
      </c>
      <c r="F233" s="35" t="n">
        <f aca="false">Inputs!$B$16*E233</f>
        <v>5808.23573527762</v>
      </c>
      <c r="G233" s="35" t="n">
        <f aca="false">IF(D233&lt;=Inputs!$B$21,1,IF(D233&lt;=Inputs!$B$22,2,IF(D233&lt;=Inputs!$B$23,3,IF(D233&lt;=Inputs!$B$24,4,5))))</f>
        <v>4</v>
      </c>
      <c r="H233" s="35" t="n">
        <f aca="false">Fit!$B$10*D233^(-1/Fit!$B$9)</f>
        <v>160.003771558342</v>
      </c>
      <c r="I233" s="35" t="n">
        <f aca="false">EXP(Fit!$B$16+Fit!$B$15*-NORMSINV(D233))</f>
        <v>147.095367912414</v>
      </c>
      <c r="J233" s="35" t="n">
        <f aca="false">Fit!$B$22*LN(1/D233)^(1/Fit!$B$21)</f>
        <v>141.64196925047</v>
      </c>
      <c r="K233" s="35" t="n">
        <f aca="false">MAX(0,Fit!$B$28+Fit!$B$27*-NORMSINV(D233))</f>
        <v>136.617466417215</v>
      </c>
      <c r="L233" s="35" t="n">
        <f aca="false">INDEX(H233:K233,1,Inputs!$B$5)</f>
        <v>160.003771558342</v>
      </c>
      <c r="M233" s="35" t="n">
        <f aca="false">L233*E233</f>
        <v>0.410413188369706</v>
      </c>
      <c r="N233" s="35" t="n">
        <f aca="false">L233^$AB$7</f>
        <v>160.003771558342</v>
      </c>
      <c r="O233" s="35" t="n">
        <f aca="false">N233*E233</f>
        <v>0.410413188369706</v>
      </c>
      <c r="P233" s="35" t="n">
        <f aca="false">N233*$AB$3/($AB$4*$AB$1)</f>
        <v>1079058.33462143</v>
      </c>
      <c r="Q233" s="35" t="n">
        <f aca="false">IF(G233&lt;=3,F233*SQRT(P233),0)</f>
        <v>0</v>
      </c>
      <c r="R233" s="35" t="n">
        <f aca="false">SQRT(P233/$AB$6)</f>
        <v>479954416.247149</v>
      </c>
      <c r="S233" s="35" t="n">
        <f aca="false">2*$AB$6*R233</f>
        <v>0.00449650340988122</v>
      </c>
      <c r="T233" s="35" t="n">
        <f aca="false">IF(G233&lt;=3,F233*R233,0)</f>
        <v>0</v>
      </c>
      <c r="U233" s="35" t="n">
        <f aca="false">F233*P233</f>
        <v>6267425179.59735</v>
      </c>
      <c r="V233" s="35" t="n">
        <f aca="false">H233^$AB$7*E233</f>
        <v>0.410413188369706</v>
      </c>
      <c r="W233" s="35" t="n">
        <f aca="false">I233^$AB$7*E233</f>
        <v>0.377302849497744</v>
      </c>
      <c r="X233" s="35" t="n">
        <f aca="false">J233^$AB$7*E233</f>
        <v>0.363314762151418</v>
      </c>
      <c r="Y233" s="35" t="n">
        <f aca="false">K233^$AB$7*E233</f>
        <v>0.350426802025949</v>
      </c>
    </row>
    <row r="234" customFormat="false" ht="15" hidden="false" customHeight="false" outlineLevel="0" collapsed="false">
      <c r="A234" s="35" t="n">
        <v>232</v>
      </c>
      <c r="B234" s="35" t="n">
        <f aca="false">C233</f>
        <v>0.0681292069057961</v>
      </c>
      <c r="C234" s="35" t="n">
        <f aca="false">Inputs!$B$23*(Inputs!$B$24/Inputs!$B$23)^(51/60)</f>
        <v>0.0707945784384138</v>
      </c>
      <c r="D234" s="35" t="n">
        <f aca="false">(B234+C234)/2</f>
        <v>0.069461892672105</v>
      </c>
      <c r="E234" s="35" t="n">
        <f aca="false">C234-B234</f>
        <v>0.00266537153261766</v>
      </c>
      <c r="F234" s="35" t="n">
        <f aca="false">Inputs!$B$16*E234</f>
        <v>6035.46729845942</v>
      </c>
      <c r="G234" s="35" t="n">
        <f aca="false">IF(D234&lt;=Inputs!$B$21,1,IF(D234&lt;=Inputs!$B$22,2,IF(D234&lt;=Inputs!$B$23,3,IF(D234&lt;=Inputs!$B$24,4,5))))</f>
        <v>4</v>
      </c>
      <c r="H234" s="35" t="n">
        <f aca="false">Fit!$B$10*D234^(-1/Fit!$B$9)</f>
        <v>156.043853296263</v>
      </c>
      <c r="I234" s="35" t="n">
        <f aca="false">EXP(Fit!$B$16+Fit!$B$15*-NORMSINV(D234))</f>
        <v>144.716133780545</v>
      </c>
      <c r="J234" s="35" t="n">
        <f aca="false">Fit!$B$22*LN(1/D234)^(1/Fit!$B$21)</f>
        <v>139.881470829651</v>
      </c>
      <c r="K234" s="35" t="n">
        <f aca="false">MAX(0,Fit!$B$28+Fit!$B$27*-NORMSINV(D234))</f>
        <v>135.376190930291</v>
      </c>
      <c r="L234" s="35" t="n">
        <f aca="false">INDEX(H234:K234,1,Inputs!$B$5)</f>
        <v>156.043853296263</v>
      </c>
      <c r="M234" s="35" t="n">
        <f aca="false">L234*E234</f>
        <v>0.415914844415826</v>
      </c>
      <c r="N234" s="35" t="n">
        <f aca="false">L234^$AB$7</f>
        <v>156.043853296263</v>
      </c>
      <c r="O234" s="35" t="n">
        <f aca="false">N234*E234</f>
        <v>0.415914844415826</v>
      </c>
      <c r="P234" s="35" t="n">
        <f aca="false">N234*$AB$3/($AB$4*$AB$1)</f>
        <v>1052352.82159821</v>
      </c>
      <c r="Q234" s="35" t="n">
        <f aca="false">IF(G234&lt;=3,F234*SQRT(P234),0)</f>
        <v>0</v>
      </c>
      <c r="R234" s="35" t="n">
        <f aca="false">SQRT(P234/$AB$6)</f>
        <v>473978034.048839</v>
      </c>
      <c r="S234" s="35" t="n">
        <f aca="false">2*$AB$6*R234</f>
        <v>0.00444051304491369</v>
      </c>
      <c r="T234" s="35" t="n">
        <f aca="false">IF(G234&lt;=3,F234*R234,0)</f>
        <v>0</v>
      </c>
      <c r="U234" s="35" t="n">
        <f aca="false">F234*P234</f>
        <v>6351441041.19748</v>
      </c>
      <c r="V234" s="35" t="n">
        <f aca="false">H234^$AB$7*E234</f>
        <v>0.415914844415826</v>
      </c>
      <c r="W234" s="35" t="n">
        <f aca="false">I234^$AB$7*E234</f>
        <v>0.385722263289152</v>
      </c>
      <c r="X234" s="35" t="n">
        <f aca="false">J234^$AB$7*E234</f>
        <v>0.37283609029004</v>
      </c>
      <c r="Y234" s="35" t="n">
        <f aca="false">K234^$AB$7*E234</f>
        <v>0.36082784549981</v>
      </c>
    </row>
    <row r="235" customFormat="false" ht="15" hidden="false" customHeight="false" outlineLevel="0" collapsed="false">
      <c r="A235" s="35" t="n">
        <v>233</v>
      </c>
      <c r="B235" s="35" t="n">
        <f aca="false">C234</f>
        <v>0.0707945784384138</v>
      </c>
      <c r="C235" s="35" t="n">
        <f aca="false">Inputs!$B$23*(Inputs!$B$24/Inputs!$B$23)^(52/60)</f>
        <v>0.0735642254459641</v>
      </c>
      <c r="D235" s="35" t="n">
        <f aca="false">(B235+C235)/2</f>
        <v>0.072179401942189</v>
      </c>
      <c r="E235" s="35" t="n">
        <f aca="false">C235-B235</f>
        <v>0.00276964700755035</v>
      </c>
      <c r="F235" s="35" t="n">
        <f aca="false">Inputs!$B$16*E235</f>
        <v>6271.58868389701</v>
      </c>
      <c r="G235" s="35" t="n">
        <f aca="false">IF(D235&lt;=Inputs!$B$21,1,IF(D235&lt;=Inputs!$B$22,2,IF(D235&lt;=Inputs!$B$23,3,IF(D235&lt;=Inputs!$B$24,4,5))))</f>
        <v>4</v>
      </c>
      <c r="H235" s="35" t="n">
        <f aca="false">Fit!$B$10*D235^(-1/Fit!$B$9)</f>
        <v>152.181938678033</v>
      </c>
      <c r="I235" s="35" t="n">
        <f aca="false">EXP(Fit!$B$16+Fit!$B$15*-NORMSINV(D235))</f>
        <v>142.354811224862</v>
      </c>
      <c r="J235" s="35" t="n">
        <f aca="false">Fit!$B$22*LN(1/D235)^(1/Fit!$B$21)</f>
        <v>138.117813579112</v>
      </c>
      <c r="K235" s="35" t="n">
        <f aca="false">MAX(0,Fit!$B$28+Fit!$B$27*-NORMSINV(D235))</f>
        <v>134.123916102418</v>
      </c>
      <c r="L235" s="35" t="n">
        <f aca="false">INDEX(H235:K235,1,Inputs!$B$5)</f>
        <v>152.181938678033</v>
      </c>
      <c r="M235" s="35" t="n">
        <f aca="false">L235*E235</f>
        <v>0.421490251062825</v>
      </c>
      <c r="N235" s="35" t="n">
        <f aca="false">L235^$AB$7</f>
        <v>152.181938678033</v>
      </c>
      <c r="O235" s="35" t="n">
        <f aca="false">N235*E235</f>
        <v>0.421490251062825</v>
      </c>
      <c r="P235" s="35" t="n">
        <f aca="false">N235*$AB$3/($AB$4*$AB$1)</f>
        <v>1026308.24079982</v>
      </c>
      <c r="Q235" s="35" t="n">
        <f aca="false">IF(G235&lt;=3,F235*SQRT(P235),0)</f>
        <v>0</v>
      </c>
      <c r="R235" s="35" t="n">
        <f aca="false">SQRT(P235/$AB$6)</f>
        <v>468076069.634741</v>
      </c>
      <c r="S235" s="35" t="n">
        <f aca="false">2*$AB$6*R235</f>
        <v>0.00438521987078166</v>
      </c>
      <c r="T235" s="35" t="n">
        <f aca="false">IF(G235&lt;=3,F235*R235,0)</f>
        <v>0</v>
      </c>
      <c r="U235" s="35" t="n">
        <f aca="false">F235*P235</f>
        <v>6436583149.19042</v>
      </c>
      <c r="V235" s="35" t="n">
        <f aca="false">H235^$AB$7*E235</f>
        <v>0.421490251062825</v>
      </c>
      <c r="W235" s="35" t="n">
        <f aca="false">I235^$AB$7*E235</f>
        <v>0.394272576919335</v>
      </c>
      <c r="X235" s="35" t="n">
        <f aca="false">J235^$AB$7*E235</f>
        <v>0.382537589068784</v>
      </c>
      <c r="Y235" s="35" t="n">
        <f aca="false">K235^$AB$7*E235</f>
        <v>0.371475902873996</v>
      </c>
    </row>
    <row r="236" customFormat="false" ht="15" hidden="false" customHeight="false" outlineLevel="0" collapsed="false">
      <c r="A236" s="35" t="n">
        <v>234</v>
      </c>
      <c r="B236" s="35" t="n">
        <f aca="false">C235</f>
        <v>0.0735642254459641</v>
      </c>
      <c r="C236" s="35" t="n">
        <f aca="false">Inputs!$B$23*(Inputs!$B$24/Inputs!$B$23)^(53/60)</f>
        <v>0.07644222742526</v>
      </c>
      <c r="D236" s="35" t="n">
        <f aca="false">(B236+C236)/2</f>
        <v>0.0750032264356121</v>
      </c>
      <c r="E236" s="35" t="n">
        <f aca="false">C236-B236</f>
        <v>0.00287800197929589</v>
      </c>
      <c r="F236" s="35" t="n">
        <f aca="false">Inputs!$B$16*E236</f>
        <v>6516.9476819176</v>
      </c>
      <c r="G236" s="35" t="n">
        <f aca="false">IF(D236&lt;=Inputs!$B$21,1,IF(D236&lt;=Inputs!$B$22,2,IF(D236&lt;=Inputs!$B$23,3,IF(D236&lt;=Inputs!$B$24,4,5))))</f>
        <v>4</v>
      </c>
      <c r="H236" s="35" t="n">
        <f aca="false">Fit!$B$10*D236^(-1/Fit!$B$9)</f>
        <v>148.415602220708</v>
      </c>
      <c r="I236" s="35" t="n">
        <f aca="false">EXP(Fit!$B$16+Fit!$B$15*-NORMSINV(D236))</f>
        <v>140.011279488602</v>
      </c>
      <c r="J236" s="35" t="n">
        <f aca="false">Fit!$B$22*LN(1/D236)^(1/Fit!$B$21)</f>
        <v>136.350945585248</v>
      </c>
      <c r="K236" s="35" t="n">
        <f aca="false">MAX(0,Fit!$B$28+Fit!$B$27*-NORMSINV(D236))</f>
        <v>132.860367215919</v>
      </c>
      <c r="L236" s="35" t="n">
        <f aca="false">INDEX(H236:K236,1,Inputs!$B$5)</f>
        <v>148.415602220708</v>
      </c>
      <c r="M236" s="35" t="n">
        <f aca="false">L236*E236</f>
        <v>0.427140396949588</v>
      </c>
      <c r="N236" s="35" t="n">
        <f aca="false">L236^$AB$7</f>
        <v>148.415602220708</v>
      </c>
      <c r="O236" s="35" t="n">
        <f aca="false">N236*E236</f>
        <v>0.427140396949588</v>
      </c>
      <c r="P236" s="35" t="n">
        <f aca="false">N236*$AB$3/($AB$4*$AB$1)</f>
        <v>1000908.23487694</v>
      </c>
      <c r="Q236" s="35" t="n">
        <f aca="false">IF(G236&lt;=3,F236*SQRT(P236),0)</f>
        <v>0</v>
      </c>
      <c r="R236" s="35" t="n">
        <f aca="false">SQRT(P236/$AB$6)</f>
        <v>462247596.356187</v>
      </c>
      <c r="S236" s="35" t="n">
        <f aca="false">2*$AB$6*R236</f>
        <v>0.00433061520607967</v>
      </c>
      <c r="T236" s="35" t="n">
        <f aca="false">IF(G236&lt;=3,F236*R236,0)</f>
        <v>0</v>
      </c>
      <c r="U236" s="35" t="n">
        <f aca="false">F236*P236</f>
        <v>6522866601.09351</v>
      </c>
      <c r="V236" s="35" t="n">
        <f aca="false">H236^$AB$7*E236</f>
        <v>0.427140396949588</v>
      </c>
      <c r="W236" s="35" t="n">
        <f aca="false">I236^$AB$7*E236</f>
        <v>0.402952739491947</v>
      </c>
      <c r="X236" s="35" t="n">
        <f aca="false">J236^$AB$7*E236</f>
        <v>0.392418291273208</v>
      </c>
      <c r="Y236" s="35" t="n">
        <f aca="false">K236^$AB$7*E236</f>
        <v>0.382372399817393</v>
      </c>
    </row>
    <row r="237" customFormat="false" ht="15" hidden="false" customHeight="false" outlineLevel="0" collapsed="false">
      <c r="A237" s="35" t="n">
        <v>235</v>
      </c>
      <c r="B237" s="35" t="n">
        <f aca="false">C236</f>
        <v>0.07644222742526</v>
      </c>
      <c r="C237" s="35" t="n">
        <f aca="false">Inputs!$B$23*(Inputs!$B$24/Inputs!$B$23)^(54/60)</f>
        <v>0.0794328234724282</v>
      </c>
      <c r="D237" s="35" t="n">
        <f aca="false">(B237+C237)/2</f>
        <v>0.0779375254488441</v>
      </c>
      <c r="E237" s="35" t="n">
        <f aca="false">C237-B237</f>
        <v>0.00299059604716814</v>
      </c>
      <c r="F237" s="35" t="n">
        <f aca="false">Inputs!$B$16*E237</f>
        <v>6771.90568920754</v>
      </c>
      <c r="G237" s="35" t="n">
        <f aca="false">IF(D237&lt;=Inputs!$B$21,1,IF(D237&lt;=Inputs!$B$22,2,IF(D237&lt;=Inputs!$B$23,3,IF(D237&lt;=Inputs!$B$24,4,5))))</f>
        <v>4</v>
      </c>
      <c r="H237" s="35" t="n">
        <f aca="false">Fit!$B$10*D237^(-1/Fit!$B$9)</f>
        <v>144.742478469391</v>
      </c>
      <c r="I237" s="35" t="n">
        <f aca="false">EXP(Fit!$B$16+Fit!$B$15*-NORMSINV(D237))</f>
        <v>137.685416918734</v>
      </c>
      <c r="J237" s="35" t="n">
        <f aca="false">Fit!$B$22*LN(1/D237)^(1/Fit!$B$21)</f>
        <v>134.580813298664</v>
      </c>
      <c r="K237" s="35" t="n">
        <f aca="false">MAX(0,Fit!$B$28+Fit!$B$27*-NORMSINV(D237))</f>
        <v>131.58525833337</v>
      </c>
      <c r="L237" s="35" t="n">
        <f aca="false">INDEX(H237:K237,1,Inputs!$B$5)</f>
        <v>144.742478469391</v>
      </c>
      <c r="M237" s="35" t="n">
        <f aca="false">L237*E237</f>
        <v>0.43286628396788</v>
      </c>
      <c r="N237" s="35" t="n">
        <f aca="false">L237^$AB$7</f>
        <v>144.742478469391</v>
      </c>
      <c r="O237" s="35" t="n">
        <f aca="false">N237*E237</f>
        <v>0.43286628396788</v>
      </c>
      <c r="P237" s="35" t="n">
        <f aca="false">N237*$AB$3/($AB$4*$AB$1)</f>
        <v>976136.851306713</v>
      </c>
      <c r="Q237" s="35" t="n">
        <f aca="false">IF(G237&lt;=3,F237*SQRT(P237),0)</f>
        <v>0</v>
      </c>
      <c r="R237" s="35" t="n">
        <f aca="false">SQRT(P237/$AB$6)</f>
        <v>456491699.103119</v>
      </c>
      <c r="S237" s="35" t="n">
        <f aca="false">2*$AB$6*R237</f>
        <v>0.0042766904775029</v>
      </c>
      <c r="T237" s="35" t="n">
        <f aca="false">IF(G237&lt;=3,F237*R237,0)</f>
        <v>0</v>
      </c>
      <c r="U237" s="35" t="n">
        <f aca="false">F237*P237</f>
        <v>6610306696.80906</v>
      </c>
      <c r="V237" s="35" t="n">
        <f aca="false">H237^$AB$7*E237</f>
        <v>0.43286628396788</v>
      </c>
      <c r="W237" s="35" t="n">
        <f aca="false">I237^$AB$7*E237</f>
        <v>0.411761463589865</v>
      </c>
      <c r="X237" s="35" t="n">
        <f aca="false">J237^$AB$7*E237</f>
        <v>0.402476848275659</v>
      </c>
      <c r="Y237" s="35" t="n">
        <f aca="false">K237^$AB$7*E237</f>
        <v>0.393518353437375</v>
      </c>
    </row>
    <row r="238" customFormat="false" ht="15" hidden="false" customHeight="false" outlineLevel="0" collapsed="false">
      <c r="A238" s="35" t="n">
        <v>236</v>
      </c>
      <c r="B238" s="35" t="n">
        <f aca="false">C237</f>
        <v>0.0794328234724282</v>
      </c>
      <c r="C238" s="35" t="n">
        <f aca="false">Inputs!$B$23*(Inputs!$B$24/Inputs!$B$23)^(55/60)</f>
        <v>0.0825404185268018</v>
      </c>
      <c r="D238" s="35" t="n">
        <f aca="false">(B238+C238)/2</f>
        <v>0.080986620999615</v>
      </c>
      <c r="E238" s="35" t="n">
        <f aca="false">C238-B238</f>
        <v>0.00310759505437366</v>
      </c>
      <c r="F238" s="35" t="n">
        <f aca="false">Inputs!$B$16*E238</f>
        <v>7036.83824112372</v>
      </c>
      <c r="G238" s="35" t="n">
        <f aca="false">IF(D238&lt;=Inputs!$B$21,1,IF(D238&lt;=Inputs!$B$22,2,IF(D238&lt;=Inputs!$B$23,3,IF(D238&lt;=Inputs!$B$24,4,5))))</f>
        <v>4</v>
      </c>
      <c r="H238" s="35" t="n">
        <f aca="false">Fit!$B$10*D238^(-1/Fit!$B$9)</f>
        <v>141.160260511606</v>
      </c>
      <c r="I238" s="35" t="n">
        <f aca="false">EXP(Fit!$B$16+Fit!$B$15*-NORMSINV(D238))</f>
        <v>135.377100890809</v>
      </c>
      <c r="J238" s="35" t="n">
        <f aca="false">Fit!$B$22*LN(1/D238)^(1/Fit!$B$21)</f>
        <v>132.807361457228</v>
      </c>
      <c r="K238" s="35" t="n">
        <f aca="false">MAX(0,Fit!$B$28+Fit!$B$27*-NORMSINV(D238))</f>
        <v>130.298291658744</v>
      </c>
      <c r="L238" s="35" t="n">
        <f aca="false">INDEX(H238:K238,1,Inputs!$B$5)</f>
        <v>141.160260511606</v>
      </c>
      <c r="M238" s="35" t="n">
        <f aca="false">L238*E238</f>
        <v>0.438668927439965</v>
      </c>
      <c r="N238" s="35" t="n">
        <f aca="false">L238^$AB$7</f>
        <v>141.160260511606</v>
      </c>
      <c r="O238" s="35" t="n">
        <f aca="false">N238*E238</f>
        <v>0.438668927439965</v>
      </c>
      <c r="P238" s="35" t="n">
        <f aca="false">N238*$AB$3/($AB$4*$AB$1)</f>
        <v>951978.532373784</v>
      </c>
      <c r="Q238" s="35" t="n">
        <f aca="false">IF(G238&lt;=3,F238*SQRT(P238),0)</f>
        <v>0</v>
      </c>
      <c r="R238" s="35" t="n">
        <f aca="false">SQRT(P238/$AB$6)</f>
        <v>450807474.160407</v>
      </c>
      <c r="S238" s="35" t="n">
        <f aca="false">2*$AB$6*R238</f>
        <v>0.00422343721850117</v>
      </c>
      <c r="T238" s="35" t="n">
        <f aca="false">IF(G238&lt;=3,F238*R238,0)</f>
        <v>0</v>
      </c>
      <c r="U238" s="35" t="n">
        <f aca="false">F238*P238</f>
        <v>6698918941.33668</v>
      </c>
      <c r="V238" s="35" t="n">
        <f aca="false">H238^$AB$7*E238</f>
        <v>0.438668927439965</v>
      </c>
      <c r="W238" s="35" t="n">
        <f aca="false">I238^$AB$7*E238</f>
        <v>0.420697209203723</v>
      </c>
      <c r="X238" s="35" t="n">
        <f aca="false">J238^$AB$7*E238</f>
        <v>0.412711499648898</v>
      </c>
      <c r="Y238" s="35" t="n">
        <f aca="false">K238^$AB$7*E238</f>
        <v>0.404914326752051</v>
      </c>
    </row>
    <row r="239" customFormat="false" ht="15" hidden="false" customHeight="false" outlineLevel="0" collapsed="false">
      <c r="A239" s="35" t="n">
        <v>237</v>
      </c>
      <c r="B239" s="35" t="n">
        <f aca="false">C238</f>
        <v>0.0825404185268018</v>
      </c>
      <c r="C239" s="35" t="n">
        <f aca="false">Inputs!$B$23*(Inputs!$B$24/Inputs!$B$23)^(56/60)</f>
        <v>0.0857695898590894</v>
      </c>
      <c r="D239" s="35" t="n">
        <f aca="false">(B239+C239)/2</f>
        <v>0.0841550041929456</v>
      </c>
      <c r="E239" s="35" t="n">
        <f aca="false">C239-B239</f>
        <v>0.00322917133228759</v>
      </c>
      <c r="F239" s="35" t="n">
        <f aca="false">Inputs!$B$16*E239</f>
        <v>7312.13556483202</v>
      </c>
      <c r="G239" s="35" t="n">
        <f aca="false">IF(D239&lt;=Inputs!$B$21,1,IF(D239&lt;=Inputs!$B$22,2,IF(D239&lt;=Inputs!$B$23,3,IF(D239&lt;=Inputs!$B$24,4,5))))</f>
        <v>4</v>
      </c>
      <c r="H239" s="35" t="n">
        <f aca="false">Fit!$B$10*D239^(-1/Fit!$B$9)</f>
        <v>137.666698528438</v>
      </c>
      <c r="I239" s="35" t="n">
        <f aca="false">EXP(Fit!$B$16+Fit!$B$15*-NORMSINV(D239))</f>
        <v>133.086207728272</v>
      </c>
      <c r="J239" s="35" t="n">
        <f aca="false">Fit!$B$22*LN(1/D239)^(1/Fit!$B$21)</f>
        <v>131.030533004268</v>
      </c>
      <c r="K239" s="35" t="n">
        <f aca="false">MAX(0,Fit!$B$28+Fit!$B$27*-NORMSINV(D239))</f>
        <v>128.999156851645</v>
      </c>
      <c r="L239" s="35" t="n">
        <f aca="false">INDEX(H239:K239,1,Inputs!$B$5)</f>
        <v>137.666698528438</v>
      </c>
      <c r="M239" s="35" t="n">
        <f aca="false">L239*E239</f>
        <v>0.444549356298709</v>
      </c>
      <c r="N239" s="35" t="n">
        <f aca="false">L239^$AB$7</f>
        <v>137.666698528438</v>
      </c>
      <c r="O239" s="35" t="n">
        <f aca="false">N239*E239</f>
        <v>0.444549356298709</v>
      </c>
      <c r="P239" s="35" t="n">
        <f aca="false">N239*$AB$3/($AB$4*$AB$1)</f>
        <v>928418.105399225</v>
      </c>
      <c r="Q239" s="35" t="n">
        <f aca="false">IF(G239&lt;=3,F239*SQRT(P239),0)</f>
        <v>0</v>
      </c>
      <c r="R239" s="35" t="n">
        <f aca="false">SQRT(P239/$AB$6)</f>
        <v>445194029.065966</v>
      </c>
      <c r="S239" s="35" t="n">
        <f aca="false">2*$AB$6*R239</f>
        <v>0.00417084706794959</v>
      </c>
      <c r="T239" s="35" t="n">
        <f aca="false">IF(G239&lt;=3,F239*R239,0)</f>
        <v>0</v>
      </c>
      <c r="U239" s="35" t="n">
        <f aca="false">F239*P239</f>
        <v>6788719047.52363</v>
      </c>
      <c r="V239" s="35" t="n">
        <f aca="false">H239^$AB$7*E239</f>
        <v>0.444549356298709</v>
      </c>
      <c r="W239" s="35" t="n">
        <f aca="false">I239^$AB$7*E239</f>
        <v>0.429758166719007</v>
      </c>
      <c r="X239" s="35" t="n">
        <f aca="false">J239^$AB$7*E239</f>
        <v>0.423120040831746</v>
      </c>
      <c r="Y239" s="35" t="n">
        <f aca="false">K239^$AB$7*E239</f>
        <v>0.416560379194602</v>
      </c>
    </row>
    <row r="240" customFormat="false" ht="15" hidden="false" customHeight="false" outlineLevel="0" collapsed="false">
      <c r="A240" s="35" t="n">
        <v>238</v>
      </c>
      <c r="B240" s="35" t="n">
        <f aca="false">C239</f>
        <v>0.0857695898590894</v>
      </c>
      <c r="C240" s="35" t="n">
        <f aca="false">Inputs!$B$23*(Inputs!$B$24/Inputs!$B$23)^(57/60)</f>
        <v>0.0891250938133745</v>
      </c>
      <c r="D240" s="35" t="n">
        <f aca="false">(B240+C240)/2</f>
        <v>0.087447341836232</v>
      </c>
      <c r="E240" s="35" t="n">
        <f aca="false">C240-B240</f>
        <v>0.00335550395428512</v>
      </c>
      <c r="F240" s="35" t="n">
        <f aca="false">Inputs!$B$16*E240</f>
        <v>7598.20315408322</v>
      </c>
      <c r="G240" s="35" t="n">
        <f aca="false">IF(D240&lt;=Inputs!$B$21,1,IF(D240&lt;=Inputs!$B$22,2,IF(D240&lt;=Inputs!$B$23,3,IF(D240&lt;=Inputs!$B$24,4,5))))</f>
        <v>4</v>
      </c>
      <c r="H240" s="35" t="n">
        <f aca="false">Fit!$B$10*D240^(-1/Fit!$B$9)</f>
        <v>134.259598381526</v>
      </c>
      <c r="I240" s="35" t="n">
        <f aca="false">EXP(Fit!$B$16+Fit!$B$15*-NORMSINV(D240))</f>
        <v>130.812612615741</v>
      </c>
      <c r="J240" s="35" t="n">
        <f aca="false">Fit!$B$22*LN(1/D240)^(1/Fit!$B$21)</f>
        <v>129.250269001537</v>
      </c>
      <c r="K240" s="35" t="n">
        <f aca="false">MAX(0,Fit!$B$28+Fit!$B$27*-NORMSINV(D240))</f>
        <v>127.687530290394</v>
      </c>
      <c r="L240" s="35" t="n">
        <f aca="false">INDEX(H240:K240,1,Inputs!$B$5)</f>
        <v>134.259598381526</v>
      </c>
      <c r="M240" s="35" t="n">
        <f aca="false">L240*E240</f>
        <v>0.450508613269942</v>
      </c>
      <c r="N240" s="35" t="n">
        <f aca="false">L240^$AB$7</f>
        <v>134.259598381526</v>
      </c>
      <c r="O240" s="35" t="n">
        <f aca="false">N240*E240</f>
        <v>0.450508613269942</v>
      </c>
      <c r="P240" s="35" t="n">
        <f aca="false">N240*$AB$3/($AB$4*$AB$1)</f>
        <v>905440.773211309</v>
      </c>
      <c r="Q240" s="35" t="n">
        <f aca="false">IF(G240&lt;=3,F240*SQRT(P240),0)</f>
        <v>0</v>
      </c>
      <c r="R240" s="35" t="n">
        <f aca="false">SQRT(P240/$AB$6)</f>
        <v>439650482.470629</v>
      </c>
      <c r="S240" s="35" t="n">
        <f aca="false">2*$AB$6*R240</f>
        <v>0.00411891176883582</v>
      </c>
      <c r="T240" s="35" t="n">
        <f aca="false">IF(G240&lt;=3,F240*R240,0)</f>
        <v>0</v>
      </c>
      <c r="U240" s="35" t="n">
        <f aca="false">F240*P240</f>
        <v>6879722938.84972</v>
      </c>
      <c r="V240" s="35" t="n">
        <f aca="false">H240^$AB$7*E240</f>
        <v>0.450508613269942</v>
      </c>
      <c r="W240" s="35" t="n">
        <f aca="false">I240^$AB$7*E240</f>
        <v>0.438942238902486</v>
      </c>
      <c r="X240" s="35" t="n">
        <f aca="false">J240^$AB$7*E240</f>
        <v>0.433699788727074</v>
      </c>
      <c r="Y240" s="35" t="n">
        <f aca="false">K240^$AB$7*E240</f>
        <v>0.428456012802319</v>
      </c>
    </row>
    <row r="241" customFormat="false" ht="15" hidden="false" customHeight="false" outlineLevel="0" collapsed="false">
      <c r="A241" s="35" t="n">
        <v>239</v>
      </c>
      <c r="B241" s="35" t="n">
        <f aca="false">C240</f>
        <v>0.0891250938133745</v>
      </c>
      <c r="C241" s="35" t="n">
        <f aca="false">Inputs!$B$23*(Inputs!$B$24/Inputs!$B$23)^(58/60)</f>
        <v>0.0926118728128794</v>
      </c>
      <c r="D241" s="35" t="n">
        <f aca="false">(B241+C241)/2</f>
        <v>0.0908684833131269</v>
      </c>
      <c r="E241" s="35" t="n">
        <f aca="false">C241-B241</f>
        <v>0.00348677899950481</v>
      </c>
      <c r="F241" s="35" t="n">
        <f aca="false">Inputs!$B$16*E241</f>
        <v>7895.46236647869</v>
      </c>
      <c r="G241" s="35" t="n">
        <f aca="false">IF(D241&lt;=Inputs!$B$21,1,IF(D241&lt;=Inputs!$B$22,2,IF(D241&lt;=Inputs!$B$23,3,IF(D241&lt;=Inputs!$B$24,4,5))))</f>
        <v>4</v>
      </c>
      <c r="H241" s="35" t="n">
        <f aca="false">Fit!$B$10*D241^(-1/Fit!$B$9)</f>
        <v>130.936820235033</v>
      </c>
      <c r="I241" s="35" t="n">
        <f aca="false">EXP(Fit!$B$16+Fit!$B$15*-NORMSINV(D241))</f>
        <v>128.556189505697</v>
      </c>
      <c r="J241" s="35" t="n">
        <f aca="false">Fit!$B$22*LN(1/D241)^(1/Fit!$B$21)</f>
        <v>127.466508536517</v>
      </c>
      <c r="K241" s="35" t="n">
        <f aca="false">MAX(0,Fit!$B$28+Fit!$B$27*-NORMSINV(D241))</f>
        <v>126.363074279288</v>
      </c>
      <c r="L241" s="35" t="n">
        <f aca="false">INDEX(H241:K241,1,Inputs!$B$5)</f>
        <v>130.936820235033</v>
      </c>
      <c r="M241" s="35" t="n">
        <f aca="false">L241*E241</f>
        <v>0.456547755057451</v>
      </c>
      <c r="N241" s="35" t="n">
        <f aca="false">L241^$AB$7</f>
        <v>130.936820235033</v>
      </c>
      <c r="O241" s="35" t="n">
        <f aca="false">N241*E241</f>
        <v>0.456547755057451</v>
      </c>
      <c r="P241" s="35" t="n">
        <f aca="false">N241*$AB$3/($AB$4*$AB$1)</f>
        <v>883032.104852119</v>
      </c>
      <c r="Q241" s="35" t="n">
        <f aca="false">IF(G241&lt;=3,F241*SQRT(P241),0)</f>
        <v>0</v>
      </c>
      <c r="R241" s="35" t="n">
        <f aca="false">SQRT(P241/$AB$6)</f>
        <v>434175963.999768</v>
      </c>
      <c r="S241" s="35" t="n">
        <f aca="false">2*$AB$6*R241</f>
        <v>0.00406762316696366</v>
      </c>
      <c r="T241" s="35" t="n">
        <f aca="false">IF(G241&lt;=3,F241*R241,0)</f>
        <v>0</v>
      </c>
      <c r="U241" s="35" t="n">
        <f aca="false">F241*P241</f>
        <v>6971946752.25237</v>
      </c>
      <c r="V241" s="35" t="n">
        <f aca="false">H241^$AB$7*E241</f>
        <v>0.456547755057451</v>
      </c>
      <c r="W241" s="35" t="n">
        <f aca="false">I241^$AB$7*E241</f>
        <v>0.448247021824823</v>
      </c>
      <c r="X241" s="35" t="n">
        <f aca="false">J241^$AB$7*E241</f>
        <v>0.444447545105328</v>
      </c>
      <c r="Y241" s="35" t="n">
        <f aca="false">K241^$AB$7*E241</f>
        <v>0.440600113709886</v>
      </c>
    </row>
    <row r="242" customFormat="false" ht="15" hidden="false" customHeight="false" outlineLevel="0" collapsed="false">
      <c r="A242" s="35" t="n">
        <v>240</v>
      </c>
      <c r="B242" s="35" t="n">
        <f aca="false">C241</f>
        <v>0.0926118728128794</v>
      </c>
      <c r="C242" s="35" t="n">
        <f aca="false">Inputs!$B$23*(Inputs!$B$24/Inputs!$B$23)^(59/60)</f>
        <v>0.0962350626398088</v>
      </c>
      <c r="D242" s="35" t="n">
        <f aca="false">(B242+C242)/2</f>
        <v>0.0944234677263441</v>
      </c>
      <c r="E242" s="35" t="n">
        <f aca="false">C242-B242</f>
        <v>0.0036231898269295</v>
      </c>
      <c r="F242" s="35" t="n">
        <f aca="false">Inputs!$B$16*E242</f>
        <v>8204.35104409915</v>
      </c>
      <c r="G242" s="35" t="n">
        <f aca="false">IF(D242&lt;=Inputs!$B$21,1,IF(D242&lt;=Inputs!$B$22,2,IF(D242&lt;=Inputs!$B$23,3,IF(D242&lt;=Inputs!$B$24,4,5))))</f>
        <v>4</v>
      </c>
      <c r="H242" s="35" t="n">
        <f aca="false">Fit!$B$10*D242^(-1/Fit!$B$9)</f>
        <v>127.696277211719</v>
      </c>
      <c r="I242" s="35" t="n">
        <f aca="false">EXP(Fit!$B$16+Fit!$B$15*-NORMSINV(D242))</f>
        <v>126.316811017965</v>
      </c>
      <c r="J242" s="35" t="n">
        <f aca="false">Fit!$B$22*LN(1/D242)^(1/Fit!$B$21)</f>
        <v>125.679188623594</v>
      </c>
      <c r="K242" s="35" t="n">
        <f aca="false">MAX(0,Fit!$B$28+Fit!$B$27*-NORMSINV(D242))</f>
        <v>125.025436194793</v>
      </c>
      <c r="L242" s="35" t="n">
        <f aca="false">INDEX(H242:K242,1,Inputs!$B$5)</f>
        <v>127.696277211719</v>
      </c>
      <c r="M242" s="35" t="n">
        <f aca="false">L242*E242</f>
        <v>0.462667852530271</v>
      </c>
      <c r="N242" s="35" t="n">
        <f aca="false">L242^$AB$7</f>
        <v>127.696277211719</v>
      </c>
      <c r="O242" s="35" t="n">
        <f aca="false">N242*E242</f>
        <v>0.462667852530271</v>
      </c>
      <c r="P242" s="35" t="n">
        <f aca="false">N242*$AB$3/($AB$4*$AB$1)</f>
        <v>861178.026514152</v>
      </c>
      <c r="Q242" s="35" t="n">
        <f aca="false">IF(G242&lt;=3,F242*SQRT(P242),0)</f>
        <v>0</v>
      </c>
      <c r="R242" s="35" t="n">
        <f aca="false">SQRT(P242/$AB$6)</f>
        <v>428769614.116644</v>
      </c>
      <c r="S242" s="35" t="n">
        <f aca="false">2*$AB$6*R242</f>
        <v>0.0040169732096728</v>
      </c>
      <c r="T242" s="35" t="n">
        <f aca="false">IF(G242&lt;=3,F242*R242,0)</f>
        <v>0</v>
      </c>
      <c r="U242" s="35" t="n">
        <f aca="false">F242*P242</f>
        <v>7065406840.98663</v>
      </c>
      <c r="V242" s="35" t="n">
        <f aca="false">H242^$AB$7*E242</f>
        <v>0.462667852530271</v>
      </c>
      <c r="W242" s="35" t="n">
        <f aca="false">I242^$AB$7*E242</f>
        <v>0.457669784650467</v>
      </c>
      <c r="X242" s="35" t="n">
        <f aca="false">J242^$AB$7*E242</f>
        <v>0.455359557677758</v>
      </c>
      <c r="Y242" s="35" t="n">
        <f aca="false">K242^$AB$7*E242</f>
        <v>0.452990888528398</v>
      </c>
    </row>
    <row r="243" customFormat="false" ht="15" hidden="false" customHeight="false" outlineLevel="0" collapsed="false">
      <c r="A243" s="35" t="n">
        <v>241</v>
      </c>
      <c r="B243" s="35" t="n">
        <f aca="false">C242</f>
        <v>0.0962350626398088</v>
      </c>
      <c r="C243" s="35" t="n">
        <f aca="false">Inputs!$B$23*(Inputs!$B$24/Inputs!$B$23)^(60/60)</f>
        <v>0.1</v>
      </c>
      <c r="D243" s="35" t="n">
        <f aca="false">(B243+C243)/2</f>
        <v>0.0981175313199044</v>
      </c>
      <c r="E243" s="35" t="n">
        <f aca="false">C243-B243</f>
        <v>0.00376493736019116</v>
      </c>
      <c r="F243" s="35" t="n">
        <f aca="false">Inputs!$B$16*E243</f>
        <v>8525.32415841687</v>
      </c>
      <c r="G243" s="35" t="n">
        <f aca="false">IF(D243&lt;=Inputs!$B$21,1,IF(D243&lt;=Inputs!$B$22,2,IF(D243&lt;=Inputs!$B$23,3,IF(D243&lt;=Inputs!$B$24,4,5))))</f>
        <v>4</v>
      </c>
      <c r="H243" s="35" t="n">
        <f aca="false">Fit!$B$10*D243^(-1/Fit!$B$9)</f>
        <v>124.535934082271</v>
      </c>
      <c r="I243" s="35" t="n">
        <f aca="false">EXP(Fit!$B$16+Fit!$B$15*-NORMSINV(D243))</f>
        <v>124.094348331317</v>
      </c>
      <c r="J243" s="35" t="n">
        <f aca="false">Fit!$B$22*LN(1/D243)^(1/Fit!$B$21)</f>
        <v>123.888244098601</v>
      </c>
      <c r="K243" s="35" t="n">
        <f aca="false">MAX(0,Fit!$B$28+Fit!$B$27*-NORMSINV(D243))</f>
        <v>123.674247564921</v>
      </c>
      <c r="L243" s="35" t="n">
        <f aca="false">INDEX(H243:K243,1,Inputs!$B$5)</f>
        <v>124.535934082271</v>
      </c>
      <c r="M243" s="35" t="n">
        <f aca="false">L243*E243</f>
        <v>0.468869990912647</v>
      </c>
      <c r="N243" s="35" t="n">
        <f aca="false">L243^$AB$7</f>
        <v>124.535934082271</v>
      </c>
      <c r="O243" s="35" t="n">
        <f aca="false">N243*E243</f>
        <v>0.468869990912647</v>
      </c>
      <c r="P243" s="35" t="n">
        <f aca="false">N243*$AB$3/($AB$4*$AB$1)</f>
        <v>839864.812701243</v>
      </c>
      <c r="Q243" s="35" t="n">
        <f aca="false">IF(G243&lt;=3,F243*SQRT(P243),0)</f>
        <v>0</v>
      </c>
      <c r="R243" s="35" t="n">
        <f aca="false">SQRT(P243/$AB$6)</f>
        <v>423430583.98745</v>
      </c>
      <c r="S243" s="35" t="n">
        <f aca="false">2*$AB$6*R243</f>
        <v>0.00396695394457447</v>
      </c>
      <c r="T243" s="35" t="n">
        <f aca="false">IF(G243&lt;=3,F243*R243,0)</f>
        <v>0</v>
      </c>
      <c r="U243" s="35" t="n">
        <f aca="false">F243*P243</f>
        <v>7160119777.52617</v>
      </c>
      <c r="V243" s="35" t="n">
        <f aca="false">H243^$AB$7*E243</f>
        <v>0.468869990912647</v>
      </c>
      <c r="W243" s="35" t="n">
        <f aca="false">I243^$AB$7*E243</f>
        <v>0.467207448221151</v>
      </c>
      <c r="X243" s="35" t="n">
        <f aca="false">J243^$AB$7*E243</f>
        <v>0.466431478695306</v>
      </c>
      <c r="Y243" s="35" t="n">
        <f aca="false">K243^$AB$7*E243</f>
        <v>0.465625795150702</v>
      </c>
    </row>
    <row r="244" customFormat="false" ht="15" hidden="false" customHeight="false" outlineLevel="0" collapsed="false">
      <c r="A244" s="35" t="n">
        <v>242</v>
      </c>
      <c r="B244" s="35" t="n">
        <f aca="false">C243</f>
        <v>0.1</v>
      </c>
      <c r="C244" s="35" t="n">
        <f aca="false">Inputs!$B$24*(Inputs!$B$25/Inputs!$B$24)^(1/60)</f>
        <v>0.103912230383517</v>
      </c>
      <c r="D244" s="35" t="n">
        <f aca="false">(B244+C244)/2</f>
        <v>0.101956115191758</v>
      </c>
      <c r="E244" s="35" t="n">
        <f aca="false">C244-B244</f>
        <v>0.00391223038351692</v>
      </c>
      <c r="F244" s="35" t="n">
        <f aca="false">Inputs!$B$16*E244</f>
        <v>8858.8544804357</v>
      </c>
      <c r="G244" s="35" t="n">
        <f aca="false">IF(D244&lt;=Inputs!$B$21,1,IF(D244&lt;=Inputs!$B$22,2,IF(D244&lt;=Inputs!$B$23,3,IF(D244&lt;=Inputs!$B$24,4,5))))</f>
        <v>5</v>
      </c>
      <c r="H244" s="35" t="n">
        <f aca="false">Fit!$B$10*D244^(-1/Fit!$B$9)</f>
        <v>121.453805987074</v>
      </c>
      <c r="I244" s="35" t="n">
        <f aca="false">EXP(Fit!$B$16+Fit!$B$15*-NORMSINV(D244))</f>
        <v>121.888671066415</v>
      </c>
      <c r="J244" s="35" t="n">
        <f aca="false">Fit!$B$22*LN(1/D244)^(1/Fit!$B$21)</f>
        <v>122.093607506163</v>
      </c>
      <c r="K244" s="35" t="n">
        <f aca="false">MAX(0,Fit!$B$28+Fit!$B$27*-NORMSINV(D244))</f>
        <v>122.309123075303</v>
      </c>
      <c r="L244" s="35" t="n">
        <f aca="false">INDEX(H244:K244,1,Inputs!$B$5)</f>
        <v>121.453805987074</v>
      </c>
      <c r="M244" s="35" t="n">
        <f aca="false">L244*E244</f>
        <v>0.4751552699764</v>
      </c>
      <c r="N244" s="35" t="n">
        <f aca="false">L244^$AB$7</f>
        <v>121.453805987074</v>
      </c>
      <c r="O244" s="35" t="n">
        <f aca="false">N244*E244</f>
        <v>0.4751552699764</v>
      </c>
      <c r="P244" s="35" t="n">
        <f aca="false">N244*$AB$3/($AB$4*$AB$1)</f>
        <v>819079.077608238</v>
      </c>
      <c r="Q244" s="35" t="n">
        <f aca="false">IF(G244&lt;=3,F244*SQRT(P244),0)</f>
        <v>0</v>
      </c>
      <c r="R244" s="35" t="n">
        <f aca="false">SQRT(P244/$AB$6)</f>
        <v>418158035.34804</v>
      </c>
      <c r="S244" s="35" t="n">
        <f aca="false">2*$AB$6*R244</f>
        <v>0.00391755751830289</v>
      </c>
      <c r="T244" s="35" t="n">
        <f aca="false">IF(G244&lt;=3,F244*R244,0)</f>
        <v>0</v>
      </c>
      <c r="U244" s="35" t="n">
        <f aca="false">F244*P244</f>
        <v>7256102356.50089</v>
      </c>
      <c r="V244" s="35" t="n">
        <f aca="false">H244^$AB$7*E244</f>
        <v>0.4751552699764</v>
      </c>
      <c r="W244" s="35" t="n">
        <f aca="false">I244^$AB$7*E244</f>
        <v>0.476856562352528</v>
      </c>
      <c r="X244" s="35" t="n">
        <f aca="false">J244^$AB$7*E244</f>
        <v>0.4776583209188</v>
      </c>
      <c r="Y244" s="35" t="n">
        <f aca="false">K244^$AB$7*E244</f>
        <v>0.478501467476512</v>
      </c>
    </row>
    <row r="245" customFormat="false" ht="15" hidden="false" customHeight="false" outlineLevel="0" collapsed="false">
      <c r="A245" s="35" t="n">
        <v>243</v>
      </c>
      <c r="B245" s="35" t="n">
        <f aca="false">C244</f>
        <v>0.103912230383517</v>
      </c>
      <c r="C245" s="35" t="n">
        <f aca="false">Inputs!$B$24*(Inputs!$B$25/Inputs!$B$24)^(2/60)</f>
        <v>0.107977516232771</v>
      </c>
      <c r="D245" s="35" t="n">
        <f aca="false">(B245+C245)/2</f>
        <v>0.105944873308144</v>
      </c>
      <c r="E245" s="35" t="n">
        <f aca="false">C245-B245</f>
        <v>0.00406528584925404</v>
      </c>
      <c r="F245" s="35" t="n">
        <f aca="false">Inputs!$B$16*E245</f>
        <v>9205.43327705086</v>
      </c>
      <c r="G245" s="35" t="n">
        <f aca="false">IF(D245&lt;=Inputs!$B$21,1,IF(D245&lt;=Inputs!$B$22,2,IF(D245&lt;=Inputs!$B$23,3,IF(D245&lt;=Inputs!$B$24,4,5))))</f>
        <v>5</v>
      </c>
      <c r="H245" s="35" t="n">
        <f aca="false">Fit!$B$10*D245^(-1/Fit!$B$9)</f>
        <v>118.447957189617</v>
      </c>
      <c r="I245" s="35" t="n">
        <f aca="false">EXP(Fit!$B$16+Fit!$B$15*-NORMSINV(D245))</f>
        <v>119.699647159273</v>
      </c>
      <c r="J245" s="35" t="n">
        <f aca="false">Fit!$B$22*LN(1/D245)^(1/Fit!$B$21)</f>
        <v>120.295208979215</v>
      </c>
      <c r="K245" s="35" t="n">
        <f aca="false">MAX(0,Fit!$B$28+Fit!$B$27*-NORMSINV(D245))</f>
        <v>120.929659494813</v>
      </c>
      <c r="L245" s="35" t="n">
        <f aca="false">INDEX(H245:K245,1,Inputs!$B$5)</f>
        <v>118.447957189617</v>
      </c>
      <c r="M245" s="35" t="n">
        <f aca="false">L245*E245</f>
        <v>0.481524804235998</v>
      </c>
      <c r="N245" s="35" t="n">
        <f aca="false">L245^$AB$7</f>
        <v>118.447957189617</v>
      </c>
      <c r="O245" s="35" t="n">
        <f aca="false">N245*E245</f>
        <v>0.481524804235998</v>
      </c>
      <c r="P245" s="35" t="n">
        <f aca="false">N245*$AB$3/($AB$4*$AB$1)</f>
        <v>798807.766714012</v>
      </c>
      <c r="Q245" s="35" t="n">
        <f aca="false">IF(G245&lt;=3,F245*SQRT(P245),0)</f>
        <v>0</v>
      </c>
      <c r="R245" s="35" t="n">
        <f aca="false">SQRT(P245/$AB$6)</f>
        <v>412951140.372314</v>
      </c>
      <c r="S245" s="35" t="n">
        <f aca="false">2*$AB$6*R245</f>
        <v>0.0038687761752822</v>
      </c>
      <c r="T245" s="35" t="n">
        <f aca="false">IF(G245&lt;=3,F245*R245,0)</f>
        <v>0</v>
      </c>
      <c r="U245" s="35" t="n">
        <f aca="false">F245*P245</f>
        <v>7353371597.67585</v>
      </c>
      <c r="V245" s="35" t="n">
        <f aca="false">H245^$AB$7*E245</f>
        <v>0.481524804235998</v>
      </c>
      <c r="W245" s="35" t="n">
        <f aca="false">I245^$AB$7*E245</f>
        <v>0.486613281757293</v>
      </c>
      <c r="X245" s="35" t="n">
        <f aca="false">J245^$AB$7*E245</f>
        <v>0.489034410796259</v>
      </c>
      <c r="Y245" s="35" t="n">
        <f aca="false">K245^$AB$7*E245</f>
        <v>0.491613633499374</v>
      </c>
    </row>
    <row r="246" customFormat="false" ht="15" hidden="false" customHeight="false" outlineLevel="0" collapsed="false">
      <c r="A246" s="35" t="n">
        <v>244</v>
      </c>
      <c r="B246" s="35" t="n">
        <f aca="false">C245</f>
        <v>0.107977516232771</v>
      </c>
      <c r="C246" s="35" t="n">
        <f aca="false">Inputs!$B$24*(Inputs!$B$25/Inputs!$B$24)^(3/60)</f>
        <v>0.112201845430196</v>
      </c>
      <c r="D246" s="35" t="n">
        <f aca="false">(B246+C246)/2</f>
        <v>0.110089680831484</v>
      </c>
      <c r="E246" s="35" t="n">
        <f aca="false">C246-B246</f>
        <v>0.00422432919742538</v>
      </c>
      <c r="F246" s="35" t="n">
        <f aca="false">Inputs!$B$16*E246</f>
        <v>9565.57103465003</v>
      </c>
      <c r="G246" s="35" t="n">
        <f aca="false">IF(D246&lt;=Inputs!$B$21,1,IF(D246&lt;=Inputs!$B$22,2,IF(D246&lt;=Inputs!$B$23,3,IF(D246&lt;=Inputs!$B$24,4,5))))</f>
        <v>5</v>
      </c>
      <c r="H246" s="35" t="n">
        <f aca="false">Fit!$B$10*D246^(-1/Fit!$B$9)</f>
        <v>115.516499860749</v>
      </c>
      <c r="I246" s="35" t="n">
        <f aca="false">EXP(Fit!$B$16+Fit!$B$15*-NORMSINV(D246))</f>
        <v>117.52714272427</v>
      </c>
      <c r="J246" s="35" t="n">
        <f aca="false">Fit!$B$22*LN(1/D246)^(1/Fit!$B$21)</f>
        <v>118.492976110019</v>
      </c>
      <c r="K246" s="35" t="n">
        <f aca="false">MAX(0,Fit!$B$28+Fit!$B$27*-NORMSINV(D246))</f>
        <v>119.53543451268</v>
      </c>
      <c r="L246" s="35" t="n">
        <f aca="false">INDEX(H246:K246,1,Inputs!$B$5)</f>
        <v>115.516499860749</v>
      </c>
      <c r="M246" s="35" t="n">
        <f aca="false">L246*E246</f>
        <v>0.487979723146149</v>
      </c>
      <c r="N246" s="35" t="n">
        <f aca="false">L246^$AB$7</f>
        <v>115.516499860749</v>
      </c>
      <c r="O246" s="35" t="n">
        <f aca="false">N246*E246</f>
        <v>0.487979723146149</v>
      </c>
      <c r="P246" s="35" t="n">
        <f aca="false">N246*$AB$3/($AB$4*$AB$1)</f>
        <v>779038.148582554</v>
      </c>
      <c r="Q246" s="35" t="n">
        <f aca="false">IF(G246&lt;=3,F246*SQRT(P246),0)</f>
        <v>0</v>
      </c>
      <c r="R246" s="35" t="n">
        <f aca="false">SQRT(P246/$AB$6)</f>
        <v>407809081.542247</v>
      </c>
      <c r="S246" s="35" t="n">
        <f aca="false">2*$AB$6*R246</f>
        <v>0.00382060225650884</v>
      </c>
      <c r="T246" s="35" t="n">
        <f aca="false">IF(G246&lt;=3,F246*R246,0)</f>
        <v>0</v>
      </c>
      <c r="U246" s="35" t="n">
        <f aca="false">F246*P246</f>
        <v>7451944748.96867</v>
      </c>
      <c r="V246" s="35" t="n">
        <f aca="false">H246^$AB$7*E246</f>
        <v>0.487979723146149</v>
      </c>
      <c r="W246" s="35" t="n">
        <f aca="false">I246^$AB$7*E246</f>
        <v>0.496473340500112</v>
      </c>
      <c r="X246" s="35" t="n">
        <f aca="false">J246^$AB$7*E246</f>
        <v>0.500553338671381</v>
      </c>
      <c r="Y246" s="35" t="n">
        <f aca="false">K246^$AB$7*E246</f>
        <v>0.504957026138843</v>
      </c>
    </row>
    <row r="247" customFormat="false" ht="15" hidden="false" customHeight="false" outlineLevel="0" collapsed="false">
      <c r="A247" s="35" t="n">
        <v>245</v>
      </c>
      <c r="B247" s="35" t="n">
        <f aca="false">C246</f>
        <v>0.112201845430196</v>
      </c>
      <c r="C247" s="35" t="n">
        <f aca="false">Inputs!$B$24*(Inputs!$B$25/Inputs!$B$24)^(4/60)</f>
        <v>0.116591440117983</v>
      </c>
      <c r="D247" s="35" t="n">
        <f aca="false">(B247+C247)/2</f>
        <v>0.11439664277409</v>
      </c>
      <c r="E247" s="35" t="n">
        <f aca="false">C247-B247</f>
        <v>0.00438959468778682</v>
      </c>
      <c r="F247" s="35" t="n">
        <f aca="false">Inputs!$B$16*E247</f>
        <v>9939.79821102449</v>
      </c>
      <c r="G247" s="35" t="n">
        <f aca="false">IF(D247&lt;=Inputs!$B$21,1,IF(D247&lt;=Inputs!$B$22,2,IF(D247&lt;=Inputs!$B$23,3,IF(D247&lt;=Inputs!$B$24,4,5))))</f>
        <v>5</v>
      </c>
      <c r="H247" s="35" t="n">
        <f aca="false">Fit!$B$10*D247^(-1/Fit!$B$9)</f>
        <v>112.657592893027</v>
      </c>
      <c r="I247" s="35" t="n">
        <f aca="false">EXP(Fit!$B$16+Fit!$B$15*-NORMSINV(D247))</f>
        <v>115.371021905677</v>
      </c>
      <c r="J247" s="35" t="n">
        <f aca="false">Fit!$B$22*LN(1/D247)^(1/Fit!$B$21)</f>
        <v>116.686833811918</v>
      </c>
      <c r="K247" s="35" t="n">
        <f aca="false">MAX(0,Fit!$B$28+Fit!$B$27*-NORMSINV(D247))</f>
        <v>118.126005478128</v>
      </c>
      <c r="L247" s="35" t="n">
        <f aca="false">INDEX(H247:K247,1,Inputs!$B$5)</f>
        <v>112.657592893027</v>
      </c>
      <c r="M247" s="35" t="n">
        <f aca="false">L247*E247</f>
        <v>0.494521171302081</v>
      </c>
      <c r="N247" s="35" t="n">
        <f aca="false">L247^$AB$7</f>
        <v>112.657592893027</v>
      </c>
      <c r="O247" s="35" t="n">
        <f aca="false">N247*E247</f>
        <v>0.494521171302081</v>
      </c>
      <c r="P247" s="35" t="n">
        <f aca="false">N247*$AB$3/($AB$4*$AB$1)</f>
        <v>759757.806866961</v>
      </c>
      <c r="Q247" s="35" t="n">
        <f aca="false">IF(G247&lt;=3,F247*SQRT(P247),0)</f>
        <v>0</v>
      </c>
      <c r="R247" s="35" t="n">
        <f aca="false">SQRT(P247/$AB$6)</f>
        <v>402731051.51953</v>
      </c>
      <c r="S247" s="35" t="n">
        <f aca="false">2*$AB$6*R247</f>
        <v>0.00377302819834898</v>
      </c>
      <c r="T247" s="35" t="n">
        <f aca="false">IF(G247&lt;=3,F247*R247,0)</f>
        <v>0</v>
      </c>
      <c r="U247" s="35" t="n">
        <f aca="false">F247*P247</f>
        <v>7551839289.50811</v>
      </c>
      <c r="V247" s="35" t="n">
        <f aca="false">H247^$AB$7*E247</f>
        <v>0.494521171302081</v>
      </c>
      <c r="W247" s="35" t="n">
        <f aca="false">I247^$AB$7*E247</f>
        <v>0.506432024881697</v>
      </c>
      <c r="X247" s="35" t="n">
        <f aca="false">J247^$AB$7*E247</f>
        <v>0.51220790583546</v>
      </c>
      <c r="Y247" s="35" t="n">
        <f aca="false">K247^$AB$7*E247</f>
        <v>0.518525286136266</v>
      </c>
    </row>
    <row r="248" customFormat="false" ht="15" hidden="false" customHeight="false" outlineLevel="0" collapsed="false">
      <c r="A248" s="35" t="n">
        <v>246</v>
      </c>
      <c r="B248" s="35" t="n">
        <f aca="false">C247</f>
        <v>0.116591440117983</v>
      </c>
      <c r="C248" s="35" t="n">
        <f aca="false">Inputs!$B$24*(Inputs!$B$25/Inputs!$B$24)^(5/60)</f>
        <v>0.121152765862859</v>
      </c>
      <c r="D248" s="35" t="n">
        <f aca="false">(B248+C248)/2</f>
        <v>0.118872102990421</v>
      </c>
      <c r="E248" s="35" t="n">
        <f aca="false">C248-B248</f>
        <v>0.00456132574487567</v>
      </c>
      <c r="F248" s="35" t="n">
        <f aca="false">Inputs!$B$16*E248</f>
        <v>10328.6660166965</v>
      </c>
      <c r="G248" s="35" t="n">
        <f aca="false">IF(D248&lt;=Inputs!$B$21,1,IF(D248&lt;=Inputs!$B$22,2,IF(D248&lt;=Inputs!$B$23,3,IF(D248&lt;=Inputs!$B$24,4,5))))</f>
        <v>5</v>
      </c>
      <c r="H248" s="35" t="n">
        <f aca="false">Fit!$B$10*D248^(-1/Fit!$B$9)</f>
        <v>109.869440744399</v>
      </c>
      <c r="I248" s="35" t="n">
        <f aca="false">EXP(Fit!$B$16+Fit!$B$15*-NORMSINV(D248))</f>
        <v>113.231146716502</v>
      </c>
      <c r="J248" s="35" t="n">
        <f aca="false">Fit!$B$22*LN(1/D248)^(1/Fit!$B$21)</f>
        <v>114.876704170979</v>
      </c>
      <c r="K248" s="35" t="n">
        <f aca="false">MAX(0,Fit!$B$28+Fit!$B$27*-NORMSINV(D248))</f>
        <v>116.700908032453</v>
      </c>
      <c r="L248" s="35" t="n">
        <f aca="false">INDEX(H248:K248,1,Inputs!$B$5)</f>
        <v>109.869440744399</v>
      </c>
      <c r="M248" s="35" t="n">
        <f aca="false">L248*E248</f>
        <v>0.501150308642517</v>
      </c>
      <c r="N248" s="35" t="n">
        <f aca="false">L248^$AB$7</f>
        <v>109.869440744399</v>
      </c>
      <c r="O248" s="35" t="n">
        <f aca="false">N248*E248</f>
        <v>0.501150308642517</v>
      </c>
      <c r="P248" s="35" t="n">
        <f aca="false">N248*$AB$3/($AB$4*$AB$1)</f>
        <v>740954.632511333</v>
      </c>
      <c r="Q248" s="35" t="n">
        <f aca="false">IF(G248&lt;=3,F248*SQRT(P248),0)</f>
        <v>0</v>
      </c>
      <c r="R248" s="35" t="n">
        <f aca="false">SQRT(P248/$AB$6)</f>
        <v>397716253.018814</v>
      </c>
      <c r="S248" s="35" t="n">
        <f aca="false">2*$AB$6*R248</f>
        <v>0.00372604653135099</v>
      </c>
      <c r="T248" s="35" t="n">
        <f aca="false">IF(G248&lt;=3,F248*R248,0)</f>
        <v>0</v>
      </c>
      <c r="U248" s="35" t="n">
        <f aca="false">F248*P248</f>
        <v>7653072932.73361</v>
      </c>
      <c r="V248" s="35" t="n">
        <f aca="false">H248^$AB$7*E248</f>
        <v>0.501150308642517</v>
      </c>
      <c r="W248" s="35" t="n">
        <f aca="false">I248^$AB$7*E248</f>
        <v>0.516484144639772</v>
      </c>
      <c r="X248" s="35" t="n">
        <f aca="false">J248^$AB$7*E248</f>
        <v>0.523990068221551</v>
      </c>
      <c r="Y248" s="35" t="n">
        <f aca="false">K248^$AB$7*E248</f>
        <v>0.532310856258797</v>
      </c>
    </row>
    <row r="249" customFormat="false" ht="15" hidden="false" customHeight="false" outlineLevel="0" collapsed="false">
      <c r="A249" s="35" t="n">
        <v>247</v>
      </c>
      <c r="B249" s="35" t="n">
        <f aca="false">C248</f>
        <v>0.121152765862859</v>
      </c>
      <c r="C249" s="35" t="n">
        <f aca="false">Inputs!$B$24*(Inputs!$B$25/Inputs!$B$24)^(6/60)</f>
        <v>0.125892541179417</v>
      </c>
      <c r="D249" s="35" t="n">
        <f aca="false">(B249+C249)/2</f>
        <v>0.123522653521138</v>
      </c>
      <c r="E249" s="35" t="n">
        <f aca="false">C249-B249</f>
        <v>0.00473977531655789</v>
      </c>
      <c r="F249" s="35" t="n">
        <f aca="false">Inputs!$B$16*E249</f>
        <v>10732.7472268137</v>
      </c>
      <c r="G249" s="35" t="n">
        <f aca="false">IF(D249&lt;=Inputs!$B$21,1,IF(D249&lt;=Inputs!$B$22,2,IF(D249&lt;=Inputs!$B$23,3,IF(D249&lt;=Inputs!$B$24,4,5))))</f>
        <v>5</v>
      </c>
      <c r="H249" s="35" t="n">
        <f aca="false">Fit!$B$10*D249^(-1/Fit!$B$9)</f>
        <v>107.150292310516</v>
      </c>
      <c r="I249" s="35" t="n">
        <f aca="false">EXP(Fit!$B$16+Fit!$B$15*-NORMSINV(D249))</f>
        <v>111.107376863324</v>
      </c>
      <c r="J249" s="35" t="n">
        <f aca="false">Fit!$B$22*LN(1/D249)^(1/Fit!$B$21)</f>
        <v>113.062506286592</v>
      </c>
      <c r="K249" s="35" t="n">
        <f aca="false">MAX(0,Fit!$B$28+Fit!$B$27*-NORMSINV(D249))</f>
        <v>115.259654622229</v>
      </c>
      <c r="L249" s="35" t="n">
        <f aca="false">INDEX(H249:K249,1,Inputs!$B$5)</f>
        <v>107.150292310516</v>
      </c>
      <c r="M249" s="35" t="n">
        <f aca="false">L249*E249</f>
        <v>0.507868310655347</v>
      </c>
      <c r="N249" s="35" t="n">
        <f aca="false">L249^$AB$7</f>
        <v>107.150292310516</v>
      </c>
      <c r="O249" s="35" t="n">
        <f aca="false">N249*E249</f>
        <v>0.507868310655347</v>
      </c>
      <c r="P249" s="35" t="n">
        <f aca="false">N249*$AB$3/($AB$4*$AB$1)</f>
        <v>722616.816145648</v>
      </c>
      <c r="Q249" s="35" t="n">
        <f aca="false">IF(G249&lt;=3,F249*SQRT(P249),0)</f>
        <v>0</v>
      </c>
      <c r="R249" s="35" t="n">
        <f aca="false">SQRT(P249/$AB$6)</f>
        <v>392763898.682529</v>
      </c>
      <c r="S249" s="35" t="n">
        <f aca="false">2*$AB$6*R249</f>
        <v>0.00367964987907271</v>
      </c>
      <c r="T249" s="35" t="n">
        <f aca="false">IF(G249&lt;=3,F249*R249,0)</f>
        <v>0</v>
      </c>
      <c r="U249" s="35" t="n">
        <f aca="false">F249*P249</f>
        <v>7755663629.53614</v>
      </c>
      <c r="V249" s="35" t="n">
        <f aca="false">H249^$AB$7*E249</f>
        <v>0.507868310655347</v>
      </c>
      <c r="W249" s="35" t="n">
        <f aca="false">I249^$AB$7*E249</f>
        <v>0.526624002344278</v>
      </c>
      <c r="X249" s="35" t="n">
        <f aca="false">J249^$AB$7*E249</f>
        <v>0.535890876525362</v>
      </c>
      <c r="Y249" s="35" t="n">
        <f aca="false">K249^$AB$7*E249</f>
        <v>0.54630486597343</v>
      </c>
    </row>
    <row r="250" customFormat="false" ht="15" hidden="false" customHeight="false" outlineLevel="0" collapsed="false">
      <c r="A250" s="35" t="n">
        <v>248</v>
      </c>
      <c r="B250" s="35" t="n">
        <f aca="false">C249</f>
        <v>0.125892541179417</v>
      </c>
      <c r="C250" s="35" t="n">
        <f aca="false">Inputs!$B$24*(Inputs!$B$25/Inputs!$B$24)^(7/60)</f>
        <v>0.130817747426019</v>
      </c>
      <c r="D250" s="35" t="n">
        <f aca="false">(B250+C250)/2</f>
        <v>0.128355144302718</v>
      </c>
      <c r="E250" s="35" t="n">
        <f aca="false">C250-B250</f>
        <v>0.0049252062466027</v>
      </c>
      <c r="F250" s="35" t="n">
        <f aca="false">Inputs!$B$16*E250</f>
        <v>11152.6370248071</v>
      </c>
      <c r="G250" s="35" t="n">
        <f aca="false">IF(D250&lt;=Inputs!$B$21,1,IF(D250&lt;=Inputs!$B$22,2,IF(D250&lt;=Inputs!$B$23,3,IF(D250&lt;=Inputs!$B$24,4,5))))</f>
        <v>5</v>
      </c>
      <c r="H250" s="35" t="n">
        <f aca="false">Fit!$B$10*D250^(-1/Fit!$B$9)</f>
        <v>104.498439824946</v>
      </c>
      <c r="I250" s="35" t="n">
        <f aca="false">EXP(Fit!$B$16+Fit!$B$15*-NORMSINV(D250))</f>
        <v>108.999569555639</v>
      </c>
      <c r="J250" s="35" t="n">
        <f aca="false">Fit!$B$22*LN(1/D250)^(1/Fit!$B$21)</f>
        <v>111.244156099999</v>
      </c>
      <c r="K250" s="35" t="n">
        <f aca="false">MAX(0,Fit!$B$28+Fit!$B$27*-NORMSINV(D250))</f>
        <v>113.801732880879</v>
      </c>
      <c r="L250" s="35" t="n">
        <f aca="false">INDEX(H250:K250,1,Inputs!$B$5)</f>
        <v>104.498439824946</v>
      </c>
      <c r="M250" s="35" t="n">
        <f aca="false">L250*E250</f>
        <v>0.514676368586062</v>
      </c>
      <c r="N250" s="35" t="n">
        <f aca="false">L250^$AB$7</f>
        <v>104.498439824946</v>
      </c>
      <c r="O250" s="35" t="n">
        <f aca="false">N250*E250</f>
        <v>0.514676368586062</v>
      </c>
      <c r="P250" s="35" t="n">
        <f aca="false">N250*$AB$3/($AB$4*$AB$1)</f>
        <v>704732.840668874</v>
      </c>
      <c r="Q250" s="35" t="n">
        <f aca="false">IF(G250&lt;=3,F250*SQRT(P250),0)</f>
        <v>0</v>
      </c>
      <c r="R250" s="35" t="n">
        <f aca="false">SQRT(P250/$AB$6)</f>
        <v>387873210.957267</v>
      </c>
      <c r="S250" s="35" t="n">
        <f aca="false">2*$AB$6*R250</f>
        <v>0.00363383095692327</v>
      </c>
      <c r="T250" s="35" t="n">
        <f aca="false">IF(G250&lt;=3,F250*R250,0)</f>
        <v>0</v>
      </c>
      <c r="U250" s="35" t="n">
        <f aca="false">F250*P250</f>
        <v>7859629571.44121</v>
      </c>
      <c r="V250" s="35" t="n">
        <f aca="false">H250^$AB$7*E250</f>
        <v>0.514676368586062</v>
      </c>
      <c r="W250" s="35" t="n">
        <f aca="false">I250^$AB$7*E250</f>
        <v>0.53684536085244</v>
      </c>
      <c r="X250" s="35" t="n">
        <f aca="false">J250^$AB$7*E250</f>
        <v>0.547900412521763</v>
      </c>
      <c r="Y250" s="35" t="n">
        <f aca="false">K250^$AB$7*E250</f>
        <v>0.560497005659118</v>
      </c>
    </row>
    <row r="251" customFormat="false" ht="15" hidden="false" customHeight="false" outlineLevel="0" collapsed="false">
      <c r="A251" s="35" t="n">
        <v>249</v>
      </c>
      <c r="B251" s="35" t="n">
        <f aca="false">C250</f>
        <v>0.130817747426019</v>
      </c>
      <c r="C251" s="35" t="n">
        <f aca="false">Inputs!$B$24*(Inputs!$B$25/Inputs!$B$24)^(8/60)</f>
        <v>0.135935639087853</v>
      </c>
      <c r="D251" s="35" t="n">
        <f aca="false">(B251+C251)/2</f>
        <v>0.133376693256936</v>
      </c>
      <c r="E251" s="35" t="n">
        <f aca="false">C251-B251</f>
        <v>0.00511789166183313</v>
      </c>
      <c r="F251" s="35" t="n">
        <f aca="false">Inputs!$B$16*E251</f>
        <v>11588.9538790549</v>
      </c>
      <c r="G251" s="35" t="n">
        <f aca="false">IF(D251&lt;=Inputs!$B$21,1,IF(D251&lt;=Inputs!$B$22,2,IF(D251&lt;=Inputs!$B$23,3,IF(D251&lt;=Inputs!$B$24,4,5))))</f>
        <v>5</v>
      </c>
      <c r="H251" s="35" t="n">
        <f aca="false">Fit!$B$10*D251^(-1/Fit!$B$9)</f>
        <v>101.912217786607</v>
      </c>
      <c r="I251" s="35" t="n">
        <f aca="false">EXP(Fit!$B$16+Fit!$B$15*-NORMSINV(D251))</f>
        <v>106.907579298013</v>
      </c>
      <c r="J251" s="35" t="n">
        <f aca="false">Fit!$B$22*LN(1/D251)^(1/Fit!$B$21)</f>
        <v>109.421566209569</v>
      </c>
      <c r="K251" s="35" t="n">
        <f aca="false">MAX(0,Fit!$B$28+Fit!$B$27*-NORMSINV(D251))</f>
        <v>112.326603864257</v>
      </c>
      <c r="L251" s="35" t="n">
        <f aca="false">INDEX(H251:K251,1,Inputs!$B$5)</f>
        <v>101.912217786607</v>
      </c>
      <c r="M251" s="35" t="n">
        <f aca="false">L251*E251</f>
        <v>0.521575689648998</v>
      </c>
      <c r="N251" s="35" t="n">
        <f aca="false">L251^$AB$7</f>
        <v>101.912217786607</v>
      </c>
      <c r="O251" s="35" t="n">
        <f aca="false">N251*E251</f>
        <v>0.521575689648998</v>
      </c>
      <c r="P251" s="35" t="n">
        <f aca="false">N251*$AB$3/($AB$4*$AB$1)</f>
        <v>687291.474015626</v>
      </c>
      <c r="Q251" s="35" t="n">
        <f aca="false">IF(G251&lt;=3,F251*SQRT(P251),0)</f>
        <v>0</v>
      </c>
      <c r="R251" s="35" t="n">
        <f aca="false">SQRT(P251/$AB$6)</f>
        <v>383043421.971696</v>
      </c>
      <c r="S251" s="35" t="n">
        <f aca="false">2*$AB$6*R251</f>
        <v>0.00358858257101938</v>
      </c>
      <c r="T251" s="35" t="n">
        <f aca="false">IF(G251&lt;=3,F251*R251,0)</f>
        <v>0</v>
      </c>
      <c r="U251" s="35" t="n">
        <f aca="false">F251*P251</f>
        <v>7964989193.83478</v>
      </c>
      <c r="V251" s="35" t="n">
        <f aca="false">H251^$AB$7*E251</f>
        <v>0.521575689648998</v>
      </c>
      <c r="W251" s="35" t="n">
        <f aca="false">I251^$AB$7*E251</f>
        <v>0.547141408676066</v>
      </c>
      <c r="X251" s="35" t="n">
        <f aca="false">J251^$AB$7*E251</f>
        <v>0.560007721328676</v>
      </c>
      <c r="Y251" s="35" t="n">
        <f aca="false">K251^$AB$7*E251</f>
        <v>0.574875389318914</v>
      </c>
    </row>
    <row r="252" customFormat="false" ht="15" hidden="false" customHeight="false" outlineLevel="0" collapsed="false">
      <c r="A252" s="35" t="n">
        <v>250</v>
      </c>
      <c r="B252" s="35" t="n">
        <f aca="false">C251</f>
        <v>0.135935639087853</v>
      </c>
      <c r="C252" s="35" t="n">
        <f aca="false">Inputs!$B$24*(Inputs!$B$25/Inputs!$B$24)^(9/60)</f>
        <v>0.141253754462275</v>
      </c>
      <c r="D252" s="35" t="n">
        <f aca="false">(B252+C252)/2</f>
        <v>0.138594696775064</v>
      </c>
      <c r="E252" s="35" t="n">
        <f aca="false">C252-B252</f>
        <v>0.00531811537442289</v>
      </c>
      <c r="F252" s="35" t="n">
        <f aca="false">Inputs!$B$16*E252</f>
        <v>12042.3404538432</v>
      </c>
      <c r="G252" s="35" t="n">
        <f aca="false">IF(D252&lt;=Inputs!$B$21,1,IF(D252&lt;=Inputs!$B$22,2,IF(D252&lt;=Inputs!$B$23,3,IF(D252&lt;=Inputs!$B$24,4,5))))</f>
        <v>5</v>
      </c>
      <c r="H252" s="35" t="n">
        <f aca="false">Fit!$B$10*D252^(-1/Fit!$B$9)</f>
        <v>99.3900019137454</v>
      </c>
      <c r="I252" s="35" t="n">
        <f aca="false">EXP(Fit!$B$16+Fit!$B$15*-NORMSINV(D252))</f>
        <v>104.831257663157</v>
      </c>
      <c r="J252" s="35" t="n">
        <f aca="false">Fit!$B$22*LN(1/D252)^(1/Fit!$B$21)</f>
        <v>107.594645671547</v>
      </c>
      <c r="K252" s="35" t="n">
        <f aca="false">MAX(0,Fit!$B$28+Fit!$B$27*-NORMSINV(D252))</f>
        <v>110.83370012396</v>
      </c>
      <c r="L252" s="35" t="n">
        <f aca="false">INDEX(H252:K252,1,Inputs!$B$5)</f>
        <v>99.3900019137454</v>
      </c>
      <c r="M252" s="35" t="n">
        <f aca="false">L252*E252</f>
        <v>0.52856749724141</v>
      </c>
      <c r="N252" s="35" t="n">
        <f aca="false">L252^$AB$7</f>
        <v>99.3900019137454</v>
      </c>
      <c r="O252" s="35" t="n">
        <f aca="false">N252*E252</f>
        <v>0.52856749724141</v>
      </c>
      <c r="P252" s="35" t="n">
        <f aca="false">N252*$AB$3/($AB$4*$AB$1)</f>
        <v>670281.762101845</v>
      </c>
      <c r="Q252" s="35" t="n">
        <f aca="false">IF(G252&lt;=3,F252*SQRT(P252),0)</f>
        <v>0</v>
      </c>
      <c r="R252" s="35" t="n">
        <f aca="false">SQRT(P252/$AB$6)</f>
        <v>378273773.416003</v>
      </c>
      <c r="S252" s="35" t="n">
        <f aca="false">2*$AB$6*R252</f>
        <v>0.00354389761705583</v>
      </c>
      <c r="T252" s="35" t="n">
        <f aca="false">IF(G252&lt;=3,F252*R252,0)</f>
        <v>0</v>
      </c>
      <c r="U252" s="35" t="n">
        <f aca="false">F252*P252</f>
        <v>8071761179.23235</v>
      </c>
      <c r="V252" s="35" t="n">
        <f aca="false">H252^$AB$7*E252</f>
        <v>0.52856749724141</v>
      </c>
      <c r="W252" s="35" t="n">
        <f aca="false">I252^$AB$7*E252</f>
        <v>0.557504723098522</v>
      </c>
      <c r="X252" s="35" t="n">
        <f aca="false">J252^$AB$7*E252</f>
        <v>0.572200739351435</v>
      </c>
      <c r="Y252" s="35" t="n">
        <f aca="false">K252^$AB$7*E252</f>
        <v>0.589426404633407</v>
      </c>
    </row>
    <row r="253" customFormat="false" ht="15" hidden="false" customHeight="false" outlineLevel="0" collapsed="false">
      <c r="A253" s="35" t="n">
        <v>251</v>
      </c>
      <c r="B253" s="35" t="n">
        <f aca="false">C252</f>
        <v>0.141253754462275</v>
      </c>
      <c r="C253" s="35" t="n">
        <f aca="false">Inputs!$B$24*(Inputs!$B$25/Inputs!$B$24)^(10/60)</f>
        <v>0.146779926762207</v>
      </c>
      <c r="D253" s="35" t="n">
        <f aca="false">(B253+C253)/2</f>
        <v>0.144016840612241</v>
      </c>
      <c r="E253" s="35" t="n">
        <f aca="false">C253-B253</f>
        <v>0.00552617229993149</v>
      </c>
      <c r="F253" s="35" t="n">
        <f aca="false">Inputs!$B$16*E253</f>
        <v>12513.4645559649</v>
      </c>
      <c r="G253" s="35" t="n">
        <f aca="false">IF(D253&lt;=Inputs!$B$21,1,IF(D253&lt;=Inputs!$B$22,2,IF(D253&lt;=Inputs!$B$23,3,IF(D253&lt;=Inputs!$B$24,4,5))))</f>
        <v>5</v>
      </c>
      <c r="H253" s="35" t="n">
        <f aca="false">Fit!$B$10*D253^(-1/Fit!$B$9)</f>
        <v>96.9302081238045</v>
      </c>
      <c r="I253" s="35" t="n">
        <f aca="false">EXP(Fit!$B$16+Fit!$B$15*-NORMSINV(D253))</f>
        <v>102.770453043767</v>
      </c>
      <c r="J253" s="35" t="n">
        <f aca="false">Fit!$B$22*LN(1/D253)^(1/Fit!$B$21)</f>
        <v>105.763299784816</v>
      </c>
      <c r="K253" s="35" t="n">
        <f aca="false">MAX(0,Fit!$B$28+Fit!$B$27*-NORMSINV(D253))</f>
        <v>109.322423599955</v>
      </c>
      <c r="L253" s="35" t="n">
        <f aca="false">INDEX(H253:K253,1,Inputs!$B$5)</f>
        <v>96.9302081238045</v>
      </c>
      <c r="M253" s="35" t="n">
        <f aca="false">L253*E253</f>
        <v>0.535653031160363</v>
      </c>
      <c r="N253" s="35" t="n">
        <f aca="false">L253^$AB$7</f>
        <v>96.9302081238045</v>
      </c>
      <c r="O253" s="35" t="n">
        <f aca="false">N253*E253</f>
        <v>0.535653031160363</v>
      </c>
      <c r="P253" s="35" t="n">
        <f aca="false">N253*$AB$3/($AB$4*$AB$1)</f>
        <v>653693.021945068</v>
      </c>
      <c r="Q253" s="35" t="n">
        <f aca="false">IF(G253&lt;=3,F253*SQRT(P253),0)</f>
        <v>0</v>
      </c>
      <c r="R253" s="35" t="n">
        <f aca="false">SQRT(P253/$AB$6)</f>
        <v>373563516.422832</v>
      </c>
      <c r="S253" s="35" t="n">
        <f aca="false">2*$AB$6*R253</f>
        <v>0.00349976907919006</v>
      </c>
      <c r="T253" s="35" t="n">
        <f aca="false">IF(G253&lt;=3,F253*R253,0)</f>
        <v>0</v>
      </c>
      <c r="U253" s="35" t="n">
        <f aca="false">F253*P253</f>
        <v>8179964460.59117</v>
      </c>
      <c r="V253" s="35" t="n">
        <f aca="false">H253^$AB$7*E253</f>
        <v>0.535653031160363</v>
      </c>
      <c r="W253" s="35" t="n">
        <f aca="false">I253^$AB$7*E253</f>
        <v>0.567927230861875</v>
      </c>
      <c r="X253" s="35" t="n">
        <f aca="false">J253^$AB$7*E253</f>
        <v>0.584466217620198</v>
      </c>
      <c r="Y253" s="35" t="n">
        <f aca="false">K253^$AB$7*E253</f>
        <v>0.604134549059446</v>
      </c>
    </row>
    <row r="254" customFormat="false" ht="15" hidden="false" customHeight="false" outlineLevel="0" collapsed="false">
      <c r="A254" s="35" t="n">
        <v>252</v>
      </c>
      <c r="B254" s="35" t="n">
        <f aca="false">C253</f>
        <v>0.146779926762207</v>
      </c>
      <c r="C254" s="35" t="n">
        <f aca="false">Inputs!$B$24*(Inputs!$B$25/Inputs!$B$24)^(11/60)</f>
        <v>0.152522295653902</v>
      </c>
      <c r="D254" s="35" t="n">
        <f aca="false">(B254+C254)/2</f>
        <v>0.149651111208054</v>
      </c>
      <c r="E254" s="35" t="n">
        <f aca="false">C254-B254</f>
        <v>0.00574236889169497</v>
      </c>
      <c r="F254" s="35" t="n">
        <f aca="false">Inputs!$B$16*E254</f>
        <v>13003.0201183541</v>
      </c>
      <c r="G254" s="35" t="n">
        <f aca="false">IF(D254&lt;=Inputs!$B$21,1,IF(D254&lt;=Inputs!$B$22,2,IF(D254&lt;=Inputs!$B$23,3,IF(D254&lt;=Inputs!$B$24,4,5))))</f>
        <v>5</v>
      </c>
      <c r="H254" s="35" t="n">
        <f aca="false">Fit!$B$10*D254^(-1/Fit!$B$9)</f>
        <v>94.5312915385374</v>
      </c>
      <c r="I254" s="35" t="n">
        <f aca="false">EXP(Fit!$B$16+Fit!$B$15*-NORMSINV(D254))</f>
        <v>100.725010380697</v>
      </c>
      <c r="J254" s="35" t="n">
        <f aca="false">Fit!$B$22*LN(1/D254)^(1/Fit!$B$21)</f>
        <v>103.927429858054</v>
      </c>
      <c r="K254" s="35" t="n">
        <f aca="false">MAX(0,Fit!$B$28+Fit!$B$27*-NORMSINV(D254))</f>
        <v>107.792143311586</v>
      </c>
      <c r="L254" s="35" t="n">
        <f aca="false">INDEX(H254:K254,1,Inputs!$B$5)</f>
        <v>94.5312915385374</v>
      </c>
      <c r="M254" s="35" t="n">
        <f aca="false">L254*E254</f>
        <v>0.542833547822645</v>
      </c>
      <c r="N254" s="35" t="n">
        <f aca="false">L254^$AB$7</f>
        <v>94.5312915385374</v>
      </c>
      <c r="O254" s="35" t="n">
        <f aca="false">N254*E254</f>
        <v>0.542833547822645</v>
      </c>
      <c r="P254" s="35" t="n">
        <f aca="false">N254*$AB$3/($AB$4*$AB$1)</f>
        <v>637514.834954956</v>
      </c>
      <c r="Q254" s="35" t="n">
        <f aca="false">IF(G254&lt;=3,F254*SQRT(P254),0)</f>
        <v>0</v>
      </c>
      <c r="R254" s="35" t="n">
        <f aca="false">SQRT(P254/$AB$6)</f>
        <v>368911911.449709</v>
      </c>
      <c r="S254" s="35" t="n">
        <f aca="false">2*$AB$6*R254</f>
        <v>0.00345619002894063</v>
      </c>
      <c r="T254" s="35" t="n">
        <f aca="false">IF(G254&lt;=3,F254*R254,0)</f>
        <v>0</v>
      </c>
      <c r="U254" s="35" t="n">
        <f aca="false">F254*P254</f>
        <v>8289618224.66847</v>
      </c>
      <c r="V254" s="35" t="n">
        <f aca="false">H254^$AB$7*E254</f>
        <v>0.542833547822645</v>
      </c>
      <c r="W254" s="35" t="n">
        <f aca="false">I254^$AB$7*E254</f>
        <v>0.578400166225768</v>
      </c>
      <c r="X254" s="35" t="n">
        <f aca="false">J254^$AB$7*E254</f>
        <v>0.596789640210699</v>
      </c>
      <c r="Y254" s="35" t="n">
        <f aca="false">K254^$AB$7*E254</f>
        <v>0.618982250521577</v>
      </c>
    </row>
    <row r="255" customFormat="false" ht="15" hidden="false" customHeight="false" outlineLevel="0" collapsed="false">
      <c r="A255" s="35" t="n">
        <v>253</v>
      </c>
      <c r="B255" s="35" t="n">
        <f aca="false">C254</f>
        <v>0.152522295653902</v>
      </c>
      <c r="C255" s="35" t="n">
        <f aca="false">Inputs!$B$24*(Inputs!$B$25/Inputs!$B$24)^(12/60)</f>
        <v>0.158489319246111</v>
      </c>
      <c r="D255" s="35" t="n">
        <f aca="false">(B255+C255)/2</f>
        <v>0.155505807450007</v>
      </c>
      <c r="E255" s="35" t="n">
        <f aca="false">C255-B255</f>
        <v>0.00596702359220946</v>
      </c>
      <c r="F255" s="35" t="n">
        <f aca="false">Inputs!$B$16*E255</f>
        <v>13511.7282221991</v>
      </c>
      <c r="G255" s="35" t="n">
        <f aca="false">IF(D255&lt;=Inputs!$B$21,1,IF(D255&lt;=Inputs!$B$22,2,IF(D255&lt;=Inputs!$B$23,3,IF(D255&lt;=Inputs!$B$24,4,5))))</f>
        <v>5</v>
      </c>
      <c r="H255" s="35" t="n">
        <f aca="false">Fit!$B$10*D255^(-1/Fit!$B$9)</f>
        <v>92.1917455137433</v>
      </c>
      <c r="I255" s="35" t="n">
        <f aca="false">EXP(Fit!$B$16+Fit!$B$15*-NORMSINV(D255))</f>
        <v>98.6947708646802</v>
      </c>
      <c r="J255" s="35" t="n">
        <f aca="false">Fit!$B$22*LN(1/D255)^(1/Fit!$B$21)</f>
        <v>102.086932957454</v>
      </c>
      <c r="K255" s="35" t="n">
        <f aca="false">MAX(0,Fit!$B$28+Fit!$B$27*-NORMSINV(D255))</f>
        <v>106.242192823126</v>
      </c>
      <c r="L255" s="35" t="n">
        <f aca="false">INDEX(H255:K255,1,Inputs!$B$5)</f>
        <v>92.1917455137433</v>
      </c>
      <c r="M255" s="35" t="n">
        <f aca="false">L255*E255</f>
        <v>0.550110320487477</v>
      </c>
      <c r="N255" s="35" t="n">
        <f aca="false">L255^$AB$7</f>
        <v>92.1917455137433</v>
      </c>
      <c r="O255" s="35" t="n">
        <f aca="false">N255*E255</f>
        <v>0.550110320487477</v>
      </c>
      <c r="P255" s="35" t="n">
        <f aca="false">N255*$AB$3/($AB$4*$AB$1)</f>
        <v>621737.040389882</v>
      </c>
      <c r="Q255" s="35" t="n">
        <f aca="false">IF(G255&lt;=3,F255*SQRT(P255),0)</f>
        <v>0</v>
      </c>
      <c r="R255" s="35" t="n">
        <f aca="false">SQRT(P255/$AB$6)</f>
        <v>364318228.162925</v>
      </c>
      <c r="S255" s="35" t="n">
        <f aca="false">2*$AB$6*R255</f>
        <v>0.00341315362409941</v>
      </c>
      <c r="T255" s="35" t="n">
        <f aca="false">IF(G255&lt;=3,F255*R255,0)</f>
        <v>0</v>
      </c>
      <c r="U255" s="35" t="n">
        <f aca="false">F255*P255</f>
        <v>8400741915.42251</v>
      </c>
      <c r="V255" s="35" t="n">
        <f aca="false">H255^$AB$7*E255</f>
        <v>0.550110320487477</v>
      </c>
      <c r="W255" s="35" t="n">
        <f aca="false">I255^$AB$7*E255</f>
        <v>0.588914026177254</v>
      </c>
      <c r="X255" s="35" t="n">
        <f aca="false">J255^$AB$7*E255</f>
        <v>0.609155137413432</v>
      </c>
      <c r="Y255" s="35" t="n">
        <f aca="false">K255^$AB$7*E255</f>
        <v>0.633949671063658</v>
      </c>
    </row>
    <row r="256" customFormat="false" ht="15" hidden="false" customHeight="false" outlineLevel="0" collapsed="false">
      <c r="A256" s="35" t="n">
        <v>254</v>
      </c>
      <c r="B256" s="35" t="n">
        <f aca="false">C255</f>
        <v>0.158489319246111</v>
      </c>
      <c r="C256" s="35" t="n">
        <f aca="false">Inputs!$B$24*(Inputs!$B$25/Inputs!$B$24)^(13/60)</f>
        <v>0.164689786548287</v>
      </c>
      <c r="D256" s="35" t="n">
        <f aca="false">(B256+C256)/2</f>
        <v>0.161589552897199</v>
      </c>
      <c r="E256" s="35" t="n">
        <f aca="false">C256-B256</f>
        <v>0.00620046730217549</v>
      </c>
      <c r="F256" s="35" t="n">
        <f aca="false">Inputs!$B$16*E256</f>
        <v>14040.3381590462</v>
      </c>
      <c r="G256" s="35" t="n">
        <f aca="false">IF(D256&lt;=Inputs!$B$21,1,IF(D256&lt;=Inputs!$B$22,2,IF(D256&lt;=Inputs!$B$23,3,IF(D256&lt;=Inputs!$B$24,4,5))))</f>
        <v>5</v>
      </c>
      <c r="H256" s="35" t="n">
        <f aca="false">Fit!$B$10*D256^(-1/Fit!$B$9)</f>
        <v>89.9101006930166</v>
      </c>
      <c r="I256" s="35" t="n">
        <f aca="false">EXP(Fit!$B$16+Fit!$B$15*-NORMSINV(D256))</f>
        <v>96.6795716084459</v>
      </c>
      <c r="J256" s="35" t="n">
        <f aca="false">Fit!$B$22*LN(1/D256)^(1/Fit!$B$21)</f>
        <v>100.241701632951</v>
      </c>
      <c r="K256" s="35" t="n">
        <f aca="false">MAX(0,Fit!$B$28+Fit!$B$27*-NORMSINV(D256))</f>
        <v>104.671867456652</v>
      </c>
      <c r="L256" s="35" t="n">
        <f aca="false">INDEX(H256:K256,1,Inputs!$B$5)</f>
        <v>89.9101006930166</v>
      </c>
      <c r="M256" s="35" t="n">
        <f aca="false">L256*E256</f>
        <v>0.557484639482355</v>
      </c>
      <c r="N256" s="35" t="n">
        <f aca="false">L256^$AB$7</f>
        <v>89.9101006930166</v>
      </c>
      <c r="O256" s="35" t="n">
        <f aca="false">N256*E256</f>
        <v>0.557484639482355</v>
      </c>
      <c r="P256" s="35" t="n">
        <f aca="false">N256*$AB$3/($AB$4*$AB$1)</f>
        <v>606349.728975455</v>
      </c>
      <c r="Q256" s="35" t="n">
        <f aca="false">IF(G256&lt;=3,F256*SQRT(P256),0)</f>
        <v>0</v>
      </c>
      <c r="R256" s="35" t="n">
        <f aca="false">SQRT(P256/$AB$6)</f>
        <v>359781745.322871</v>
      </c>
      <c r="S256" s="35" t="n">
        <f aca="false">2*$AB$6*R256</f>
        <v>0.00337065310765732</v>
      </c>
      <c r="T256" s="35" t="n">
        <f aca="false">IF(G256&lt;=3,F256*R256,0)</f>
        <v>0</v>
      </c>
      <c r="U256" s="35" t="n">
        <f aca="false">F256*P256</f>
        <v>8513355237.4614</v>
      </c>
      <c r="V256" s="35" t="n">
        <f aca="false">H256^$AB$7*E256</f>
        <v>0.557484639482355</v>
      </c>
      <c r="W256" s="35" t="n">
        <f aca="false">I256^$AB$7*E256</f>
        <v>0.599458522546503</v>
      </c>
      <c r="X256" s="35" t="n">
        <f aca="false">J256^$AB$7*E256</f>
        <v>0.621545393289545</v>
      </c>
      <c r="Y256" s="35" t="n">
        <f aca="false">K256^$AB$7*E256</f>
        <v>0.649014491622621</v>
      </c>
    </row>
    <row r="257" customFormat="false" ht="15" hidden="false" customHeight="false" outlineLevel="0" collapsed="false">
      <c r="A257" s="35" t="n">
        <v>255</v>
      </c>
      <c r="B257" s="35" t="n">
        <f aca="false">C256</f>
        <v>0.164689786548287</v>
      </c>
      <c r="C257" s="35" t="n">
        <f aca="false">Inputs!$B$24*(Inputs!$B$25/Inputs!$B$24)^(14/60)</f>
        <v>0.171132830416178</v>
      </c>
      <c r="D257" s="35" t="n">
        <f aca="false">(B257+C257)/2</f>
        <v>0.167911308482232</v>
      </c>
      <c r="E257" s="35" t="n">
        <f aca="false">C257-B257</f>
        <v>0.00644304386789124</v>
      </c>
      <c r="F257" s="35" t="n">
        <f aca="false">Inputs!$B$16*E257</f>
        <v>14589.6285344529</v>
      </c>
      <c r="G257" s="35" t="n">
        <f aca="false">IF(D257&lt;=Inputs!$B$21,1,IF(D257&lt;=Inputs!$B$22,2,IF(D257&lt;=Inputs!$B$23,3,IF(D257&lt;=Inputs!$B$24,4,5))))</f>
        <v>5</v>
      </c>
      <c r="H257" s="35" t="n">
        <f aca="false">Fit!$B$10*D257^(-1/Fit!$B$9)</f>
        <v>87.6849240849149</v>
      </c>
      <c r="I257" s="35" t="n">
        <f aca="false">EXP(Fit!$B$16+Fit!$B$15*-NORMSINV(D257))</f>
        <v>94.6792452856227</v>
      </c>
      <c r="J257" s="35" t="n">
        <f aca="false">Fit!$B$22*LN(1/D257)^(1/Fit!$B$21)</f>
        <v>98.3916236206414</v>
      </c>
      <c r="K257" s="35" t="n">
        <f aca="false">MAX(0,Fit!$B$28+Fit!$B$27*-NORMSINV(D257))</f>
        <v>103.080421221111</v>
      </c>
      <c r="L257" s="35" t="n">
        <f aca="false">INDEX(H257:K257,1,Inputs!$B$5)</f>
        <v>87.6849240849149</v>
      </c>
      <c r="M257" s="35" t="n">
        <f aca="false">L257*E257</f>
        <v>0.56495781243182</v>
      </c>
      <c r="N257" s="35" t="n">
        <f aca="false">L257^$AB$7</f>
        <v>87.6849240849149</v>
      </c>
      <c r="O257" s="35" t="n">
        <f aca="false">N257*E257</f>
        <v>0.56495781243182</v>
      </c>
      <c r="P257" s="35" t="n">
        <f aca="false">N257*$AB$3/($AB$4*$AB$1)</f>
        <v>591343.236680983</v>
      </c>
      <c r="Q257" s="35" t="n">
        <f aca="false">IF(G257&lt;=3,F257*SQRT(P257),0)</f>
        <v>0</v>
      </c>
      <c r="R257" s="35" t="n">
        <f aca="false">SQRT(P257/$AB$6)</f>
        <v>355301750.670801</v>
      </c>
      <c r="S257" s="35" t="n">
        <f aca="false">2*$AB$6*R257</f>
        <v>0.00332868180674338</v>
      </c>
      <c r="T257" s="35" t="n">
        <f aca="false">IF(G257&lt;=3,F257*R257,0)</f>
        <v>0</v>
      </c>
      <c r="U257" s="35" t="n">
        <f aca="false">F257*P257</f>
        <v>8627478159.53662</v>
      </c>
      <c r="V257" s="35" t="n">
        <f aca="false">H257^$AB$7*E257</f>
        <v>0.56495781243182</v>
      </c>
      <c r="W257" s="35" t="n">
        <f aca="false">I257^$AB$7*E257</f>
        <v>0.610022530754102</v>
      </c>
      <c r="X257" s="35" t="n">
        <f aca="false">J257^$AB$7*E257</f>
        <v>0.633941547220837</v>
      </c>
      <c r="Y257" s="35" t="n">
        <f aca="false">K257^$AB$7*E257</f>
        <v>0.664151675848326</v>
      </c>
    </row>
    <row r="258" customFormat="false" ht="15" hidden="false" customHeight="false" outlineLevel="0" collapsed="false">
      <c r="A258" s="35" t="n">
        <v>256</v>
      </c>
      <c r="B258" s="35" t="n">
        <f aca="false">C257</f>
        <v>0.171132830416178</v>
      </c>
      <c r="C258" s="35" t="n">
        <f aca="false">Inputs!$B$24*(Inputs!$B$25/Inputs!$B$24)^(15/60)</f>
        <v>0.177827941003892</v>
      </c>
      <c r="D258" s="35" t="n">
        <f aca="false">(B258+C258)/2</f>
        <v>0.174480385710035</v>
      </c>
      <c r="E258" s="35" t="n">
        <f aca="false">C258-B258</f>
        <v>0.00669511058771419</v>
      </c>
      <c r="F258" s="35" t="n">
        <f aca="false">Inputs!$B$16*E258</f>
        <v>15160.40841482</v>
      </c>
      <c r="G258" s="35" t="n">
        <f aca="false">IF(D258&lt;=Inputs!$B$21,1,IF(D258&lt;=Inputs!$B$22,2,IF(D258&lt;=Inputs!$B$23,3,IF(D258&lt;=Inputs!$B$24,4,5))))</f>
        <v>5</v>
      </c>
      <c r="H258" s="35" t="n">
        <f aca="false">Fit!$B$10*D258^(-1/Fit!$B$9)</f>
        <v>85.5148181629662</v>
      </c>
      <c r="I258" s="35" t="n">
        <f aca="false">EXP(Fit!$B$16+Fit!$B$15*-NORMSINV(D258))</f>
        <v>92.6936197322823</v>
      </c>
      <c r="J258" s="35" t="n">
        <f aca="false">Fit!$B$22*LN(1/D258)^(1/Fit!$B$21)</f>
        <v>96.5365815187509</v>
      </c>
      <c r="K258" s="35" t="n">
        <f aca="false">MAX(0,Fit!$B$28+Fit!$B$27*-NORMSINV(D258))</f>
        <v>101.467063421791</v>
      </c>
      <c r="L258" s="35" t="n">
        <f aca="false">INDEX(H258:K258,1,Inputs!$B$5)</f>
        <v>85.5148181629662</v>
      </c>
      <c r="M258" s="35" t="n">
        <f aca="false">L258*E258</f>
        <v>0.572531164489329</v>
      </c>
      <c r="N258" s="35" t="n">
        <f aca="false">L258^$AB$7</f>
        <v>85.5148181629662</v>
      </c>
      <c r="O258" s="35" t="n">
        <f aca="false">N258*E258</f>
        <v>0.572531164489329</v>
      </c>
      <c r="P258" s="35" t="n">
        <f aca="false">N258*$AB$3/($AB$4*$AB$1)</f>
        <v>576708.138649958</v>
      </c>
      <c r="Q258" s="35" t="n">
        <f aca="false">IF(G258&lt;=3,F258*SQRT(P258),0)</f>
        <v>0</v>
      </c>
      <c r="R258" s="35" t="n">
        <f aca="false">SQRT(P258/$AB$6)</f>
        <v>350877540.816996</v>
      </c>
      <c r="S258" s="35" t="n">
        <f aca="false">2*$AB$6*R258</f>
        <v>0.00328723313157707</v>
      </c>
      <c r="T258" s="35" t="n">
        <f aca="false">IF(G258&lt;=3,F258*R258,0)</f>
        <v>0</v>
      </c>
      <c r="U258" s="35" t="n">
        <f aca="false">F258*P258</f>
        <v>8743130918.08401</v>
      </c>
      <c r="V258" s="35" t="n">
        <f aca="false">H258^$AB$7*E258</f>
        <v>0.572531164489329</v>
      </c>
      <c r="W258" s="35" t="n">
        <f aca="false">I258^$AB$7*E258</f>
        <v>0.620594034883156</v>
      </c>
      <c r="X258" s="35" t="n">
        <f aca="false">J258^$AB$7*E258</f>
        <v>0.646323089027923</v>
      </c>
      <c r="Y258" s="35" t="n">
        <f aca="false">K258^$AB$7*E258</f>
        <v>0.679333210619503</v>
      </c>
    </row>
    <row r="259" customFormat="false" ht="15" hidden="false" customHeight="false" outlineLevel="0" collapsed="false">
      <c r="A259" s="35" t="n">
        <v>257</v>
      </c>
      <c r="B259" s="35" t="n">
        <f aca="false">C258</f>
        <v>0.177827941003892</v>
      </c>
      <c r="C259" s="35" t="n">
        <f aca="false">Inputs!$B$24*(Inputs!$B$25/Inputs!$B$24)^(16/60)</f>
        <v>0.184784979742229</v>
      </c>
      <c r="D259" s="35" t="n">
        <f aca="false">(B259+C259)/2</f>
        <v>0.181306460373061</v>
      </c>
      <c r="E259" s="35" t="n">
        <f aca="false">C259-B259</f>
        <v>0.00695703873833681</v>
      </c>
      <c r="F259" s="35" t="n">
        <f aca="false">Inputs!$B$16*E259</f>
        <v>15753.5185190899</v>
      </c>
      <c r="G259" s="35" t="n">
        <f aca="false">IF(D259&lt;=Inputs!$B$21,1,IF(D259&lt;=Inputs!$B$22,2,IF(D259&lt;=Inputs!$B$23,3,IF(D259&lt;=Inputs!$B$24,4,5))))</f>
        <v>5</v>
      </c>
      <c r="H259" s="35" t="n">
        <f aca="false">Fit!$B$10*D259^(-1/Fit!$B$9)</f>
        <v>83.3984199879493</v>
      </c>
      <c r="I259" s="35" t="n">
        <f aca="false">EXP(Fit!$B$16+Fit!$B$15*-NORMSINV(D259))</f>
        <v>90.7225175063776</v>
      </c>
      <c r="J259" s="35" t="n">
        <f aca="false">Fit!$B$22*LN(1/D259)^(1/Fit!$B$21)</f>
        <v>94.6764524341812</v>
      </c>
      <c r="K259" s="35" t="n">
        <f aca="false">MAX(0,Fit!$B$28+Fit!$B$27*-NORMSINV(D259))</f>
        <v>99.8309549090665</v>
      </c>
      <c r="L259" s="35" t="n">
        <f aca="false">INDEX(H259:K259,1,Inputs!$B$5)</f>
        <v>83.3984199879493</v>
      </c>
      <c r="M259" s="35" t="n">
        <f aca="false">L259*E259</f>
        <v>0.580206038572246</v>
      </c>
      <c r="N259" s="35" t="n">
        <f aca="false">L259^$AB$7</f>
        <v>83.3984199879493</v>
      </c>
      <c r="O259" s="35" t="n">
        <f aca="false">N259*E259</f>
        <v>0.580206038572246</v>
      </c>
      <c r="P259" s="35" t="n">
        <f aca="false">N259*$AB$3/($AB$4*$AB$1)</f>
        <v>562435.243280758</v>
      </c>
      <c r="Q259" s="35" t="n">
        <f aca="false">IF(G259&lt;=3,F259*SQRT(P259),0)</f>
        <v>0</v>
      </c>
      <c r="R259" s="35" t="n">
        <f aca="false">SQRT(P259/$AB$6)</f>
        <v>346508421.130334</v>
      </c>
      <c r="S259" s="35" t="n">
        <f aca="false">2*$AB$6*R259</f>
        <v>0.00324630057443369</v>
      </c>
      <c r="T259" s="35" t="n">
        <f aca="false">IF(G259&lt;=3,F259*R259,0)</f>
        <v>0</v>
      </c>
      <c r="U259" s="35" t="n">
        <f aca="false">F259*P259</f>
        <v>8860334020.81224</v>
      </c>
      <c r="V259" s="35" t="n">
        <f aca="false">H259^$AB$7*E259</f>
        <v>0.580206038572246</v>
      </c>
      <c r="W259" s="35" t="n">
        <f aca="false">I259^$AB$7*E259</f>
        <v>0.631160068731308</v>
      </c>
      <c r="X259" s="35" t="n">
        <f aca="false">J259^$AB$7*E259</f>
        <v>0.658667747192901</v>
      </c>
      <c r="Y259" s="35" t="n">
        <f aca="false">K259^$AB$7*E259</f>
        <v>0.69452782058753</v>
      </c>
    </row>
    <row r="260" customFormat="false" ht="15" hidden="false" customHeight="false" outlineLevel="0" collapsed="false">
      <c r="A260" s="35" t="n">
        <v>258</v>
      </c>
      <c r="B260" s="35" t="n">
        <f aca="false">C259</f>
        <v>0.184784979742229</v>
      </c>
      <c r="C260" s="35" t="n">
        <f aca="false">Inputs!$B$24*(Inputs!$B$25/Inputs!$B$24)^(17/60)</f>
        <v>0.19201419386388</v>
      </c>
      <c r="D260" s="35" t="n">
        <f aca="false">(B260+C260)/2</f>
        <v>0.188399586803055</v>
      </c>
      <c r="E260" s="35" t="n">
        <f aca="false">C260-B260</f>
        <v>0.00722921412165109</v>
      </c>
      <c r="F260" s="35" t="n">
        <f aca="false">Inputs!$B$16*E260</f>
        <v>16369.8324570667</v>
      </c>
      <c r="G260" s="35" t="n">
        <f aca="false">IF(D260&lt;=Inputs!$B$21,1,IF(D260&lt;=Inputs!$B$22,2,IF(D260&lt;=Inputs!$B$23,3,IF(D260&lt;=Inputs!$B$24,4,5))))</f>
        <v>5</v>
      </c>
      <c r="H260" s="35" t="n">
        <f aca="false">Fit!$B$10*D260^(-1/Fit!$B$9)</f>
        <v>81.334400351897</v>
      </c>
      <c r="I260" s="35" t="n">
        <f aca="false">EXP(Fit!$B$16+Fit!$B$15*-NORMSINV(D260))</f>
        <v>88.7657553995951</v>
      </c>
      <c r="J260" s="35" t="n">
        <f aca="false">Fit!$B$22*LN(1/D260)^(1/Fit!$B$21)</f>
        <v>92.8111075962304</v>
      </c>
      <c r="K260" s="35" t="n">
        <f aca="false">MAX(0,Fit!$B$28+Fit!$B$27*-NORMSINV(D260))</f>
        <v>98.1712039188613</v>
      </c>
      <c r="L260" s="35" t="n">
        <f aca="false">INDEX(H260:K260,1,Inputs!$B$5)</f>
        <v>81.334400351897</v>
      </c>
      <c r="M260" s="35" t="n">
        <f aca="false">L260*E260</f>
        <v>0.587983795599957</v>
      </c>
      <c r="N260" s="35" t="n">
        <f aca="false">L260^$AB$7</f>
        <v>81.334400351897</v>
      </c>
      <c r="O260" s="35" t="n">
        <f aca="false">N260*E260</f>
        <v>0.587983795599957</v>
      </c>
      <c r="P260" s="35" t="n">
        <f aca="false">N260*$AB$3/($AB$4*$AB$1)</f>
        <v>548515.586453842</v>
      </c>
      <c r="Q260" s="35" t="n">
        <f aca="false">IF(G260&lt;=3,F260*SQRT(P260),0)</f>
        <v>0</v>
      </c>
      <c r="R260" s="35" t="n">
        <f aca="false">SQRT(P260/$AB$6)</f>
        <v>342193705.629224</v>
      </c>
      <c r="S260" s="35" t="n">
        <f aca="false">2*$AB$6*R260</f>
        <v>0.00320587770862257</v>
      </c>
      <c r="T260" s="35" t="n">
        <f aca="false">IF(G260&lt;=3,F260*R260,0)</f>
        <v>0</v>
      </c>
      <c r="U260" s="35" t="n">
        <f aca="false">F260*P260</f>
        <v>8979108250.33909</v>
      </c>
      <c r="V260" s="35" t="n">
        <f aca="false">H260^$AB$7*E260</f>
        <v>0.587983795599957</v>
      </c>
      <c r="W260" s="35" t="n">
        <f aca="false">I260^$AB$7*E260</f>
        <v>0.641706652453779</v>
      </c>
      <c r="X260" s="35" t="n">
        <f aca="false">J260^$AB$7*E260</f>
        <v>0.670951369680748</v>
      </c>
      <c r="Y260" s="35" t="n">
        <f aca="false">K260^$AB$7*E260</f>
        <v>0.709700653709721</v>
      </c>
    </row>
    <row r="261" customFormat="false" ht="15" hidden="false" customHeight="false" outlineLevel="0" collapsed="false">
      <c r="A261" s="35" t="n">
        <v>259</v>
      </c>
      <c r="B261" s="35" t="n">
        <f aca="false">C260</f>
        <v>0.19201419386388</v>
      </c>
      <c r="C261" s="35" t="n">
        <f aca="false">Inputs!$B$24*(Inputs!$B$25/Inputs!$B$24)^(18/60)</f>
        <v>0.199526231496888</v>
      </c>
      <c r="D261" s="35" t="n">
        <f aca="false">(B261+C261)/2</f>
        <v>0.195770212680384</v>
      </c>
      <c r="E261" s="35" t="n">
        <f aca="false">C261-B261</f>
        <v>0.00751203763300778</v>
      </c>
      <c r="F261" s="35" t="n">
        <f aca="false">Inputs!$B$16*E261</f>
        <v>17010.2580161828</v>
      </c>
      <c r="G261" s="35" t="n">
        <f aca="false">IF(D261&lt;=Inputs!$B$21,1,IF(D261&lt;=Inputs!$B$22,2,IF(D261&lt;=Inputs!$B$23,3,IF(D261&lt;=Inputs!$B$24,4,5))))</f>
        <v>5</v>
      </c>
      <c r="H261" s="35" t="n">
        <f aca="false">Fit!$B$10*D261^(-1/Fit!$B$9)</f>
        <v>79.3214629432854</v>
      </c>
      <c r="I261" s="35" t="n">
        <f aca="false">EXP(Fit!$B$16+Fit!$B$15*-NORMSINV(D261))</f>
        <v>86.8231438952932</v>
      </c>
      <c r="J261" s="35" t="n">
        <f aca="false">Fit!$B$22*LN(1/D261)^(1/Fit!$B$21)</f>
        <v>90.940411933617</v>
      </c>
      <c r="K261" s="35" t="n">
        <f aca="false">MAX(0,Fit!$B$28+Fit!$B$27*-NORMSINV(D261))</f>
        <v>96.4868614498068</v>
      </c>
      <c r="L261" s="35" t="n">
        <f aca="false">INDEX(H261:K261,1,Inputs!$B$5)</f>
        <v>79.3214629432854</v>
      </c>
      <c r="M261" s="35" t="n">
        <f aca="false">L261*E261</f>
        <v>0.595865814735192</v>
      </c>
      <c r="N261" s="35" t="n">
        <f aca="false">L261^$AB$7</f>
        <v>79.3214629432854</v>
      </c>
      <c r="O261" s="35" t="n">
        <f aca="false">N261*E261</f>
        <v>0.595865814735192</v>
      </c>
      <c r="P261" s="35" t="n">
        <f aca="false">N261*$AB$3/($AB$4*$AB$1)</f>
        <v>534940.425901819</v>
      </c>
      <c r="Q261" s="35" t="n">
        <f aca="false">IF(G261&lt;=3,F261*SQRT(P261),0)</f>
        <v>0</v>
      </c>
      <c r="R261" s="35" t="n">
        <f aca="false">SQRT(P261/$AB$6)</f>
        <v>337932716.873901</v>
      </c>
      <c r="S261" s="35" t="n">
        <f aca="false">2*$AB$6*R261</f>
        <v>0.00316595818747807</v>
      </c>
      <c r="T261" s="35" t="n">
        <f aca="false">IF(G261&lt;=3,F261*R261,0)</f>
        <v>0</v>
      </c>
      <c r="U261" s="35" t="n">
        <f aca="false">F261*P261</f>
        <v>9099474667.87667</v>
      </c>
      <c r="V261" s="35" t="n">
        <f aca="false">H261^$AB$7*E261</f>
        <v>0.595865814735192</v>
      </c>
      <c r="W261" s="35" t="n">
        <f aca="false">I261^$AB$7*E261</f>
        <v>0.652218724357493</v>
      </c>
      <c r="X261" s="35" t="n">
        <f aca="false">J261^$AB$7*E261</f>
        <v>0.683147796806561</v>
      </c>
      <c r="Y261" s="35" t="n">
        <f aca="false">K261^$AB$7*E261</f>
        <v>0.724812934301757</v>
      </c>
    </row>
    <row r="262" customFormat="false" ht="15" hidden="false" customHeight="false" outlineLevel="0" collapsed="false">
      <c r="A262" s="35" t="n">
        <v>260</v>
      </c>
      <c r="B262" s="35" t="n">
        <f aca="false">C261</f>
        <v>0.199526231496888</v>
      </c>
      <c r="C262" s="35" t="n">
        <f aca="false">Inputs!$B$24*(Inputs!$B$25/Inputs!$B$24)^(19/60)</f>
        <v>0.207332157348596</v>
      </c>
      <c r="D262" s="35" t="n">
        <f aca="false">(B262+C262)/2</f>
        <v>0.203429194422742</v>
      </c>
      <c r="E262" s="35" t="n">
        <f aca="false">C262-B262</f>
        <v>0.00780592585170756</v>
      </c>
      <c r="F262" s="35" t="n">
        <f aca="false">Inputs!$B$16*E262</f>
        <v>17675.7384986066</v>
      </c>
      <c r="G262" s="35" t="n">
        <f aca="false">IF(D262&lt;=Inputs!$B$21,1,IF(D262&lt;=Inputs!$B$22,2,IF(D262&lt;=Inputs!$B$23,3,IF(D262&lt;=Inputs!$B$24,4,5))))</f>
        <v>5</v>
      </c>
      <c r="H262" s="35" t="n">
        <f aca="false">Fit!$B$10*D262^(-1/Fit!$B$9)</f>
        <v>77.3583435328818</v>
      </c>
      <c r="I262" s="35" t="n">
        <f aca="false">EXP(Fit!$B$16+Fit!$B$15*-NORMSINV(D262))</f>
        <v>84.8944865651898</v>
      </c>
      <c r="J262" s="35" t="n">
        <f aca="false">Fit!$B$22*LN(1/D262)^(1/Fit!$B$21)</f>
        <v>89.0642236103716</v>
      </c>
      <c r="K262" s="35" t="n">
        <f aca="false">MAX(0,Fit!$B$28+Fit!$B$27*-NORMSINV(D262))</f>
        <v>94.7769161131116</v>
      </c>
      <c r="L262" s="35" t="n">
        <f aca="false">INDEX(H262:K262,1,Inputs!$B$5)</f>
        <v>77.3583435328818</v>
      </c>
      <c r="M262" s="35" t="n">
        <f aca="false">L262*E262</f>
        <v>0.603853493628596</v>
      </c>
      <c r="N262" s="35" t="n">
        <f aca="false">L262^$AB$7</f>
        <v>77.3583435328818</v>
      </c>
      <c r="O262" s="35" t="n">
        <f aca="false">N262*E262</f>
        <v>0.603853493628596</v>
      </c>
      <c r="P262" s="35" t="n">
        <f aca="false">N262*$AB$3/($AB$4*$AB$1)</f>
        <v>521701.235718851</v>
      </c>
      <c r="Q262" s="35" t="n">
        <f aca="false">IF(G262&lt;=3,F262*SQRT(P262),0)</f>
        <v>0</v>
      </c>
      <c r="R262" s="35" t="n">
        <f aca="false">SQRT(P262/$AB$6)</f>
        <v>333724785.860069</v>
      </c>
      <c r="S262" s="35" t="n">
        <f aca="false">2*$AB$6*R262</f>
        <v>0.0031265357433631</v>
      </c>
      <c r="T262" s="35" t="n">
        <f aca="false">IF(G262&lt;=3,F262*R262,0)</f>
        <v>0</v>
      </c>
      <c r="U262" s="35" t="n">
        <f aca="false">F262*P262</f>
        <v>9221454616.96633</v>
      </c>
      <c r="V262" s="35" t="n">
        <f aca="false">H262^$AB$7*E262</f>
        <v>0.603853493628596</v>
      </c>
      <c r="W262" s="35" t="n">
        <f aca="false">I262^$AB$7*E262</f>
        <v>0.662680067346655</v>
      </c>
      <c r="X262" s="35" t="n">
        <f aca="false">J262^$AB$7*E262</f>
        <v>0.695228725542462</v>
      </c>
      <c r="Y262" s="35" t="n">
        <f aca="false">K262^$AB$7*E262</f>
        <v>0.739821579632457</v>
      </c>
    </row>
    <row r="263" customFormat="false" ht="15" hidden="false" customHeight="false" outlineLevel="0" collapsed="false">
      <c r="A263" s="35" t="n">
        <v>261</v>
      </c>
      <c r="B263" s="35" t="n">
        <f aca="false">C262</f>
        <v>0.207332157348596</v>
      </c>
      <c r="C263" s="35" t="n">
        <f aca="false">Inputs!$B$24*(Inputs!$B$25/Inputs!$B$24)^(20/60)</f>
        <v>0.215443469003188</v>
      </c>
      <c r="D263" s="35" t="n">
        <f aca="false">(B263+C263)/2</f>
        <v>0.211387813175892</v>
      </c>
      <c r="E263" s="35" t="n">
        <f aca="false">C263-B263</f>
        <v>0.00811131165459286</v>
      </c>
      <c r="F263" s="35" t="n">
        <f aca="false">Inputs!$B$16*E263</f>
        <v>18367.2541106601</v>
      </c>
      <c r="G263" s="35" t="n">
        <f aca="false">IF(D263&lt;=Inputs!$B$21,1,IF(D263&lt;=Inputs!$B$22,2,IF(D263&lt;=Inputs!$B$23,3,IF(D263&lt;=Inputs!$B$24,4,5))))</f>
        <v>5</v>
      </c>
      <c r="H263" s="35" t="n">
        <f aca="false">Fit!$B$10*D263^(-1/Fit!$B$9)</f>
        <v>75.4438091797441</v>
      </c>
      <c r="I263" s="35" t="n">
        <f aca="false">EXP(Fit!$B$16+Fit!$B$15*-NORMSINV(D263))</f>
        <v>82.9795793962654</v>
      </c>
      <c r="J263" s="35" t="n">
        <f aca="false">Fit!$B$22*LN(1/D263)^(1/Fit!$B$21)</f>
        <v>87.1823935155074</v>
      </c>
      <c r="K263" s="35" t="n">
        <f aca="false">MAX(0,Fit!$B$28+Fit!$B$27*-NORMSINV(D263))</f>
        <v>93.0402883805706</v>
      </c>
      <c r="L263" s="35" t="n">
        <f aca="false">INDEX(H263:K263,1,Inputs!$B$5)</f>
        <v>75.4438091797441</v>
      </c>
      <c r="M263" s="35" t="n">
        <f aca="false">L263*E263</f>
        <v>0.611948248666538</v>
      </c>
      <c r="N263" s="35" t="n">
        <f aca="false">L263^$AB$7</f>
        <v>75.4438091797441</v>
      </c>
      <c r="O263" s="35" t="n">
        <f aca="false">N263*E263</f>
        <v>0.611948248666538</v>
      </c>
      <c r="P263" s="35" t="n">
        <f aca="false">N263*$AB$3/($AB$4*$AB$1)</f>
        <v>508789.701005939</v>
      </c>
      <c r="Q263" s="35" t="n">
        <f aca="false">IF(G263&lt;=3,F263*SQRT(P263),0)</f>
        <v>0</v>
      </c>
      <c r="R263" s="35" t="n">
        <f aca="false">SQRT(P263/$AB$6)</f>
        <v>329569251.913858</v>
      </c>
      <c r="S263" s="35" t="n">
        <f aca="false">2*$AB$6*R263</f>
        <v>0.00308760418668502</v>
      </c>
      <c r="T263" s="35" t="n">
        <f aca="false">IF(G263&lt;=3,F263*R263,0)</f>
        <v>0</v>
      </c>
      <c r="U263" s="35" t="n">
        <f aca="false">F263*P263</f>
        <v>9345069727.26284</v>
      </c>
      <c r="V263" s="35" t="n">
        <f aca="false">H263^$AB$7*E263</f>
        <v>0.611948248666538</v>
      </c>
      <c r="W263" s="35" t="n">
        <f aca="false">I263^$AB$7*E263</f>
        <v>0.673073229450142</v>
      </c>
      <c r="X263" s="35" t="n">
        <f aca="false">J263^$AB$7*E263</f>
        <v>0.707163564597637</v>
      </c>
      <c r="Y263" s="35" t="n">
        <f aca="false">K263^$AB$7*E263</f>
        <v>0.754678775488003</v>
      </c>
    </row>
    <row r="264" customFormat="false" ht="15" hidden="false" customHeight="false" outlineLevel="0" collapsed="false">
      <c r="A264" s="35" t="n">
        <v>262</v>
      </c>
      <c r="B264" s="35" t="n">
        <f aca="false">C263</f>
        <v>0.215443469003188</v>
      </c>
      <c r="C264" s="35" t="n">
        <f aca="false">Inputs!$B$24*(Inputs!$B$25/Inputs!$B$24)^(21/60)</f>
        <v>0.223872113856834</v>
      </c>
      <c r="D264" s="35" t="n">
        <f aca="false">(B264+C264)/2</f>
        <v>0.219657791430011</v>
      </c>
      <c r="E264" s="35" t="n">
        <f aca="false">C264-B264</f>
        <v>0.00842864485364556</v>
      </c>
      <c r="F264" s="35" t="n">
        <f aca="false">Inputs!$B$16*E264</f>
        <v>19085.823406595</v>
      </c>
      <c r="G264" s="35" t="n">
        <f aca="false">IF(D264&lt;=Inputs!$B$21,1,IF(D264&lt;=Inputs!$B$22,2,IF(D264&lt;=Inputs!$B$23,3,IF(D264&lt;=Inputs!$B$24,4,5))))</f>
        <v>5</v>
      </c>
      <c r="H264" s="35" t="n">
        <f aca="false">Fit!$B$10*D264^(-1/Fit!$B$9)</f>
        <v>73.5766574568689</v>
      </c>
      <c r="I264" s="35" t="n">
        <f aca="false">EXP(Fit!$B$16+Fit!$B$15*-NORMSINV(D264))</f>
        <v>81.0782100379224</v>
      </c>
      <c r="J264" s="35" t="n">
        <f aca="false">Fit!$B$22*LN(1/D264)^(1/Fit!$B$21)</f>
        <v>85.2947647006072</v>
      </c>
      <c r="K264" s="35" t="n">
        <f aca="false">MAX(0,Fit!$B$28+Fit!$B$27*-NORMSINV(D264))</f>
        <v>91.2758241434358</v>
      </c>
      <c r="L264" s="35" t="n">
        <f aca="false">INDEX(H264:K264,1,Inputs!$B$5)</f>
        <v>73.5766574568689</v>
      </c>
      <c r="M264" s="35" t="n">
        <f aca="false">L264*E264</f>
        <v>0.62015151522228</v>
      </c>
      <c r="N264" s="35" t="n">
        <f aca="false">L264^$AB$7</f>
        <v>73.5766574568689</v>
      </c>
      <c r="O264" s="35" t="n">
        <f aca="false">N264*E264</f>
        <v>0.62015151522228</v>
      </c>
      <c r="P264" s="35" t="n">
        <f aca="false">N264*$AB$3/($AB$4*$AB$1)</f>
        <v>496197.712648736</v>
      </c>
      <c r="Q264" s="35" t="n">
        <f aca="false">IF(G264&lt;=3,F264*SQRT(P264),0)</f>
        <v>0</v>
      </c>
      <c r="R264" s="35" t="n">
        <f aca="false">SQRT(P264/$AB$6)</f>
        <v>325465462.588093</v>
      </c>
      <c r="S264" s="35" t="n">
        <f aca="false">2*$AB$6*R264</f>
        <v>0.00304915740492391</v>
      </c>
      <c r="T264" s="35" t="n">
        <f aca="false">IF(G264&lt;=3,F264*R264,0)</f>
        <v>0</v>
      </c>
      <c r="U264" s="35" t="n">
        <f aca="false">F264*P264</f>
        <v>9470341918.37014</v>
      </c>
      <c r="V264" s="35" t="n">
        <f aca="false">H264^$AB$7*E264</f>
        <v>0.62015151522228</v>
      </c>
      <c r="W264" s="35" t="n">
        <f aca="false">I264^$AB$7*E264</f>
        <v>0.683379437778928</v>
      </c>
      <c r="X264" s="35" t="n">
        <f aca="false">J264^$AB$7*E264</f>
        <v>0.718919279536681</v>
      </c>
      <c r="Y264" s="35" t="n">
        <f aca="false">K264^$AB$7*E264</f>
        <v>0.769331505428827</v>
      </c>
    </row>
    <row r="265" customFormat="false" ht="15" hidden="false" customHeight="false" outlineLevel="0" collapsed="false">
      <c r="A265" s="35" t="n">
        <v>263</v>
      </c>
      <c r="B265" s="35" t="n">
        <f aca="false">C264</f>
        <v>0.223872113856834</v>
      </c>
      <c r="C265" s="35" t="n">
        <f aca="false">Inputs!$B$24*(Inputs!$B$25/Inputs!$B$24)^(22/60)</f>
        <v>0.232630506715363</v>
      </c>
      <c r="D265" s="35" t="n">
        <f aca="false">(B265+C265)/2</f>
        <v>0.228251310286098</v>
      </c>
      <c r="E265" s="35" t="n">
        <f aca="false">C265-B265</f>
        <v>0.00875839285852864</v>
      </c>
      <c r="F265" s="35" t="n">
        <f aca="false">Inputs!$B$16*E265</f>
        <v>19832.5047888523</v>
      </c>
      <c r="G265" s="35" t="n">
        <f aca="false">IF(D265&lt;=Inputs!$B$21,1,IF(D265&lt;=Inputs!$B$22,2,IF(D265&lt;=Inputs!$B$23,3,IF(D265&lt;=Inputs!$B$24,4,5))))</f>
        <v>5</v>
      </c>
      <c r="H265" s="35" t="n">
        <f aca="false">Fit!$B$10*D265^(-1/Fit!$B$9)</f>
        <v>71.7557156960057</v>
      </c>
      <c r="I265" s="35" t="n">
        <f aca="false">EXP(Fit!$B$16+Fit!$B$15*-NORMSINV(D265))</f>
        <v>79.1901569577342</v>
      </c>
      <c r="J265" s="35" t="n">
        <f aca="false">Fit!$B$22*LN(1/D265)^(1/Fit!$B$21)</f>
        <v>83.4011717585541</v>
      </c>
      <c r="K265" s="35" t="n">
        <f aca="false">MAX(0,Fit!$B$28+Fit!$B$27*-NORMSINV(D265))</f>
        <v>89.4822874796463</v>
      </c>
      <c r="L265" s="35" t="n">
        <f aca="false">INDEX(H265:K265,1,Inputs!$B$5)</f>
        <v>71.7557156960057</v>
      </c>
      <c r="M265" s="35" t="n">
        <f aca="false">L265*E265</f>
        <v>0.628464747910508</v>
      </c>
      <c r="N265" s="35" t="n">
        <f aca="false">L265^$AB$7</f>
        <v>71.7557156960057</v>
      </c>
      <c r="O265" s="35" t="n">
        <f aca="false">N265*E265</f>
        <v>0.628464747910508</v>
      </c>
      <c r="P265" s="35" t="n">
        <f aca="false">N265*$AB$3/($AB$4*$AB$1)</f>
        <v>483917.362224601</v>
      </c>
      <c r="Q265" s="35" t="n">
        <f aca="false">IF(G265&lt;=3,F265*SQRT(P265),0)</f>
        <v>0</v>
      </c>
      <c r="R265" s="35" t="n">
        <f aca="false">SQRT(P265/$AB$6)</f>
        <v>321412773.559861</v>
      </c>
      <c r="S265" s="35" t="n">
        <f aca="false">2*$AB$6*R265</f>
        <v>0.0030111893616728</v>
      </c>
      <c r="T265" s="35" t="n">
        <f aca="false">IF(G265&lt;=3,F265*R265,0)</f>
        <v>0</v>
      </c>
      <c r="U265" s="35" t="n">
        <f aca="false">F265*P265</f>
        <v>9597293403.72815</v>
      </c>
      <c r="V265" s="35" t="n">
        <f aca="false">H265^$AB$7*E265</f>
        <v>0.628464747910508</v>
      </c>
      <c r="W265" s="35" t="n">
        <f aca="false">I265^$AB$7*E265</f>
        <v>0.693578505164382</v>
      </c>
      <c r="X265" s="35" t="n">
        <f aca="false">J265^$AB$7*E265</f>
        <v>0.730460227123041</v>
      </c>
      <c r="Y265" s="35" t="n">
        <f aca="false">K265^$AB$7*E265</f>
        <v>0.783721027626541</v>
      </c>
    </row>
    <row r="266" customFormat="false" ht="15" hidden="false" customHeight="false" outlineLevel="0" collapsed="false">
      <c r="A266" s="35" t="n">
        <v>264</v>
      </c>
      <c r="B266" s="35" t="n">
        <f aca="false">C265</f>
        <v>0.232630506715363</v>
      </c>
      <c r="C266" s="35" t="n">
        <f aca="false">Inputs!$B$24*(Inputs!$B$25/Inputs!$B$24)^(23/60)</f>
        <v>0.24173154808041</v>
      </c>
      <c r="D266" s="35" t="n">
        <f aca="false">(B266+C266)/2</f>
        <v>0.237181027397887</v>
      </c>
      <c r="E266" s="35" t="n">
        <f aca="false">C266-B266</f>
        <v>0.00910104136504783</v>
      </c>
      <c r="F266" s="35" t="n">
        <f aca="false">Inputs!$B$16*E266</f>
        <v>20608.3980670143</v>
      </c>
      <c r="G266" s="35" t="n">
        <f aca="false">IF(D266&lt;=Inputs!$B$21,1,IF(D266&lt;=Inputs!$B$22,2,IF(D266&lt;=Inputs!$B$23,3,IF(D266&lt;=Inputs!$B$24,4,5))))</f>
        <v>5</v>
      </c>
      <c r="H266" s="35" t="n">
        <f aca="false">Fit!$B$10*D266^(-1/Fit!$B$9)</f>
        <v>69.9798402511599</v>
      </c>
      <c r="I266" s="35" t="n">
        <f aca="false">EXP(Fit!$B$16+Fit!$B$15*-NORMSINV(D266))</f>
        <v>77.3151884920712</v>
      </c>
      <c r="J266" s="35" t="n">
        <f aca="false">Fit!$B$22*LN(1/D266)^(1/Fit!$B$21)</f>
        <v>81.5014401355553</v>
      </c>
      <c r="K266" s="35" t="n">
        <f aca="false">MAX(0,Fit!$B$28+Fit!$B$27*-NORMSINV(D266))</f>
        <v>87.6583525085456</v>
      </c>
      <c r="L266" s="35" t="n">
        <f aca="false">INDEX(H266:K266,1,Inputs!$B$5)</f>
        <v>69.9798402511599</v>
      </c>
      <c r="M266" s="35" t="n">
        <f aca="false">L266*E266</f>
        <v>0.636889420845245</v>
      </c>
      <c r="N266" s="35" t="n">
        <f aca="false">L266^$AB$7</f>
        <v>69.9798402511599</v>
      </c>
      <c r="O266" s="35" t="n">
        <f aca="false">N266*E266</f>
        <v>0.636889420845245</v>
      </c>
      <c r="P266" s="35" t="n">
        <f aca="false">N266*$AB$3/($AB$4*$AB$1)</f>
        <v>471940.937035701</v>
      </c>
      <c r="Q266" s="35" t="n">
        <f aca="false">IF(G266&lt;=3,F266*SQRT(P266),0)</f>
        <v>0</v>
      </c>
      <c r="R266" s="35" t="n">
        <f aca="false">SQRT(P266/$AB$6)</f>
        <v>317410548.529341</v>
      </c>
      <c r="S266" s="35" t="n">
        <f aca="false">2*$AB$6*R266</f>
        <v>0.00297369409568992</v>
      </c>
      <c r="T266" s="35" t="n">
        <f aca="false">IF(G266&lt;=3,F266*R266,0)</f>
        <v>0</v>
      </c>
      <c r="U266" s="35" t="n">
        <f aca="false">F266*P266</f>
        <v>9725946694.55145</v>
      </c>
      <c r="V266" s="35" t="n">
        <f aca="false">H266^$AB$7*E266</f>
        <v>0.636889420845245</v>
      </c>
      <c r="W266" s="35" t="n">
        <f aca="false">I266^$AB$7*E266</f>
        <v>0.70364872861281</v>
      </c>
      <c r="X266" s="35" t="n">
        <f aca="false">J266^$AB$7*E266</f>
        <v>0.741747977984658</v>
      </c>
      <c r="Y266" s="35" t="n">
        <f aca="false">K266^$AB$7*E266</f>
        <v>0.797782292172217</v>
      </c>
    </row>
    <row r="267" customFormat="false" ht="15" hidden="false" customHeight="false" outlineLevel="0" collapsed="false">
      <c r="A267" s="35" t="n">
        <v>265</v>
      </c>
      <c r="B267" s="35" t="n">
        <f aca="false">C266</f>
        <v>0.24173154808041</v>
      </c>
      <c r="C267" s="35" t="n">
        <f aca="false">Inputs!$B$24*(Inputs!$B$25/Inputs!$B$24)^(24/60)</f>
        <v>0.251188643150958</v>
      </c>
      <c r="D267" s="35" t="n">
        <f aca="false">(B267+C267)/2</f>
        <v>0.246460095615684</v>
      </c>
      <c r="E267" s="35" t="n">
        <f aca="false">C267-B267</f>
        <v>0.00945709507054759</v>
      </c>
      <c r="F267" s="35" t="n">
        <f aca="false">Inputs!$B$16*E267</f>
        <v>21414.646077748</v>
      </c>
      <c r="G267" s="35" t="n">
        <f aca="false">IF(D267&lt;=Inputs!$B$21,1,IF(D267&lt;=Inputs!$B$22,2,IF(D267&lt;=Inputs!$B$23,3,IF(D267&lt;=Inputs!$B$24,4,5))))</f>
        <v>5</v>
      </c>
      <c r="H267" s="35" t="n">
        <f aca="false">Fit!$B$10*D267^(-1/Fit!$B$9)</f>
        <v>68.2479157803238</v>
      </c>
      <c r="I267" s="35" t="n">
        <f aca="false">EXP(Fit!$B$16+Fit!$B$15*-NORMSINV(D267))</f>
        <v>75.453061775412</v>
      </c>
      <c r="J267" s="35" t="n">
        <f aca="false">Fit!$B$22*LN(1/D267)^(1/Fit!$B$21)</f>
        <v>79.5953853673179</v>
      </c>
      <c r="K267" s="35" t="n">
        <f aca="false">MAX(0,Fit!$B$28+Fit!$B$27*-NORMSINV(D267))</f>
        <v>85.8025941899779</v>
      </c>
      <c r="L267" s="35" t="n">
        <f aca="false">INDEX(H267:K267,1,Inputs!$B$5)</f>
        <v>68.2479157803238</v>
      </c>
      <c r="M267" s="35" t="n">
        <f aca="false">L267*E267</f>
        <v>0.645427027901248</v>
      </c>
      <c r="N267" s="35" t="n">
        <f aca="false">L267^$AB$7</f>
        <v>68.2479157803238</v>
      </c>
      <c r="O267" s="35" t="n">
        <f aca="false">N267*E267</f>
        <v>0.645427027901248</v>
      </c>
      <c r="P267" s="35" t="n">
        <f aca="false">N267*$AB$3/($AB$4*$AB$1)</f>
        <v>460260.915265032</v>
      </c>
      <c r="Q267" s="35" t="n">
        <f aca="false">IF(G267&lt;=3,F267*SQRT(P267),0)</f>
        <v>0</v>
      </c>
      <c r="R267" s="35" t="n">
        <f aca="false">SQRT(P267/$AB$6)</f>
        <v>313458159.119906</v>
      </c>
      <c r="S267" s="35" t="n">
        <f aca="false">2*$AB$6*R267</f>
        <v>0.00293666571996278</v>
      </c>
      <c r="T267" s="35" t="n">
        <f aca="false">IF(G267&lt;=3,F267*R267,0)</f>
        <v>0</v>
      </c>
      <c r="U267" s="35" t="n">
        <f aca="false">F267*P267</f>
        <v>9856324603.82102</v>
      </c>
      <c r="V267" s="35" t="n">
        <f aca="false">H267^$AB$7*E267</f>
        <v>0.645427027901248</v>
      </c>
      <c r="W267" s="35" t="n">
        <f aca="false">I267^$AB$7*E267</f>
        <v>0.713566778573972</v>
      </c>
      <c r="X267" s="35" t="n">
        <f aca="false">J267^$AB$7*E267</f>
        <v>0.752741126595598</v>
      </c>
      <c r="Y267" s="35" t="n">
        <f aca="false">K267^$AB$7*E267</f>
        <v>0.811443290554235</v>
      </c>
    </row>
    <row r="268" customFormat="false" ht="15" hidden="false" customHeight="false" outlineLevel="0" collapsed="false">
      <c r="A268" s="35" t="n">
        <v>266</v>
      </c>
      <c r="B268" s="35" t="n">
        <f aca="false">C267</f>
        <v>0.251188643150958</v>
      </c>
      <c r="C268" s="35" t="n">
        <f aca="false">Inputs!$B$24*(Inputs!$B$25/Inputs!$B$24)^(25/60)</f>
        <v>0.261015721568254</v>
      </c>
      <c r="D268" s="35" t="n">
        <f aca="false">(B268+C268)/2</f>
        <v>0.256102182359606</v>
      </c>
      <c r="E268" s="35" t="n">
        <f aca="false">C268-B268</f>
        <v>0.00982707841729569</v>
      </c>
      <c r="F268" s="35" t="n">
        <f aca="false">Inputs!$B$16*E268</f>
        <v>22252.4363681244</v>
      </c>
      <c r="G268" s="35" t="n">
        <f aca="false">IF(D268&lt;=Inputs!$B$21,1,IF(D268&lt;=Inputs!$B$22,2,IF(D268&lt;=Inputs!$B$23,3,IF(D268&lt;=Inputs!$B$24,4,5))))</f>
        <v>5</v>
      </c>
      <c r="H268" s="35" t="n">
        <f aca="false">Fit!$B$10*D268^(-1/Fit!$B$9)</f>
        <v>66.5588545449841</v>
      </c>
      <c r="I268" s="35" t="n">
        <f aca="false">EXP(Fit!$B$16+Fit!$B$15*-NORMSINV(D268))</f>
        <v>73.6035215291514</v>
      </c>
      <c r="J268" s="35" t="n">
        <f aca="false">Fit!$B$22*LN(1/D268)^(1/Fit!$B$21)</f>
        <v>77.6828122287034</v>
      </c>
      <c r="K268" s="35" t="n">
        <f aca="false">MAX(0,Fit!$B$28+Fit!$B$27*-NORMSINV(D268))</f>
        <v>83.9134778975832</v>
      </c>
      <c r="L268" s="35" t="n">
        <f aca="false">INDEX(H268:K268,1,Inputs!$B$5)</f>
        <v>66.5588545449841</v>
      </c>
      <c r="M268" s="35" t="n">
        <f aca="false">L268*E268</f>
        <v>0.654079082978936</v>
      </c>
      <c r="N268" s="35" t="n">
        <f aca="false">L268^$AB$7</f>
        <v>66.5588545449841</v>
      </c>
      <c r="O268" s="35" t="n">
        <f aca="false">N268*E268</f>
        <v>0.654079082978936</v>
      </c>
      <c r="P268" s="35" t="n">
        <f aca="false">N268*$AB$3/($AB$4*$AB$1)</f>
        <v>448869.961252335</v>
      </c>
      <c r="Q268" s="35" t="n">
        <f aca="false">IF(G268&lt;=3,F268*SQRT(P268),0)</f>
        <v>0</v>
      </c>
      <c r="R268" s="35" t="n">
        <f aca="false">SQRT(P268/$AB$6)</f>
        <v>309554984.77946</v>
      </c>
      <c r="S268" s="35" t="n">
        <f aca="false">2*$AB$6*R268</f>
        <v>0.00290009842078381</v>
      </c>
      <c r="T268" s="35" t="n">
        <f aca="false">IF(G268&lt;=3,F268*R268,0)</f>
        <v>0</v>
      </c>
      <c r="U268" s="35" t="n">
        <f aca="false">F268*P268</f>
        <v>9988450250.33002</v>
      </c>
      <c r="V268" s="35" t="n">
        <f aca="false">H268^$AB$7*E268</f>
        <v>0.654079082978936</v>
      </c>
      <c r="W268" s="35" t="n">
        <f aca="false">I268^$AB$7*E268</f>
        <v>0.723307577856082</v>
      </c>
      <c r="X268" s="35" t="n">
        <f aca="false">J268^$AB$7*E268</f>
        <v>0.763395087447525</v>
      </c>
      <c r="Y268" s="35" t="n">
        <f aca="false">K268^$AB$7*E268</f>
        <v>0.824624327567558</v>
      </c>
    </row>
    <row r="269" customFormat="false" ht="15" hidden="false" customHeight="false" outlineLevel="0" collapsed="false">
      <c r="A269" s="35" t="n">
        <v>267</v>
      </c>
      <c r="B269" s="35" t="n">
        <f aca="false">C268</f>
        <v>0.261015721568254</v>
      </c>
      <c r="C269" s="35" t="n">
        <f aca="false">Inputs!$B$24*(Inputs!$B$25/Inputs!$B$24)^(26/60)</f>
        <v>0.271227257933203</v>
      </c>
      <c r="D269" s="35" t="n">
        <f aca="false">(B269+C269)/2</f>
        <v>0.266121489750728</v>
      </c>
      <c r="E269" s="35" t="n">
        <f aca="false">C269-B269</f>
        <v>0.0102115363649491</v>
      </c>
      <c r="F269" s="35" t="n">
        <f aca="false">Inputs!$B$16*E269</f>
        <v>23123.0029447909</v>
      </c>
      <c r="G269" s="35" t="n">
        <f aca="false">IF(D269&lt;=Inputs!$B$21,1,IF(D269&lt;=Inputs!$B$22,2,IF(D269&lt;=Inputs!$B$23,3,IF(D269&lt;=Inputs!$B$24,4,5))))</f>
        <v>5</v>
      </c>
      <c r="H269" s="35" t="n">
        <f aca="false">Fit!$B$10*D269^(-1/Fit!$B$9)</f>
        <v>64.9115957269652</v>
      </c>
      <c r="I269" s="35" t="n">
        <f aca="false">EXP(Fit!$B$16+Fit!$B$15*-NORMSINV(D269))</f>
        <v>71.7662986870601</v>
      </c>
      <c r="J269" s="35" t="n">
        <f aca="false">Fit!$B$22*LN(1/D269)^(1/Fit!$B$21)</f>
        <v>75.763513784338</v>
      </c>
      <c r="K269" s="35" t="n">
        <f aca="false">MAX(0,Fit!$B$28+Fit!$B$27*-NORMSINV(D269))</f>
        <v>81.9893475629989</v>
      </c>
      <c r="L269" s="35" t="n">
        <f aca="false">INDEX(H269:K269,1,Inputs!$B$5)</f>
        <v>64.9115957269652</v>
      </c>
      <c r="M269" s="35" t="n">
        <f aca="false">L269*E269</f>
        <v>0.662847120272783</v>
      </c>
      <c r="N269" s="35" t="n">
        <f aca="false">L269^$AB$7</f>
        <v>64.9115957269652</v>
      </c>
      <c r="O269" s="35" t="n">
        <f aca="false">N269*E269</f>
        <v>0.662847120272783</v>
      </c>
      <c r="P269" s="35" t="n">
        <f aca="false">N269*$AB$3/($AB$4*$AB$1)</f>
        <v>437760.920886909</v>
      </c>
      <c r="Q269" s="35" t="n">
        <f aca="false">IF(G269&lt;=3,F269*SQRT(P269),0)</f>
        <v>0</v>
      </c>
      <c r="R269" s="35" t="n">
        <f aca="false">SQRT(P269/$AB$6)</f>
        <v>305700412.68301</v>
      </c>
      <c r="S269" s="35" t="n">
        <f aca="false">2*$AB$6*R269</f>
        <v>0.00286398645683764</v>
      </c>
      <c r="T269" s="35" t="n">
        <f aca="false">IF(G269&lt;=3,F269*R269,0)</f>
        <v>0</v>
      </c>
      <c r="U269" s="35" t="n">
        <f aca="false">F269*P269</f>
        <v>10122347062.7824</v>
      </c>
      <c r="V269" s="35" t="n">
        <f aca="false">H269^$AB$7*E269</f>
        <v>0.662847120272783</v>
      </c>
      <c r="W269" s="35" t="n">
        <f aca="false">I269^$AB$7*E269</f>
        <v>0.732844168820716</v>
      </c>
      <c r="X269" s="35" t="n">
        <f aca="false">J269^$AB$7*E269</f>
        <v>0.773661876145094</v>
      </c>
      <c r="Y269" s="35" t="n">
        <f aca="false">K269^$AB$7*E269</f>
        <v>0.837237204178018</v>
      </c>
    </row>
    <row r="270" customFormat="false" ht="15" hidden="false" customHeight="false" outlineLevel="0" collapsed="false">
      <c r="A270" s="35" t="n">
        <v>268</v>
      </c>
      <c r="B270" s="35" t="n">
        <f aca="false">C269</f>
        <v>0.271227257933203</v>
      </c>
      <c r="C270" s="35" t="n">
        <f aca="false">Inputs!$B$24*(Inputs!$B$25/Inputs!$B$24)^(27/60)</f>
        <v>0.281838293126445</v>
      </c>
      <c r="D270" s="35" t="n">
        <f aca="false">(B270+C270)/2</f>
        <v>0.276532775529824</v>
      </c>
      <c r="E270" s="35" t="n">
        <f aca="false">C270-B270</f>
        <v>0.0106110351932425</v>
      </c>
      <c r="F270" s="35" t="n">
        <f aca="false">Inputs!$B$16*E270</f>
        <v>24027.6280915784</v>
      </c>
      <c r="G270" s="35" t="n">
        <f aca="false">IF(D270&lt;=Inputs!$B$21,1,IF(D270&lt;=Inputs!$B$22,2,IF(D270&lt;=Inputs!$B$23,3,IF(D270&lt;=Inputs!$B$24,4,5))))</f>
        <v>5</v>
      </c>
      <c r="H270" s="35" t="n">
        <f aca="false">Fit!$B$10*D270^(-1/Fit!$B$9)</f>
        <v>63.3051047621808</v>
      </c>
      <c r="I270" s="35" t="n">
        <f aca="false">EXP(Fit!$B$16+Fit!$B$15*-NORMSINV(D270))</f>
        <v>69.9411088300703</v>
      </c>
      <c r="J270" s="35" t="n">
        <f aca="false">Fit!$B$22*LN(1/D270)^(1/Fit!$B$21)</f>
        <v>73.8372703254257</v>
      </c>
      <c r="K270" s="35" t="n">
        <f aca="false">MAX(0,Fit!$B$28+Fit!$B$27*-NORMSINV(D270))</f>
        <v>80.0284121469507</v>
      </c>
      <c r="L270" s="35" t="n">
        <f aca="false">INDEX(H270:K270,1,Inputs!$B$5)</f>
        <v>63.3051047621808</v>
      </c>
      <c r="M270" s="35" t="n">
        <f aca="false">L270*E270</f>
        <v>0.671732694543405</v>
      </c>
      <c r="N270" s="35" t="n">
        <f aca="false">L270^$AB$7</f>
        <v>63.3051047621808</v>
      </c>
      <c r="O270" s="35" t="n">
        <f aca="false">N270*E270</f>
        <v>0.671732694543405</v>
      </c>
      <c r="P270" s="35" t="n">
        <f aca="false">N270*$AB$3/($AB$4*$AB$1)</f>
        <v>426926.81711447</v>
      </c>
      <c r="Q270" s="35" t="n">
        <f aca="false">IF(G270&lt;=3,F270*SQRT(P270),0)</f>
        <v>0</v>
      </c>
      <c r="R270" s="35" t="n">
        <f aca="false">SQRT(P270/$AB$6)</f>
        <v>301893837.636445</v>
      </c>
      <c r="S270" s="35" t="n">
        <f aca="false">2*$AB$6*R270</f>
        <v>0.00282832415829962</v>
      </c>
      <c r="T270" s="35" t="n">
        <f aca="false">IF(G270&lt;=3,F270*R270,0)</f>
        <v>0</v>
      </c>
      <c r="U270" s="35" t="n">
        <f aca="false">F270*P270</f>
        <v>10258038783.9478</v>
      </c>
      <c r="V270" s="35" t="n">
        <f aca="false">H270^$AB$7*E270</f>
        <v>0.671732694543405</v>
      </c>
      <c r="W270" s="35" t="n">
        <f aca="false">I270^$AB$7*E270</f>
        <v>0.742147567250281</v>
      </c>
      <c r="X270" s="35" t="n">
        <f aca="false">J270^$AB$7*E270</f>
        <v>0.783489873996054</v>
      </c>
      <c r="Y270" s="35" t="n">
        <f aca="false">K270^$AB$7*E270</f>
        <v>0.849184297750611</v>
      </c>
    </row>
    <row r="271" customFormat="false" ht="15" hidden="false" customHeight="false" outlineLevel="0" collapsed="false">
      <c r="A271" s="35" t="n">
        <v>269</v>
      </c>
      <c r="B271" s="35" t="n">
        <f aca="false">C270</f>
        <v>0.281838293126445</v>
      </c>
      <c r="C271" s="35" t="n">
        <f aca="false">Inputs!$B$24*(Inputs!$B$25/Inputs!$B$24)^(28/60)</f>
        <v>0.292864456462524</v>
      </c>
      <c r="D271" s="35" t="n">
        <f aca="false">(B271+C271)/2</f>
        <v>0.287351374794485</v>
      </c>
      <c r="E271" s="35" t="n">
        <f aca="false">C271-B271</f>
        <v>0.0110261633360783</v>
      </c>
      <c r="F271" s="35" t="n">
        <f aca="false">Inputs!$B$16*E271</f>
        <v>24967.6442582157</v>
      </c>
      <c r="G271" s="35" t="n">
        <f aca="false">IF(D271&lt;=Inputs!$B$21,1,IF(D271&lt;=Inputs!$B$22,2,IF(D271&lt;=Inputs!$B$23,3,IF(D271&lt;=Inputs!$B$24,4,5))))</f>
        <v>5</v>
      </c>
      <c r="H271" s="35" t="n">
        <f aca="false">Fit!$B$10*D271^(-1/Fit!$B$9)</f>
        <v>61.7383726908734</v>
      </c>
      <c r="I271" s="35" t="n">
        <f aca="false">EXP(Fit!$B$16+Fit!$B$15*-NORMSINV(D271))</f>
        <v>68.1276503975482</v>
      </c>
      <c r="J271" s="35" t="n">
        <f aca="false">Fit!$B$22*LN(1/D271)^(1/Fit!$B$21)</f>
        <v>71.9038481753096</v>
      </c>
      <c r="K271" s="35" t="n">
        <f aca="false">MAX(0,Fit!$B$28+Fit!$B$27*-NORMSINV(D271))</f>
        <v>78.0287301428478</v>
      </c>
      <c r="L271" s="35" t="n">
        <f aca="false">INDEX(H271:K271,1,Inputs!$B$5)</f>
        <v>61.7383726908734</v>
      </c>
      <c r="M271" s="35" t="n">
        <f aca="false">L271*E271</f>
        <v>0.680737381393246</v>
      </c>
      <c r="N271" s="35" t="n">
        <f aca="false">L271^$AB$7</f>
        <v>61.7383726908734</v>
      </c>
      <c r="O271" s="35" t="n">
        <f aca="false">N271*E271</f>
        <v>0.680737381393246</v>
      </c>
      <c r="P271" s="35" t="n">
        <f aca="false">N271*$AB$3/($AB$4*$AB$1)</f>
        <v>416360.845555191</v>
      </c>
      <c r="Q271" s="35" t="n">
        <f aca="false">IF(G271&lt;=3,F271*SQRT(P271),0)</f>
        <v>0</v>
      </c>
      <c r="R271" s="35" t="n">
        <f aca="false">SQRT(P271/$AB$6)</f>
        <v>298134661.98152</v>
      </c>
      <c r="S271" s="35" t="n">
        <f aca="false">2*$AB$6*R271</f>
        <v>0.00279310592594563</v>
      </c>
      <c r="T271" s="35" t="n">
        <f aca="false">IF(G271&lt;=3,F271*R271,0)</f>
        <v>0</v>
      </c>
      <c r="U271" s="35" t="n">
        <f aca="false">F271*P271</f>
        <v>10395549474.8719</v>
      </c>
      <c r="V271" s="35" t="n">
        <f aca="false">H271^$AB$7*E271</f>
        <v>0.680737381393246</v>
      </c>
      <c r="W271" s="35" t="n">
        <f aca="false">I271^$AB$7*E271</f>
        <v>0.751186600986607</v>
      </c>
      <c r="X271" s="35" t="n">
        <f aca="false">J271^$AB$7*E271</f>
        <v>0.79282357447354</v>
      </c>
      <c r="Y271" s="35" t="n">
        <f aca="false">K271^$AB$7*E271</f>
        <v>0.860357523461816</v>
      </c>
    </row>
    <row r="272" customFormat="false" ht="15" hidden="false" customHeight="false" outlineLevel="0" collapsed="false">
      <c r="A272" s="35" t="n">
        <v>270</v>
      </c>
      <c r="B272" s="35" t="n">
        <f aca="false">C271</f>
        <v>0.292864456462524</v>
      </c>
      <c r="C272" s="35" t="n">
        <f aca="false">Inputs!$B$24*(Inputs!$B$25/Inputs!$B$24)^(29/60)</f>
        <v>0.304321988710772</v>
      </c>
      <c r="D272" s="35" t="n">
        <f aca="false">(B272+C272)/2</f>
        <v>0.298593222586648</v>
      </c>
      <c r="E272" s="35" t="n">
        <f aca="false">C272-B272</f>
        <v>0.0114575322482485</v>
      </c>
      <c r="F272" s="35" t="n">
        <f aca="false">Inputs!$B$16*E272</f>
        <v>25944.436022934</v>
      </c>
      <c r="G272" s="35" t="n">
        <f aca="false">IF(D272&lt;=Inputs!$B$21,1,IF(D272&lt;=Inputs!$B$22,2,IF(D272&lt;=Inputs!$B$23,3,IF(D272&lt;=Inputs!$B$24,4,5))))</f>
        <v>5</v>
      </c>
      <c r="H272" s="35" t="n">
        <f aca="false">Fit!$B$10*D272^(-1/Fit!$B$9)</f>
        <v>60.2104155239356</v>
      </c>
      <c r="I272" s="35" t="n">
        <f aca="false">EXP(Fit!$B$16+Fit!$B$15*-NORMSINV(D272))</f>
        <v>66.325602635377</v>
      </c>
      <c r="J272" s="35" t="n">
        <f aca="false">Fit!$B$22*LN(1/D272)^(1/Fit!$B$21)</f>
        <v>69.9629983430236</v>
      </c>
      <c r="K272" s="35" t="n">
        <f aca="false">MAX(0,Fit!$B$28+Fit!$B$27*-NORMSINV(D272))</f>
        <v>75.9881917558185</v>
      </c>
      <c r="L272" s="35" t="n">
        <f aca="false">INDEX(H272:K272,1,Inputs!$B$5)</f>
        <v>60.2104155239356</v>
      </c>
      <c r="M272" s="35" t="n">
        <f aca="false">L272*E272</f>
        <v>0.689862777545936</v>
      </c>
      <c r="N272" s="35" t="n">
        <f aca="false">L272^$AB$7</f>
        <v>60.2104155239356</v>
      </c>
      <c r="O272" s="35" t="n">
        <f aca="false">N272*E272</f>
        <v>0.689862777545936</v>
      </c>
      <c r="P272" s="35" t="n">
        <f aca="false">N272*$AB$3/($AB$4*$AB$1)</f>
        <v>406056.370230198</v>
      </c>
      <c r="Q272" s="35" t="n">
        <f aca="false">IF(G272&lt;=3,F272*SQRT(P272),0)</f>
        <v>0</v>
      </c>
      <c r="R272" s="35" t="n">
        <f aca="false">SQRT(P272/$AB$6)</f>
        <v>294422295.502016</v>
      </c>
      <c r="S272" s="35" t="n">
        <f aca="false">2*$AB$6*R272</f>
        <v>0.00275832623027299</v>
      </c>
      <c r="T272" s="35" t="n">
        <f aca="false">IF(G272&lt;=3,F272*R272,0)</f>
        <v>0</v>
      </c>
      <c r="U272" s="35" t="n">
        <f aca="false">F272*P272</f>
        <v>10534903519.1422</v>
      </c>
      <c r="V272" s="35" t="n">
        <f aca="false">H272^$AB$7*E272</f>
        <v>0.689862777545936</v>
      </c>
      <c r="W272" s="35" t="n">
        <f aca="false">I272^$AB$7*E272</f>
        <v>0.759927731079349</v>
      </c>
      <c r="X272" s="35" t="n">
        <f aca="false">J272^$AB$7*E272</f>
        <v>0.801603309699351</v>
      </c>
      <c r="Y272" s="35" t="n">
        <f aca="false">K272^$AB$7*E272</f>
        <v>0.870637157528383</v>
      </c>
    </row>
    <row r="273" customFormat="false" ht="15" hidden="false" customHeight="false" outlineLevel="0" collapsed="false">
      <c r="A273" s="35" t="n">
        <v>271</v>
      </c>
      <c r="B273" s="35" t="n">
        <f aca="false">C272</f>
        <v>0.304321988710772</v>
      </c>
      <c r="C273" s="35" t="n">
        <f aca="false">Inputs!$B$24*(Inputs!$B$25/Inputs!$B$24)^(30/60)</f>
        <v>0.316227766016838</v>
      </c>
      <c r="D273" s="35" t="n">
        <f aca="false">(B273+C273)/2</f>
        <v>0.310274877363805</v>
      </c>
      <c r="E273" s="35" t="n">
        <f aca="false">C273-B273</f>
        <v>0.0119057773060658</v>
      </c>
      <c r="F273" s="35" t="n">
        <f aca="false">Inputs!$B$16*E273</f>
        <v>26959.4421318554</v>
      </c>
      <c r="G273" s="35" t="n">
        <f aca="false">IF(D273&lt;=Inputs!$B$21,1,IF(D273&lt;=Inputs!$B$22,2,IF(D273&lt;=Inputs!$B$23,3,IF(D273&lt;=Inputs!$B$24,4,5))))</f>
        <v>5</v>
      </c>
      <c r="H273" s="35" t="n">
        <f aca="false">Fit!$B$10*D273^(-1/Fit!$B$9)</f>
        <v>58.7202736249137</v>
      </c>
      <c r="I273" s="35" t="n">
        <f aca="false">EXP(Fit!$B$16+Fit!$B$15*-NORMSINV(D273))</f>
        <v>64.5346232326574</v>
      </c>
      <c r="J273" s="35" t="n">
        <f aca="false">Fit!$B$22*LN(1/D273)^(1/Fit!$B$21)</f>
        <v>68.0144550000313</v>
      </c>
      <c r="K273" s="35" t="n">
        <f aca="false">MAX(0,Fit!$B$28+Fit!$B$27*-NORMSINV(D273))</f>
        <v>73.9044983216468</v>
      </c>
      <c r="L273" s="35" t="n">
        <f aca="false">INDEX(H273:K273,1,Inputs!$B$5)</f>
        <v>58.7202736249137</v>
      </c>
      <c r="M273" s="35" t="n">
        <f aca="false">L273*E273</f>
        <v>0.699110501129471</v>
      </c>
      <c r="N273" s="35" t="n">
        <f aca="false">L273^$AB$7</f>
        <v>58.7202736249137</v>
      </c>
      <c r="O273" s="35" t="n">
        <f aca="false">N273*E273</f>
        <v>0.699110501129471</v>
      </c>
      <c r="P273" s="35" t="n">
        <f aca="false">N273*$AB$3/($AB$4*$AB$1)</f>
        <v>396006.919393835</v>
      </c>
      <c r="Q273" s="35" t="n">
        <f aca="false">IF(G273&lt;=3,F273*SQRT(P273),0)</f>
        <v>0</v>
      </c>
      <c r="R273" s="35" t="n">
        <f aca="false">SQRT(P273/$AB$6)</f>
        <v>290756155.331075</v>
      </c>
      <c r="S273" s="35" t="n">
        <f aca="false">2*$AB$6*R273</f>
        <v>0.00272397961063224</v>
      </c>
      <c r="T273" s="35" t="n">
        <f aca="false">IF(G273&lt;=3,F273*R273,0)</f>
        <v>0</v>
      </c>
      <c r="U273" s="35" t="n">
        <f aca="false">F273*P273</f>
        <v>10676125627.2124</v>
      </c>
      <c r="V273" s="35" t="n">
        <f aca="false">H273^$AB$7*E273</f>
        <v>0.699110501129471</v>
      </c>
      <c r="W273" s="35" t="n">
        <f aca="false">I273^$AB$7*E273</f>
        <v>0.768334852738879</v>
      </c>
      <c r="X273" s="35" t="n">
        <f aca="false">J273^$AB$7*E273</f>
        <v>0.809764954823805</v>
      </c>
      <c r="Y273" s="35" t="n">
        <f aca="false">K273^$AB$7*E273</f>
        <v>0.87989049893404</v>
      </c>
    </row>
    <row r="274" customFormat="false" ht="15" hidden="false" customHeight="false" outlineLevel="0" collapsed="false">
      <c r="A274" s="35" t="n">
        <v>272</v>
      </c>
      <c r="B274" s="35" t="n">
        <f aca="false">C273</f>
        <v>0.316227766016838</v>
      </c>
      <c r="C274" s="35" t="n">
        <f aca="false">Inputs!$B$24*(Inputs!$B$25/Inputs!$B$24)^(31/60)</f>
        <v>0.328599324760066</v>
      </c>
      <c r="D274" s="35" t="n">
        <f aca="false">(B274+C274)/2</f>
        <v>0.322413545388452</v>
      </c>
      <c r="E274" s="35" t="n">
        <f aca="false">C274-B274</f>
        <v>0.0123715587432275</v>
      </c>
      <c r="F274" s="35" t="n">
        <f aca="false">Inputs!$B$16*E274</f>
        <v>28014.1576181644</v>
      </c>
      <c r="G274" s="35" t="n">
        <f aca="false">IF(D274&lt;=Inputs!$B$21,1,IF(D274&lt;=Inputs!$B$22,2,IF(D274&lt;=Inputs!$B$23,3,IF(D274&lt;=Inputs!$B$24,4,5))))</f>
        <v>5</v>
      </c>
      <c r="H274" s="35" t="n">
        <f aca="false">Fit!$B$10*D274^(-1/Fit!$B$9)</f>
        <v>57.2670111073061</v>
      </c>
      <c r="I274" s="35" t="n">
        <f aca="false">EXP(Fit!$B$16+Fit!$B$15*-NORMSINV(D274))</f>
        <v>62.7543455881435</v>
      </c>
      <c r="J274" s="35" t="n">
        <f aca="false">Fit!$B$22*LN(1/D274)^(1/Fit!$B$21)</f>
        <v>66.0579337503481</v>
      </c>
      <c r="K274" s="35" t="n">
        <f aca="false">MAX(0,Fit!$B$28+Fit!$B$27*-NORMSINV(D274))</f>
        <v>71.77513843113</v>
      </c>
      <c r="L274" s="35" t="n">
        <f aca="false">INDEX(H274:K274,1,Inputs!$B$5)</f>
        <v>57.2670111073061</v>
      </c>
      <c r="M274" s="35" t="n">
        <f aca="false">L274*E274</f>
        <v>0.708482191963102</v>
      </c>
      <c r="N274" s="35" t="n">
        <f aca="false">L274^$AB$7</f>
        <v>57.2670111073061</v>
      </c>
      <c r="O274" s="35" t="n">
        <f aca="false">N274*E274</f>
        <v>0.708482191963102</v>
      </c>
      <c r="P274" s="35" t="n">
        <f aca="false">N274*$AB$3/($AB$4*$AB$1)</f>
        <v>386206.181469069</v>
      </c>
      <c r="Q274" s="35" t="n">
        <f aca="false">IF(G274&lt;=3,F274*SQRT(P274),0)</f>
        <v>0</v>
      </c>
      <c r="R274" s="35" t="n">
        <f aca="false">SQRT(P274/$AB$6)</f>
        <v>287135665.859685</v>
      </c>
      <c r="S274" s="35" t="n">
        <f aca="false">2*$AB$6*R274</f>
        <v>0.00269006067436984</v>
      </c>
      <c r="T274" s="35" t="n">
        <f aca="false">IF(G274&lt;=3,F274*R274,0)</f>
        <v>0</v>
      </c>
      <c r="U274" s="35" t="n">
        <f aca="false">F274*P274</f>
        <v>10819240840.7839</v>
      </c>
      <c r="V274" s="35" t="n">
        <f aca="false">H274^$AB$7*E274</f>
        <v>0.708482191963102</v>
      </c>
      <c r="W274" s="35" t="n">
        <f aca="false">I274^$AB$7*E274</f>
        <v>0.77636907283652</v>
      </c>
      <c r="X274" s="35" t="n">
        <f aca="false">J274^$AB$7*E274</f>
        <v>0.817239607848664</v>
      </c>
      <c r="Y274" s="35" t="n">
        <f aca="false">K274^$AB$7*E274</f>
        <v>0.887970341404014</v>
      </c>
    </row>
    <row r="275" customFormat="false" ht="15" hidden="false" customHeight="false" outlineLevel="0" collapsed="false">
      <c r="A275" s="35" t="n">
        <v>273</v>
      </c>
      <c r="B275" s="35" t="n">
        <f aca="false">C274</f>
        <v>0.328599324760066</v>
      </c>
      <c r="C275" s="35" t="n">
        <f aca="false">Inputs!$B$24*(Inputs!$B$25/Inputs!$B$24)^(32/60)</f>
        <v>0.34145488738336</v>
      </c>
      <c r="D275" s="35" t="n">
        <f aca="false">(B275+C275)/2</f>
        <v>0.335027106071713</v>
      </c>
      <c r="E275" s="35" t="n">
        <f aca="false">C275-B275</f>
        <v>0.0128555626232946</v>
      </c>
      <c r="F275" s="35" t="n">
        <f aca="false">Inputs!$B$16*E275</f>
        <v>29110.1360041884</v>
      </c>
      <c r="G275" s="35" t="n">
        <f aca="false">IF(D275&lt;=Inputs!$B$21,1,IF(D275&lt;=Inputs!$B$22,2,IF(D275&lt;=Inputs!$B$23,3,IF(D275&lt;=Inputs!$B$24,4,5))))</f>
        <v>5</v>
      </c>
      <c r="H275" s="35" t="n">
        <f aca="false">Fit!$B$10*D275^(-1/Fit!$B$9)</f>
        <v>55.8497152467781</v>
      </c>
      <c r="I275" s="35" t="n">
        <f aca="false">EXP(Fit!$B$16+Fit!$B$15*-NORMSINV(D275))</f>
        <v>60.9843756340307</v>
      </c>
      <c r="J275" s="35" t="n">
        <f aca="false">Fit!$B$22*LN(1/D275)^(1/Fit!$B$21)</f>
        <v>64.0931296580384</v>
      </c>
      <c r="K275" s="35" t="n">
        <f aca="false">MAX(0,Fit!$B$28+Fit!$B$27*-NORMSINV(D275))</f>
        <v>69.5973600997677</v>
      </c>
      <c r="L275" s="35" t="n">
        <f aca="false">INDEX(H275:K275,1,Inputs!$B$5)</f>
        <v>55.8497152467781</v>
      </c>
      <c r="M275" s="35" t="n">
        <f aca="false">L275*E275</f>
        <v>0.717979511848128</v>
      </c>
      <c r="N275" s="35" t="n">
        <f aca="false">L275^$AB$7</f>
        <v>55.8497152467781</v>
      </c>
      <c r="O275" s="35" t="n">
        <f aca="false">N275*E275</f>
        <v>0.717979511848128</v>
      </c>
      <c r="P275" s="35" t="n">
        <f aca="false">N275*$AB$3/($AB$4*$AB$1)</f>
        <v>376648.001083493</v>
      </c>
      <c r="Q275" s="35" t="n">
        <f aca="false">IF(G275&lt;=3,F275*SQRT(P275),0)</f>
        <v>0</v>
      </c>
      <c r="R275" s="35" t="n">
        <f aca="false">SQRT(P275/$AB$6)</f>
        <v>283560258.646305</v>
      </c>
      <c r="S275" s="35" t="n">
        <f aca="false">2*$AB$6*R275</f>
        <v>0.00265656409598145</v>
      </c>
      <c r="T275" s="35" t="n">
        <f aca="false">IF(G275&lt;=3,F275*R275,0)</f>
        <v>0</v>
      </c>
      <c r="U275" s="35" t="n">
        <f aca="false">F275*P275</f>
        <v>10964274537.2462</v>
      </c>
      <c r="V275" s="35" t="n">
        <f aca="false">H275^$AB$7*E275</f>
        <v>0.717979511848128</v>
      </c>
      <c r="W275" s="35" t="n">
        <f aca="false">I275^$AB$7*E275</f>
        <v>0.783988460005804</v>
      </c>
      <c r="X275" s="35" t="n">
        <f aca="false">J275^$AB$7*E275</f>
        <v>0.823953242041855</v>
      </c>
      <c r="Y275" s="35" t="n">
        <f aca="false">K275^$AB$7*E275</f>
        <v>0.894713221178551</v>
      </c>
    </row>
    <row r="276" customFormat="false" ht="15" hidden="false" customHeight="false" outlineLevel="0" collapsed="false">
      <c r="A276" s="35" t="n">
        <v>274</v>
      </c>
      <c r="B276" s="35" t="n">
        <f aca="false">C275</f>
        <v>0.34145488738336</v>
      </c>
      <c r="C276" s="35" t="n">
        <f aca="false">Inputs!$B$24*(Inputs!$B$25/Inputs!$B$24)^(33/60)</f>
        <v>0.354813389233576</v>
      </c>
      <c r="D276" s="35" t="n">
        <f aca="false">(B276+C276)/2</f>
        <v>0.348134138308468</v>
      </c>
      <c r="E276" s="35" t="n">
        <f aca="false">C276-B276</f>
        <v>0.0133585018502154</v>
      </c>
      <c r="F276" s="35" t="n">
        <f aca="false">Inputs!$B$16*E276</f>
        <v>30248.9915896277</v>
      </c>
      <c r="G276" s="35" t="n">
        <f aca="false">IF(D276&lt;=Inputs!$B$21,1,IF(D276&lt;=Inputs!$B$22,2,IF(D276&lt;=Inputs!$B$23,3,IF(D276&lt;=Inputs!$B$24,4,5))))</f>
        <v>5</v>
      </c>
      <c r="H276" s="35" t="n">
        <f aca="false">Fit!$B$10*D276^(-1/Fit!$B$9)</f>
        <v>54.4674959079233</v>
      </c>
      <c r="I276" s="35" t="n">
        <f aca="false">EXP(Fit!$B$16+Fit!$B$15*-NORMSINV(D276))</f>
        <v>59.2242881275285</v>
      </c>
      <c r="J276" s="35" t="n">
        <f aca="false">Fit!$B$22*LN(1/D276)^(1/Fit!$B$21)</f>
        <v>62.1197149883087</v>
      </c>
      <c r="K276" s="35" t="n">
        <f aca="false">MAX(0,Fit!$B$28+Fit!$B$27*-NORMSINV(D276))</f>
        <v>67.3681381619932</v>
      </c>
      <c r="L276" s="35" t="n">
        <f aca="false">INDEX(H276:K276,1,Inputs!$B$5)</f>
        <v>54.4674959079233</v>
      </c>
      <c r="M276" s="35" t="n">
        <f aca="false">L276*E276</f>
        <v>0.727604144862592</v>
      </c>
      <c r="N276" s="35" t="n">
        <f aca="false">L276^$AB$7</f>
        <v>54.4674959079233</v>
      </c>
      <c r="O276" s="35" t="n">
        <f aca="false">N276*E276</f>
        <v>0.727604144862592</v>
      </c>
      <c r="P276" s="35" t="n">
        <f aca="false">N276*$AB$3/($AB$4*$AB$1)</f>
        <v>367326.375203428</v>
      </c>
      <c r="Q276" s="35" t="n">
        <f aca="false">IF(G276&lt;=3,F276*SQRT(P276),0)</f>
        <v>0</v>
      </c>
      <c r="R276" s="35" t="n">
        <f aca="false">SQRT(P276/$AB$6)</f>
        <v>280029372.327614</v>
      </c>
      <c r="S276" s="35" t="n">
        <f aca="false">2*$AB$6*R276</f>
        <v>0.00262348461627577</v>
      </c>
      <c r="T276" s="35" t="n">
        <f aca="false">IF(G276&lt;=3,F276*R276,0)</f>
        <v>0</v>
      </c>
      <c r="U276" s="35" t="n">
        <f aca="false">F276*P276</f>
        <v>11111252434.1769</v>
      </c>
      <c r="V276" s="35" t="n">
        <f aca="false">H276^$AB$7*E276</f>
        <v>0.727604144862592</v>
      </c>
      <c r="W276" s="35" t="n">
        <f aca="false">I276^$AB$7*E276</f>
        <v>0.791147762529278</v>
      </c>
      <c r="X276" s="35" t="n">
        <f aca="false">J276^$AB$7*E276</f>
        <v>0.829826327606172</v>
      </c>
      <c r="Y276" s="35" t="n">
        <f aca="false">K276^$AB$7*E276</f>
        <v>0.899937398282551</v>
      </c>
    </row>
    <row r="277" customFormat="false" ht="15" hidden="false" customHeight="false" outlineLevel="0" collapsed="false">
      <c r="A277" s="35" t="n">
        <v>275</v>
      </c>
      <c r="B277" s="35" t="n">
        <f aca="false">C276</f>
        <v>0.354813389233576</v>
      </c>
      <c r="C277" s="35" t="n">
        <f aca="false">Inputs!$B$24*(Inputs!$B$25/Inputs!$B$24)^(34/60)</f>
        <v>0.368694506451958</v>
      </c>
      <c r="D277" s="35" t="n">
        <f aca="false">(B277+C277)/2</f>
        <v>0.361753947842767</v>
      </c>
      <c r="E277" s="35" t="n">
        <f aca="false">C277-B277</f>
        <v>0.013881117218382</v>
      </c>
      <c r="F277" s="35" t="n">
        <f aca="false">Inputs!$B$16*E277</f>
        <v>31432.4018293043</v>
      </c>
      <c r="G277" s="35" t="n">
        <f aca="false">IF(D277&lt;=Inputs!$B$21,1,IF(D277&lt;=Inputs!$B$22,2,IF(D277&lt;=Inputs!$B$23,3,IF(D277&lt;=Inputs!$B$24,4,5))))</f>
        <v>5</v>
      </c>
      <c r="H277" s="35" t="n">
        <f aca="false">Fit!$B$10*D277^(-1/Fit!$B$9)</f>
        <v>53.1194849852129</v>
      </c>
      <c r="I277" s="35" t="n">
        <f aca="false">EXP(Fit!$B$16+Fit!$B$15*-NORMSINV(D277))</f>
        <v>57.4736222986147</v>
      </c>
      <c r="J277" s="35" t="n">
        <f aca="false">Fit!$B$22*LN(1/D277)^(1/Fit!$B$21)</f>
        <v>60.1373366086329</v>
      </c>
      <c r="K277" s="35" t="n">
        <f aca="false">MAX(0,Fit!$B$28+Fit!$B$27*-NORMSINV(D277))</f>
        <v>65.0841358619052</v>
      </c>
      <c r="L277" s="35" t="n">
        <f aca="false">INDEX(H277:K277,1,Inputs!$B$5)</f>
        <v>53.1194849852129</v>
      </c>
      <c r="M277" s="35" t="n">
        <f aca="false">L277*E277</f>
        <v>0.737357797659825</v>
      </c>
      <c r="N277" s="35" t="n">
        <f aca="false">L277^$AB$7</f>
        <v>53.1194849852129</v>
      </c>
      <c r="O277" s="35" t="n">
        <f aca="false">N277*E277</f>
        <v>0.737357797659825</v>
      </c>
      <c r="P277" s="35" t="n">
        <f aca="false">N277*$AB$3/($AB$4*$AB$1)</f>
        <v>358235.449363714</v>
      </c>
      <c r="Q277" s="35" t="n">
        <f aca="false">IF(G277&lt;=3,F277*SQRT(P277),0)</f>
        <v>0</v>
      </c>
      <c r="R277" s="35" t="n">
        <f aca="false">SQRT(P277/$AB$6)</f>
        <v>276542452.530378</v>
      </c>
      <c r="S277" s="35" t="n">
        <f aca="false">2*$AB$6*R277</f>
        <v>0.00259081704154889</v>
      </c>
      <c r="T277" s="35" t="n">
        <f aca="false">IF(G277&lt;=3,F277*R277,0)</f>
        <v>0</v>
      </c>
      <c r="U277" s="35" t="n">
        <f aca="false">F277*P277</f>
        <v>11260200593.9017</v>
      </c>
      <c r="V277" s="35" t="n">
        <f aca="false">H277^$AB$7*E277</f>
        <v>0.737357797659825</v>
      </c>
      <c r="W277" s="35" t="n">
        <f aca="false">I277^$AB$7*E277</f>
        <v>0.797798088092086</v>
      </c>
      <c r="X277" s="35" t="n">
        <f aca="false">J277^$AB$7*E277</f>
        <v>0.834773418665731</v>
      </c>
      <c r="Y277" s="35" t="n">
        <f aca="false">K277^$AB$7*E277</f>
        <v>0.903440518956207</v>
      </c>
    </row>
    <row r="278" customFormat="false" ht="15" hidden="false" customHeight="false" outlineLevel="0" collapsed="false">
      <c r="A278" s="35" t="n">
        <v>276</v>
      </c>
      <c r="B278" s="35" t="n">
        <f aca="false">C277</f>
        <v>0.368694506451958</v>
      </c>
      <c r="C278" s="35" t="n">
        <f aca="false">Inputs!$B$24*(Inputs!$B$25/Inputs!$B$24)^(35/60)</f>
        <v>0.383118684955729</v>
      </c>
      <c r="D278" s="35" t="n">
        <f aca="false">(B278+C278)/2</f>
        <v>0.375906595703843</v>
      </c>
      <c r="E278" s="35" t="n">
        <f aca="false">C278-B278</f>
        <v>0.0144241785037713</v>
      </c>
      <c r="F278" s="35" t="n">
        <f aca="false">Inputs!$B$16*E278</f>
        <v>32662.1098039396</v>
      </c>
      <c r="G278" s="35" t="n">
        <f aca="false">IF(D278&lt;=Inputs!$B$21,1,IF(D278&lt;=Inputs!$B$22,2,IF(D278&lt;=Inputs!$B$23,3,IF(D278&lt;=Inputs!$B$24,4,5))))</f>
        <v>5</v>
      </c>
      <c r="H278" s="35" t="n">
        <f aca="false">Fit!$B$10*D278^(-1/Fit!$B$9)</f>
        <v>51.8048358577798</v>
      </c>
      <c r="I278" s="35" t="n">
        <f aca="false">EXP(Fit!$B$16+Fit!$B$15*-NORMSINV(D278))</f>
        <v>55.7318767138604</v>
      </c>
      <c r="J278" s="35" t="n">
        <f aca="false">Fit!$B$22*LN(1/D278)^(1/Fit!$B$21)</f>
        <v>58.1456129839194</v>
      </c>
      <c r="K278" s="35" t="n">
        <f aca="false">MAX(0,Fit!$B$28+Fit!$B$27*-NORMSINV(D278))</f>
        <v>62.7416593428485</v>
      </c>
      <c r="L278" s="35" t="n">
        <f aca="false">INDEX(H278:K278,1,Inputs!$B$5)</f>
        <v>51.8048358577798</v>
      </c>
      <c r="M278" s="35" t="n">
        <f aca="false">L278*E278</f>
        <v>0.747242199771185</v>
      </c>
      <c r="N278" s="35" t="n">
        <f aca="false">L278^$AB$7</f>
        <v>51.8048358577798</v>
      </c>
      <c r="O278" s="35" t="n">
        <f aca="false">N278*E278</f>
        <v>0.747242199771185</v>
      </c>
      <c r="P278" s="35" t="n">
        <f aca="false">N278*$AB$3/($AB$4*$AB$1)</f>
        <v>349369.513990796</v>
      </c>
      <c r="Q278" s="35" t="n">
        <f aca="false">IF(G278&lt;=3,F278*SQRT(P278),0)</f>
        <v>0</v>
      </c>
      <c r="R278" s="35" t="n">
        <f aca="false">SQRT(P278/$AB$6)</f>
        <v>273098951.784406</v>
      </c>
      <c r="S278" s="35" t="n">
        <f aca="false">2*$AB$6*R278</f>
        <v>0.00255855624276874</v>
      </c>
      <c r="T278" s="35" t="n">
        <f aca="false">IF(G278&lt;=3,F278*R278,0)</f>
        <v>0</v>
      </c>
      <c r="U278" s="35" t="n">
        <f aca="false">F278*P278</f>
        <v>11411145428.1164</v>
      </c>
      <c r="V278" s="35" t="n">
        <f aca="false">H278^$AB$7*E278</f>
        <v>0.747242199771185</v>
      </c>
      <c r="W278" s="35" t="n">
        <f aca="false">I278^$AB$7*E278</f>
        <v>0.803886538070895</v>
      </c>
      <c r="X278" s="35" t="n">
        <f aca="false">J278^$AB$7*E278</f>
        <v>0.838702700891253</v>
      </c>
      <c r="Y278" s="35" t="n">
        <f aca="false">K278^$AB$7*E278</f>
        <v>0.904996893984054</v>
      </c>
    </row>
    <row r="279" customFormat="false" ht="15" hidden="false" customHeight="false" outlineLevel="0" collapsed="false">
      <c r="A279" s="35" t="n">
        <v>277</v>
      </c>
      <c r="B279" s="35" t="n">
        <f aca="false">C278</f>
        <v>0.383118684955729</v>
      </c>
      <c r="C279" s="35" t="n">
        <f aca="false">Inputs!$B$24*(Inputs!$B$25/Inputs!$B$24)^(36/60)</f>
        <v>0.398107170553497</v>
      </c>
      <c r="D279" s="35" t="n">
        <f aca="false">(B279+C279)/2</f>
        <v>0.390612927754613</v>
      </c>
      <c r="E279" s="35" t="n">
        <f aca="false">C279-B279</f>
        <v>0.0149884855977684</v>
      </c>
      <c r="F279" s="35" t="n">
        <f aca="false">Inputs!$B$16*E279</f>
        <v>33939.9267875869</v>
      </c>
      <c r="G279" s="35" t="n">
        <f aca="false">IF(D279&lt;=Inputs!$B$21,1,IF(D279&lt;=Inputs!$B$22,2,IF(D279&lt;=Inputs!$B$23,3,IF(D279&lt;=Inputs!$B$24,4,5))))</f>
        <v>5</v>
      </c>
      <c r="H279" s="35" t="n">
        <f aca="false">Fit!$B$10*D279^(-1/Fit!$B$9)</f>
        <v>50.5227228576969</v>
      </c>
      <c r="I279" s="35" t="n">
        <f aca="false">EXP(Fit!$B$16+Fit!$B$15*-NORMSINV(D279))</f>
        <v>53.9985031790241</v>
      </c>
      <c r="J279" s="35" t="n">
        <f aca="false">Fit!$B$22*LN(1/D279)^(1/Fit!$B$21)</f>
        <v>56.1441306838074</v>
      </c>
      <c r="K279" s="35" t="n">
        <f aca="false">MAX(0,Fit!$B$28+Fit!$B$27*-NORMSINV(D279))</f>
        <v>60.3366033842082</v>
      </c>
      <c r="L279" s="35" t="n">
        <f aca="false">INDEX(H279:K279,1,Inputs!$B$5)</f>
        <v>50.5227228576969</v>
      </c>
      <c r="M279" s="35" t="n">
        <f aca="false">L279*E279</f>
        <v>0.757259103912636</v>
      </c>
      <c r="N279" s="35" t="n">
        <f aca="false">L279^$AB$7</f>
        <v>50.5227228576969</v>
      </c>
      <c r="O279" s="35" t="n">
        <f aca="false">N279*E279</f>
        <v>0.757259103912636</v>
      </c>
      <c r="P279" s="35" t="n">
        <f aca="false">N279*$AB$3/($AB$4*$AB$1)</f>
        <v>340723.000816814</v>
      </c>
      <c r="Q279" s="35" t="n">
        <f aca="false">IF(G279&lt;=3,F279*SQRT(P279),0)</f>
        <v>0</v>
      </c>
      <c r="R279" s="35" t="n">
        <f aca="false">SQRT(P279/$AB$6)</f>
        <v>269698329.436593</v>
      </c>
      <c r="S279" s="35" t="n">
        <f aca="false">2*$AB$6*R279</f>
        <v>0.00252669715476988</v>
      </c>
      <c r="T279" s="35" t="n">
        <f aca="false">IF(G279&lt;=3,F279*R279,0)</f>
        <v>0</v>
      </c>
      <c r="U279" s="35" t="n">
        <f aca="false">F279*P279</f>
        <v>11564113702.5696</v>
      </c>
      <c r="V279" s="35" t="n">
        <f aca="false">H279^$AB$7*E279</f>
        <v>0.757259103912636</v>
      </c>
      <c r="W279" s="35" t="n">
        <f aca="false">I279^$AB$7*E279</f>
        <v>0.809355787199856</v>
      </c>
      <c r="X279" s="35" t="n">
        <f aca="false">J279^$AB$7*E279</f>
        <v>0.841515494153476</v>
      </c>
      <c r="Y279" s="35" t="n">
        <f aca="false">K279^$AB$7*E279</f>
        <v>0.904354310842472</v>
      </c>
    </row>
    <row r="280" customFormat="false" ht="15" hidden="false" customHeight="false" outlineLevel="0" collapsed="false">
      <c r="A280" s="35" t="n">
        <v>278</v>
      </c>
      <c r="B280" s="35" t="n">
        <f aca="false">C279</f>
        <v>0.398107170553497</v>
      </c>
      <c r="C280" s="35" t="n">
        <f aca="false">Inputs!$B$24*(Inputs!$B$25/Inputs!$B$24)^(37/60)</f>
        <v>0.413682040238851</v>
      </c>
      <c r="D280" s="35" t="n">
        <f aca="false">(B280+C280)/2</f>
        <v>0.405894605396174</v>
      </c>
      <c r="E280" s="35" t="n">
        <f aca="false">C280-B280</f>
        <v>0.0155748696853535</v>
      </c>
      <c r="F280" s="35" t="n">
        <f aca="false">Inputs!$B$16*E280</f>
        <v>35267.7349155146</v>
      </c>
      <c r="G280" s="35" t="n">
        <f aca="false">IF(D280&lt;=Inputs!$B$21,1,IF(D280&lt;=Inputs!$B$22,2,IF(D280&lt;=Inputs!$B$23,3,IF(D280&lt;=Inputs!$B$24,4,5))))</f>
        <v>5</v>
      </c>
      <c r="H280" s="35" t="n">
        <f aca="false">Fit!$B$10*D280^(-1/Fit!$B$9)</f>
        <v>49.272340751415</v>
      </c>
      <c r="I280" s="35" t="n">
        <f aca="false">EXP(Fit!$B$16+Fit!$B$15*-NORMSINV(D280))</f>
        <v>52.2728994541002</v>
      </c>
      <c r="J280" s="35" t="n">
        <f aca="false">Fit!$B$22*LN(1/D280)^(1/Fit!$B$21)</f>
        <v>54.1324402996204</v>
      </c>
      <c r="K280" s="35" t="n">
        <f aca="false">MAX(0,Fit!$B$28+Fit!$B$27*-NORMSINV(D280))</f>
        <v>57.8643862643792</v>
      </c>
      <c r="L280" s="35" t="n">
        <f aca="false">INDEX(H280:K280,1,Inputs!$B$5)</f>
        <v>49.272340751415</v>
      </c>
      <c r="M280" s="35" t="n">
        <f aca="false">L280*E280</f>
        <v>0.767410286295624</v>
      </c>
      <c r="N280" s="35" t="n">
        <f aca="false">L280^$AB$7</f>
        <v>49.272340751415</v>
      </c>
      <c r="O280" s="35" t="n">
        <f aca="false">N280*E280</f>
        <v>0.767410286295624</v>
      </c>
      <c r="P280" s="35" t="n">
        <f aca="false">N280*$AB$3/($AB$4*$AB$1)</f>
        <v>332290.47938245</v>
      </c>
      <c r="Q280" s="35" t="n">
        <f aca="false">IF(G280&lt;=3,F280*SQRT(P280),0)</f>
        <v>0</v>
      </c>
      <c r="R280" s="35" t="n">
        <f aca="false">SQRT(P280/$AB$6)</f>
        <v>266340051.566036</v>
      </c>
      <c r="S280" s="35" t="n">
        <f aca="false">2*$AB$6*R280</f>
        <v>0.00249523477545819</v>
      </c>
      <c r="T280" s="35" t="n">
        <f aca="false">IF(G280&lt;=3,F280*R280,0)</f>
        <v>0</v>
      </c>
      <c r="U280" s="35" t="n">
        <f aca="false">F280*P280</f>
        <v>11719132541.8095</v>
      </c>
      <c r="V280" s="35" t="n">
        <f aca="false">H280^$AB$7*E280</f>
        <v>0.767410286295624</v>
      </c>
      <c r="W280" s="35" t="n">
        <f aca="false">I280^$AB$7*E280</f>
        <v>0.814143597073199</v>
      </c>
      <c r="X280" s="35" t="n">
        <f aca="false">J280^$AB$7*E280</f>
        <v>0.843105703416769</v>
      </c>
      <c r="Y280" s="35" t="n">
        <f aca="false">K280^$AB$7*E280</f>
        <v>0.901230275490668</v>
      </c>
    </row>
    <row r="281" customFormat="false" ht="15" hidden="false" customHeight="false" outlineLevel="0" collapsed="false">
      <c r="A281" s="35" t="n">
        <v>279</v>
      </c>
      <c r="B281" s="35" t="n">
        <f aca="false">C280</f>
        <v>0.413682040238851</v>
      </c>
      <c r="C281" s="35" t="n">
        <f aca="false">Inputs!$B$24*(Inputs!$B$25/Inputs!$B$24)^(38/60)</f>
        <v>0.429866234708228</v>
      </c>
      <c r="D281" s="35" t="n">
        <f aca="false">(B281+C281)/2</f>
        <v>0.421774137473539</v>
      </c>
      <c r="E281" s="35" t="n">
        <f aca="false">C281-B281</f>
        <v>0.0161841944693769</v>
      </c>
      <c r="F281" s="35" t="n">
        <f aca="false">Inputs!$B$16*E281</f>
        <v>36647.4899564571</v>
      </c>
      <c r="G281" s="35" t="n">
        <f aca="false">IF(D281&lt;=Inputs!$B$21,1,IF(D281&lt;=Inputs!$B$22,2,IF(D281&lt;=Inputs!$B$23,3,IF(D281&lt;=Inputs!$B$24,4,5))))</f>
        <v>5</v>
      </c>
      <c r="H281" s="35" t="n">
        <f aca="false">Fit!$B$10*D281^(-1/Fit!$B$9)</f>
        <v>48.0529042340341</v>
      </c>
      <c r="I281" s="35" t="n">
        <f aca="false">EXP(Fit!$B$16+Fit!$B$15*-NORMSINV(D281))</f>
        <v>50.5544004892723</v>
      </c>
      <c r="J281" s="35" t="n">
        <f aca="false">Fit!$B$22*LN(1/D281)^(1/Fit!$B$21)</f>
        <v>52.1100516416681</v>
      </c>
      <c r="K281" s="35" t="n">
        <f aca="false">MAX(0,Fit!$B$28+Fit!$B$27*-NORMSINV(D281))</f>
        <v>55.3198709997535</v>
      </c>
      <c r="L281" s="35" t="n">
        <f aca="false">INDEX(H281:K281,1,Inputs!$B$5)</f>
        <v>48.0529042340341</v>
      </c>
      <c r="M281" s="35" t="n">
        <f aca="false">L281*E281</f>
        <v>0.777697546941953</v>
      </c>
      <c r="N281" s="35" t="n">
        <f aca="false">L281^$AB$7</f>
        <v>48.0529042340341</v>
      </c>
      <c r="O281" s="35" t="n">
        <f aca="false">N281*E281</f>
        <v>0.777697546941953</v>
      </c>
      <c r="P281" s="35" t="n">
        <f aca="false">N281*$AB$3/($AB$4*$AB$1)</f>
        <v>324066.653626306</v>
      </c>
      <c r="Q281" s="35" t="n">
        <f aca="false">IF(G281&lt;=3,F281*SQRT(P281),0)</f>
        <v>0</v>
      </c>
      <c r="R281" s="35" t="n">
        <f aca="false">SQRT(P281/$AB$6)</f>
        <v>263023590.900203</v>
      </c>
      <c r="S281" s="35" t="n">
        <f aca="false">2*$AB$6*R281</f>
        <v>0.00246416416502552</v>
      </c>
      <c r="T281" s="35" t="n">
        <f aca="false">IF(G281&lt;=3,F281*R281,0)</f>
        <v>0</v>
      </c>
      <c r="U281" s="35" t="n">
        <f aca="false">F281*P281</f>
        <v>11876229433.9927</v>
      </c>
      <c r="V281" s="35" t="n">
        <f aca="false">H281^$AB$7*E281</f>
        <v>0.777697546941953</v>
      </c>
      <c r="W281" s="35" t="n">
        <f aca="false">I281^$AB$7*E281</f>
        <v>0.818182248801147</v>
      </c>
      <c r="X281" s="35" t="n">
        <f aca="false">J281^$AB$7*E281</f>
        <v>0.84335920957803</v>
      </c>
      <c r="Y281" s="35" t="n">
        <f aca="false">K281^$AB$7*E281</f>
        <v>0.895307550280855</v>
      </c>
    </row>
    <row r="282" customFormat="false" ht="15" hidden="false" customHeight="false" outlineLevel="0" collapsed="false">
      <c r="A282" s="35" t="n">
        <v>280</v>
      </c>
      <c r="B282" s="35" t="n">
        <f aca="false">C281</f>
        <v>0.429866234708228</v>
      </c>
      <c r="C282" s="35" t="n">
        <f aca="false">Inputs!$B$24*(Inputs!$B$25/Inputs!$B$24)^(39/60)</f>
        <v>0.446683592150963</v>
      </c>
      <c r="D282" s="35" t="n">
        <f aca="false">(B282+C282)/2</f>
        <v>0.438274913429595</v>
      </c>
      <c r="E282" s="35" t="n">
        <f aca="false">C282-B282</f>
        <v>0.0168173574427355</v>
      </c>
      <c r="F282" s="35" t="n">
        <f aca="false">Inputs!$B$16*E282</f>
        <v>38081.2241933303</v>
      </c>
      <c r="G282" s="35" t="n">
        <f aca="false">IF(D282&lt;=Inputs!$B$21,1,IF(D282&lt;=Inputs!$B$22,2,IF(D282&lt;=Inputs!$B$23,3,IF(D282&lt;=Inputs!$B$24,4,5))))</f>
        <v>5</v>
      </c>
      <c r="H282" s="35" t="n">
        <f aca="false">Fit!$B$10*D282^(-1/Fit!$B$9)</f>
        <v>46.863647436091</v>
      </c>
      <c r="I282" s="35" t="n">
        <f aca="false">EXP(Fit!$B$16+Fit!$B$15*-NORMSINV(D282))</f>
        <v>48.8422678023953</v>
      </c>
      <c r="J282" s="35" t="n">
        <f aca="false">Fit!$B$22*LN(1/D282)^(1/Fit!$B$21)</f>
        <v>50.0764280522158</v>
      </c>
      <c r="K282" s="35" t="n">
        <f aca="false">MAX(0,Fit!$B$28+Fit!$B$27*-NORMSINV(D282))</f>
        <v>52.6972693566064</v>
      </c>
      <c r="L282" s="35" t="n">
        <f aca="false">INDEX(H282:K282,1,Inputs!$B$5)</f>
        <v>46.863647436091</v>
      </c>
      <c r="M282" s="35" t="n">
        <f aca="false">L282*E282</f>
        <v>0.788122710003077</v>
      </c>
      <c r="N282" s="35" t="n">
        <f aca="false">L282^$AB$7</f>
        <v>46.863647436091</v>
      </c>
      <c r="O282" s="35" t="n">
        <f aca="false">N282*E282</f>
        <v>0.788122710003077</v>
      </c>
      <c r="P282" s="35" t="n">
        <f aca="false">N282*$AB$3/($AB$4*$AB$1)</f>
        <v>316046.358558713</v>
      </c>
      <c r="Q282" s="35" t="n">
        <f aca="false">IF(G282&lt;=3,F282*SQRT(P282),0)</f>
        <v>0</v>
      </c>
      <c r="R282" s="35" t="n">
        <f aca="false">SQRT(P282/$AB$6)</f>
        <v>259748426.732149</v>
      </c>
      <c r="S282" s="35" t="n">
        <f aca="false">2*$AB$6*R282</f>
        <v>0.00243348044517411</v>
      </c>
      <c r="T282" s="35" t="n">
        <f aca="false">IF(G282&lt;=3,F282*R282,0)</f>
        <v>0</v>
      </c>
      <c r="U282" s="35" t="n">
        <f aca="false">F282*P282</f>
        <v>12035432235.76</v>
      </c>
      <c r="V282" s="35" t="n">
        <f aca="false">H282^$AB$7*E282</f>
        <v>0.788122710003077</v>
      </c>
      <c r="W282" s="35" t="n">
        <f aca="false">I282^$AB$7*E282</f>
        <v>0.821397875946692</v>
      </c>
      <c r="X282" s="35" t="n">
        <f aca="false">J282^$AB$7*E282</f>
        <v>0.84215319000954</v>
      </c>
      <c r="Y282" s="35" t="n">
        <f aca="false">K282^$AB$7*E282</f>
        <v>0.886228815026162</v>
      </c>
    </row>
    <row r="283" customFormat="false" ht="15" hidden="false" customHeight="false" outlineLevel="0" collapsed="false">
      <c r="A283" s="35" t="n">
        <v>281</v>
      </c>
      <c r="B283" s="35" t="n">
        <f aca="false">C282</f>
        <v>0.446683592150963</v>
      </c>
      <c r="C283" s="35" t="n">
        <f aca="false">Inputs!$B$24*(Inputs!$B$25/Inputs!$B$24)^(40/60)</f>
        <v>0.464158883361278</v>
      </c>
      <c r="D283" s="35" t="n">
        <f aca="false">(B283+C283)/2</f>
        <v>0.455421237756121</v>
      </c>
      <c r="E283" s="35" t="n">
        <f aca="false">C283-B283</f>
        <v>0.0174752912103147</v>
      </c>
      <c r="F283" s="35" t="n">
        <f aca="false">Inputs!$B$16*E283</f>
        <v>39571.0494166365</v>
      </c>
      <c r="G283" s="35" t="n">
        <f aca="false">IF(D283&lt;=Inputs!$B$21,1,IF(D283&lt;=Inputs!$B$22,2,IF(D283&lt;=Inputs!$B$23,3,IF(D283&lt;=Inputs!$B$24,4,5))))</f>
        <v>5</v>
      </c>
      <c r="H283" s="35" t="n">
        <f aca="false">Fit!$B$10*D283^(-1/Fit!$B$9)</f>
        <v>45.7038234425538</v>
      </c>
      <c r="I283" s="35" t="n">
        <f aca="false">EXP(Fit!$B$16+Fit!$B$15*-NORMSINV(D283))</f>
        <v>47.1356764989775</v>
      </c>
      <c r="J283" s="35" t="n">
        <f aca="false">Fit!$B$22*LN(1/D283)^(1/Fit!$B$21)</f>
        <v>48.0309796222853</v>
      </c>
      <c r="K283" s="35" t="n">
        <f aca="false">MAX(0,Fit!$B$28+Fit!$B$27*-NORMSINV(D283))</f>
        <v>49.9900238618222</v>
      </c>
      <c r="L283" s="35" t="n">
        <f aca="false">INDEX(H283:K283,1,Inputs!$B$5)</f>
        <v>45.7038234425538</v>
      </c>
      <c r="M283" s="35" t="n">
        <f aca="false">L283*E283</f>
        <v>0.798687624083433</v>
      </c>
      <c r="N283" s="35" t="n">
        <f aca="false">L283^$AB$7</f>
        <v>45.7038234425538</v>
      </c>
      <c r="O283" s="35" t="n">
        <f aca="false">N283*E283</f>
        <v>0.798687624083433</v>
      </c>
      <c r="P283" s="35" t="n">
        <f aca="false">N283*$AB$3/($AB$4*$AB$1)</f>
        <v>308224.557017841</v>
      </c>
      <c r="Q283" s="35" t="n">
        <f aca="false">IF(G283&lt;=3,F283*SQRT(P283),0)</f>
        <v>0</v>
      </c>
      <c r="R283" s="35" t="n">
        <f aca="false">SQRT(P283/$AB$6)</f>
        <v>256514044.838762</v>
      </c>
      <c r="S283" s="35" t="n">
        <f aca="false">2*$AB$6*R283</f>
        <v>0.00240317879835066</v>
      </c>
      <c r="T283" s="35" t="n">
        <f aca="false">IF(G283&lt;=3,F283*R283,0)</f>
        <v>0</v>
      </c>
      <c r="U283" s="35" t="n">
        <f aca="false">F283*P283</f>
        <v>12196769177.1739</v>
      </c>
      <c r="V283" s="35" t="n">
        <f aca="false">H283^$AB$7*E283</f>
        <v>0.798687624083433</v>
      </c>
      <c r="W283" s="35" t="n">
        <f aca="false">I283^$AB$7*E283</f>
        <v>0.823709673214816</v>
      </c>
      <c r="X283" s="35" t="n">
        <f aca="false">J283^$AB$7*E283</f>
        <v>0.839355356016125</v>
      </c>
      <c r="Y283" s="35" t="n">
        <f aca="false">K283^$AB$7*E283</f>
        <v>0.873590224595922</v>
      </c>
    </row>
    <row r="284" customFormat="false" ht="15" hidden="false" customHeight="false" outlineLevel="0" collapsed="false">
      <c r="A284" s="35" t="n">
        <v>282</v>
      </c>
      <c r="B284" s="35" t="n">
        <f aca="false">C283</f>
        <v>0.464158883361278</v>
      </c>
      <c r="C284" s="35" t="n">
        <f aca="false">Inputs!$B$24*(Inputs!$B$25/Inputs!$B$24)^(41/60)</f>
        <v>0.482317848223931</v>
      </c>
      <c r="D284" s="35" t="n">
        <f aca="false">(B284+C284)/2</f>
        <v>0.473238365792604</v>
      </c>
      <c r="E284" s="35" t="n">
        <f aca="false">C284-B284</f>
        <v>0.0181589648626528</v>
      </c>
      <c r="F284" s="35" t="n">
        <f aca="false">Inputs!$B$16*E284</f>
        <v>41119.1600349911</v>
      </c>
      <c r="G284" s="35" t="n">
        <f aca="false">IF(D284&lt;=Inputs!$B$21,1,IF(D284&lt;=Inputs!$B$22,2,IF(D284&lt;=Inputs!$B$23,3,IF(D284&lt;=Inputs!$B$24,4,5))))</f>
        <v>5</v>
      </c>
      <c r="H284" s="35" t="n">
        <f aca="false">Fit!$B$10*D284^(-1/Fit!$B$9)</f>
        <v>44.5727038237201</v>
      </c>
      <c r="I284" s="35" t="n">
        <f aca="false">EXP(Fit!$B$16+Fit!$B$15*-NORMSINV(D284))</f>
        <v>45.4336992704604</v>
      </c>
      <c r="J284" s="35" t="n">
        <f aca="false">Fit!$B$22*LN(1/D284)^(1/Fit!$B$21)</f>
        <v>45.9730550368</v>
      </c>
      <c r="K284" s="35" t="n">
        <f aca="false">MAX(0,Fit!$B$28+Fit!$B$27*-NORMSINV(D284))</f>
        <v>47.1906614090202</v>
      </c>
      <c r="L284" s="35" t="n">
        <f aca="false">INDEX(H284:K284,1,Inputs!$B$5)</f>
        <v>44.5727038237201</v>
      </c>
      <c r="M284" s="35" t="n">
        <f aca="false">L284*E284</f>
        <v>0.809394162568366</v>
      </c>
      <c r="N284" s="35" t="n">
        <f aca="false">L284^$AB$7</f>
        <v>44.5727038237201</v>
      </c>
      <c r="O284" s="35" t="n">
        <f aca="false">N284*E284</f>
        <v>0.809394162568366</v>
      </c>
      <c r="P284" s="35" t="n">
        <f aca="false">N284*$AB$3/($AB$4*$AB$1)</f>
        <v>300596.336506107</v>
      </c>
      <c r="Q284" s="35" t="n">
        <f aca="false">IF(G284&lt;=3,F284*SQRT(P284),0)</f>
        <v>0</v>
      </c>
      <c r="R284" s="35" t="n">
        <f aca="false">SQRT(P284/$AB$6)</f>
        <v>253319937.400022</v>
      </c>
      <c r="S284" s="35" t="n">
        <f aca="false">2*$AB$6*R284</f>
        <v>0.00237325446698994</v>
      </c>
      <c r="T284" s="35" t="n">
        <f aca="false">IF(G284&lt;=3,F284*R284,0)</f>
        <v>0</v>
      </c>
      <c r="U284" s="35" t="n">
        <f aca="false">F284*P284</f>
        <v>12360268866.7266</v>
      </c>
      <c r="V284" s="35" t="n">
        <f aca="false">H284^$AB$7*E284</f>
        <v>0.809394162568366</v>
      </c>
      <c r="W284" s="35" t="n">
        <f aca="false">I284^$AB$7*E284</f>
        <v>0.825028948632626</v>
      </c>
      <c r="X284" s="35" t="n">
        <f aca="false">J284^$AB$7*E284</f>
        <v>0.834823091042057</v>
      </c>
      <c r="Y284" s="35" t="n">
        <f aca="false">K284^$AB$7*E284</f>
        <v>0.856933562371745</v>
      </c>
    </row>
    <row r="285" customFormat="false" ht="15" hidden="false" customHeight="false" outlineLevel="0" collapsed="false">
      <c r="A285" s="35" t="n">
        <v>283</v>
      </c>
      <c r="B285" s="35" t="n">
        <f aca="false">C284</f>
        <v>0.482317848223931</v>
      </c>
      <c r="C285" s="35" t="n">
        <f aca="false">Inputs!$B$24*(Inputs!$B$25/Inputs!$B$24)^(42/60)</f>
        <v>0.501187233627272</v>
      </c>
      <c r="D285" s="35" t="n">
        <f aca="false">(B285+C285)/2</f>
        <v>0.491752540925602</v>
      </c>
      <c r="E285" s="35" t="n">
        <f aca="false">C285-B285</f>
        <v>0.0188693854033415</v>
      </c>
      <c r="F285" s="35" t="n">
        <f aca="false">Inputs!$B$16*E285</f>
        <v>42727.8363073266</v>
      </c>
      <c r="G285" s="35" t="n">
        <f aca="false">IF(D285&lt;=Inputs!$B$21,1,IF(D285&lt;=Inputs!$B$22,2,IF(D285&lt;=Inputs!$B$23,3,IF(D285&lt;=Inputs!$B$24,4,5))))</f>
        <v>5</v>
      </c>
      <c r="H285" s="35" t="n">
        <f aca="false">Fit!$B$10*D285^(-1/Fit!$B$9)</f>
        <v>43.469578177726</v>
      </c>
      <c r="I285" s="35" t="n">
        <f aca="false">EXP(Fit!$B$16+Fit!$B$15*-NORMSINV(D285))</f>
        <v>43.7352864752988</v>
      </c>
      <c r="J285" s="35" t="n">
        <f aca="false">Fit!$B$22*LN(1/D285)^(1/Fit!$B$21)</f>
        <v>43.9019316855454</v>
      </c>
      <c r="K285" s="35" t="n">
        <f aca="false">MAX(0,Fit!$B$28+Fit!$B$27*-NORMSINV(D285))</f>
        <v>44.2906097556413</v>
      </c>
      <c r="L285" s="35" t="n">
        <f aca="false">INDEX(H285:K285,1,Inputs!$B$5)</f>
        <v>43.469578177726</v>
      </c>
      <c r="M285" s="35" t="n">
        <f aca="false">L285*E285</f>
        <v>0.820244223956197</v>
      </c>
      <c r="N285" s="35" t="n">
        <f aca="false">L285^$AB$7</f>
        <v>43.469578177726</v>
      </c>
      <c r="O285" s="35" t="n">
        <f aca="false">N285*E285</f>
        <v>0.820244223956197</v>
      </c>
      <c r="P285" s="35" t="n">
        <f aca="false">N285*$AB$3/($AB$4*$AB$1)</f>
        <v>293156.906104864</v>
      </c>
      <c r="Q285" s="35" t="n">
        <f aca="false">IF(G285&lt;=3,F285*SQRT(P285),0)</f>
        <v>0</v>
      </c>
      <c r="R285" s="35" t="n">
        <f aca="false">SQRT(P285/$AB$6)</f>
        <v>250165602.919276</v>
      </c>
      <c r="S285" s="35" t="n">
        <f aca="false">2*$AB$6*R285</f>
        <v>0.00234370275276782</v>
      </c>
      <c r="T285" s="35" t="n">
        <f aca="false">IF(G285&lt;=3,F285*R285,0)</f>
        <v>0</v>
      </c>
      <c r="U285" s="35" t="n">
        <f aca="false">F285*P285</f>
        <v>12525960296.4109</v>
      </c>
      <c r="V285" s="35" t="n">
        <f aca="false">H285^$AB$7*E285</f>
        <v>0.820244223956197</v>
      </c>
      <c r="W285" s="35" t="n">
        <f aca="false">I285^$AB$7*E285</f>
        <v>0.825257976227965</v>
      </c>
      <c r="X285" s="35" t="n">
        <f aca="false">J285^$AB$7*E285</f>
        <v>0.828402468925727</v>
      </c>
      <c r="Y285" s="35" t="n">
        <f aca="false">K285^$AB$7*E285</f>
        <v>0.835736585228194</v>
      </c>
    </row>
    <row r="286" customFormat="false" ht="15" hidden="false" customHeight="false" outlineLevel="0" collapsed="false">
      <c r="A286" s="35" t="n">
        <v>284</v>
      </c>
      <c r="B286" s="35" t="n">
        <f aca="false">C285</f>
        <v>0.501187233627272</v>
      </c>
      <c r="C286" s="35" t="n">
        <f aca="false">Inputs!$B$24*(Inputs!$B$25/Inputs!$B$24)^(43/60)</f>
        <v>0.520794832859546</v>
      </c>
      <c r="D286" s="35" t="n">
        <f aca="false">(B286+C286)/2</f>
        <v>0.510991033243409</v>
      </c>
      <c r="E286" s="35" t="n">
        <f aca="false">C286-B286</f>
        <v>0.0196075992322742</v>
      </c>
      <c r="F286" s="35" t="n">
        <f aca="false">Inputs!$B$16*E286</f>
        <v>44399.4477015616</v>
      </c>
      <c r="G286" s="35" t="n">
        <f aca="false">IF(D286&lt;=Inputs!$B$21,1,IF(D286&lt;=Inputs!$B$22,2,IF(D286&lt;=Inputs!$B$23,3,IF(D286&lt;=Inputs!$B$24,4,5))))</f>
        <v>5</v>
      </c>
      <c r="H286" s="35" t="n">
        <f aca="false">Fit!$B$10*D286^(-1/Fit!$B$9)</f>
        <v>42.3937536843759</v>
      </c>
      <c r="I286" s="35" t="n">
        <f aca="false">EXP(Fit!$B$16+Fit!$B$15*-NORMSINV(D286))</f>
        <v>42.0392410783759</v>
      </c>
      <c r="J286" s="35" t="n">
        <f aca="false">Fit!$B$22*LN(1/D286)^(1/Fit!$B$21)</f>
        <v>41.8168035566147</v>
      </c>
      <c r="K286" s="35" t="n">
        <f aca="false">MAX(0,Fit!$B$28+Fit!$B$27*-NORMSINV(D286))</f>
        <v>41.279964904181</v>
      </c>
      <c r="L286" s="35" t="n">
        <f aca="false">INDEX(H286:K286,1,Inputs!$B$5)</f>
        <v>42.3937536843759</v>
      </c>
      <c r="M286" s="35" t="n">
        <f aca="false">L286*E286</f>
        <v>0.831239732194989</v>
      </c>
      <c r="N286" s="35" t="n">
        <f aca="false">L286^$AB$7</f>
        <v>42.3937536843759</v>
      </c>
      <c r="O286" s="35" t="n">
        <f aca="false">N286*E286</f>
        <v>0.831239732194989</v>
      </c>
      <c r="P286" s="35" t="n">
        <f aca="false">N286*$AB$3/($AB$4*$AB$1)</f>
        <v>285901.593465461</v>
      </c>
      <c r="Q286" s="35" t="n">
        <f aca="false">IF(G286&lt;=3,F286*SQRT(P286),0)</f>
        <v>0</v>
      </c>
      <c r="R286" s="35" t="n">
        <f aca="false">SQRT(P286/$AB$6)</f>
        <v>247050546.144495</v>
      </c>
      <c r="S286" s="35" t="n">
        <f aca="false">2*$AB$6*R286</f>
        <v>0.0023145190158636</v>
      </c>
      <c r="T286" s="35" t="n">
        <f aca="false">IF(G286&lt;=3,F286*R286,0)</f>
        <v>0</v>
      </c>
      <c r="U286" s="35" t="n">
        <f aca="false">F286*P286</f>
        <v>12693872846.8629</v>
      </c>
      <c r="V286" s="35" t="n">
        <f aca="false">H286^$AB$7*E286</f>
        <v>0.831239732194989</v>
      </c>
      <c r="W286" s="35" t="n">
        <f aca="false">I286^$AB$7*E286</f>
        <v>0.824288591093752</v>
      </c>
      <c r="X286" s="35" t="n">
        <f aca="false">J286^$AB$7*E286</f>
        <v>0.819927125312837</v>
      </c>
      <c r="Y286" s="35" t="n">
        <f aca="false">K286^$AB$7*E286</f>
        <v>0.809401008163524</v>
      </c>
    </row>
    <row r="287" customFormat="false" ht="15" hidden="false" customHeight="false" outlineLevel="0" collapsed="false">
      <c r="A287" s="35" t="n">
        <v>285</v>
      </c>
      <c r="B287" s="35" t="n">
        <f aca="false">C286</f>
        <v>0.520794832859546</v>
      </c>
      <c r="C287" s="35" t="n">
        <f aca="false">Inputs!$B$24*(Inputs!$B$25/Inputs!$B$24)^(44/60)</f>
        <v>0.541169526546464</v>
      </c>
      <c r="D287" s="35" t="n">
        <f aca="false">(B287+C287)/2</f>
        <v>0.530982179703005</v>
      </c>
      <c r="E287" s="35" t="n">
        <f aca="false">C287-B287</f>
        <v>0.0203746936869172</v>
      </c>
      <c r="F287" s="35" t="n">
        <f aca="false">Inputs!$B$16*E287</f>
        <v>46136.4563846554</v>
      </c>
      <c r="G287" s="35" t="n">
        <f aca="false">IF(D287&lt;=Inputs!$B$21,1,IF(D287&lt;=Inputs!$B$22,2,IF(D287&lt;=Inputs!$B$23,3,IF(D287&lt;=Inputs!$B$24,4,5))))</f>
        <v>5</v>
      </c>
      <c r="H287" s="35" t="n">
        <f aca="false">Fit!$B$10*D287^(-1/Fit!$B$9)</f>
        <v>41.3445546700162</v>
      </c>
      <c r="I287" s="35" t="n">
        <f aca="false">EXP(Fit!$B$16+Fit!$B$15*-NORMSINV(D287))</f>
        <v>40.3441867482764</v>
      </c>
      <c r="J287" s="35" t="n">
        <f aca="false">Fit!$B$22*LN(1/D287)^(1/Fit!$B$21)</f>
        <v>39.7167662586709</v>
      </c>
      <c r="K287" s="35" t="n">
        <f aca="false">MAX(0,Fit!$B$28+Fit!$B$27*-NORMSINV(D287))</f>
        <v>38.1471925363259</v>
      </c>
      <c r="L287" s="35" t="n">
        <f aca="false">INDEX(H287:K287,1,Inputs!$B$5)</f>
        <v>41.3445546700162</v>
      </c>
      <c r="M287" s="35" t="n">
        <f aca="false">L287*E287</f>
        <v>0.842382637023584</v>
      </c>
      <c r="N287" s="35" t="n">
        <f aca="false">L287^$AB$7</f>
        <v>41.3445546700162</v>
      </c>
      <c r="O287" s="35" t="n">
        <f aca="false">N287*E287</f>
        <v>0.842382637023584</v>
      </c>
      <c r="P287" s="35" t="n">
        <f aca="false">N287*$AB$3/($AB$4*$AB$1)</f>
        <v>278825.841874765</v>
      </c>
      <c r="Q287" s="35" t="n">
        <f aca="false">IF(G287&lt;=3,F287*SQRT(P287),0)</f>
        <v>0</v>
      </c>
      <c r="R287" s="35" t="n">
        <f aca="false">SQRT(P287/$AB$6)</f>
        <v>243974277.99052</v>
      </c>
      <c r="S287" s="35" t="n">
        <f aca="false">2*$AB$6*R287</f>
        <v>0.00228569867423154</v>
      </c>
      <c r="T287" s="35" t="n">
        <f aca="false">IF(G287&lt;=3,F287*R287,0)</f>
        <v>0</v>
      </c>
      <c r="U287" s="35" t="n">
        <f aca="false">F287*P287</f>
        <v>12864036292.5699</v>
      </c>
      <c r="V287" s="35" t="n">
        <f aca="false">H287^$AB$7*E287</f>
        <v>0.842382637023584</v>
      </c>
      <c r="W287" s="35" t="n">
        <f aca="false">I287^$AB$7*E287</f>
        <v>0.822000447043918</v>
      </c>
      <c r="X287" s="35" t="n">
        <f aca="false">J287^$AB$7*E287</f>
        <v>0.80921694675531</v>
      </c>
      <c r="Y287" s="35" t="n">
        <f aca="false">K287^$AB$7*E287</f>
        <v>0.777237362943496</v>
      </c>
    </row>
    <row r="288" customFormat="false" ht="15" hidden="false" customHeight="false" outlineLevel="0" collapsed="false">
      <c r="A288" s="35" t="n">
        <v>286</v>
      </c>
      <c r="B288" s="35" t="n">
        <f aca="false">C287</f>
        <v>0.541169526546464</v>
      </c>
      <c r="C288" s="35" t="n">
        <f aca="false">Inputs!$B$24*(Inputs!$B$25/Inputs!$B$24)^(45/60)</f>
        <v>0.562341325190349</v>
      </c>
      <c r="D288" s="35" t="n">
        <f aca="false">(B288+C288)/2</f>
        <v>0.551755425868406</v>
      </c>
      <c r="E288" s="35" t="n">
        <f aca="false">C288-B288</f>
        <v>0.0211717986438855</v>
      </c>
      <c r="F288" s="35" t="n">
        <f aca="false">Inputs!$B$16*E288</f>
        <v>47941.4208492144</v>
      </c>
      <c r="G288" s="35" t="n">
        <f aca="false">IF(D288&lt;=Inputs!$B$21,1,IF(D288&lt;=Inputs!$B$22,2,IF(D288&lt;=Inputs!$B$23,3,IF(D288&lt;=Inputs!$B$24,4,5))))</f>
        <v>5</v>
      </c>
      <c r="H288" s="35" t="n">
        <f aca="false">Fit!$B$10*D288^(-1/Fit!$B$9)</f>
        <v>40.3213221831768</v>
      </c>
      <c r="I288" s="35" t="n">
        <f aca="false">EXP(Fit!$B$16+Fit!$B$15*-NORMSINV(D288))</f>
        <v>38.6485267099806</v>
      </c>
      <c r="J288" s="35" t="n">
        <f aca="false">Fit!$B$22*LN(1/D288)^(1/Fit!$B$21)</f>
        <v>37.6007982738709</v>
      </c>
      <c r="K288" s="35" t="n">
        <f aca="false">MAX(0,Fit!$B$28+Fit!$B$27*-NORMSINV(D288))</f>
        <v>34.878739481166</v>
      </c>
      <c r="L288" s="35" t="n">
        <f aca="false">INDEX(H288:K288,1,Inputs!$B$5)</f>
        <v>40.3213221831768</v>
      </c>
      <c r="M288" s="35" t="n">
        <f aca="false">L288*E288</f>
        <v>0.853674914317453</v>
      </c>
      <c r="N288" s="35" t="n">
        <f aca="false">L288^$AB$7</f>
        <v>40.3213221831768</v>
      </c>
      <c r="O288" s="35" t="n">
        <f aca="false">N288*E288</f>
        <v>0.853674914317453</v>
      </c>
      <c r="P288" s="35" t="n">
        <f aca="false">N288*$AB$3/($AB$4*$AB$1)</f>
        <v>271925.207393302</v>
      </c>
      <c r="Q288" s="35" t="n">
        <f aca="false">IF(G288&lt;=3,F288*SQRT(P288),0)</f>
        <v>0</v>
      </c>
      <c r="R288" s="35" t="n">
        <f aca="false">SQRT(P288/$AB$6)</f>
        <v>240936315.462267</v>
      </c>
      <c r="S288" s="35" t="n">
        <f aca="false">2*$AB$6*R288</f>
        <v>0.00225723720288143</v>
      </c>
      <c r="T288" s="35" t="n">
        <f aca="false">IF(G288&lt;=3,F288*R288,0)</f>
        <v>0</v>
      </c>
      <c r="U288" s="35" t="n">
        <f aca="false">F288*P288</f>
        <v>13036480807.1522</v>
      </c>
      <c r="V288" s="35" t="n">
        <f aca="false">H288^$AB$7*E288</f>
        <v>0.853674914317453</v>
      </c>
      <c r="W288" s="35" t="n">
        <f aca="false">I288^$AB$7*E288</f>
        <v>0.81825882538654</v>
      </c>
      <c r="X288" s="35" t="n">
        <f aca="false">J288^$AB$7*E288</f>
        <v>0.796076529903753</v>
      </c>
      <c r="Y288" s="35" t="n">
        <f aca="false">K288^$AB$7*E288</f>
        <v>0.738445649247786</v>
      </c>
    </row>
    <row r="289" customFormat="false" ht="15" hidden="false" customHeight="false" outlineLevel="0" collapsed="false">
      <c r="A289" s="35" t="n">
        <v>287</v>
      </c>
      <c r="B289" s="35" t="n">
        <f aca="false">C288</f>
        <v>0.562341325190349</v>
      </c>
      <c r="C289" s="35" t="n">
        <f aca="false">Inputs!$B$24*(Inputs!$B$25/Inputs!$B$24)^(46/60)</f>
        <v>0.584341413373518</v>
      </c>
      <c r="D289" s="35" t="n">
        <f aca="false">(B289+C289)/2</f>
        <v>0.573341369281934</v>
      </c>
      <c r="E289" s="35" t="n">
        <f aca="false">C289-B289</f>
        <v>0.0220000881831686</v>
      </c>
      <c r="F289" s="35" t="n">
        <f aca="false">Inputs!$B$16*E289</f>
        <v>49816.9996819669</v>
      </c>
      <c r="G289" s="35" t="n">
        <f aca="false">IF(D289&lt;=Inputs!$B$21,1,IF(D289&lt;=Inputs!$B$22,2,IF(D289&lt;=Inputs!$B$23,3,IF(D289&lt;=Inputs!$B$24,4,5))))</f>
        <v>5</v>
      </c>
      <c r="H289" s="35" t="n">
        <f aca="false">Fit!$B$10*D289^(-1/Fit!$B$9)</f>
        <v>39.3234135807153</v>
      </c>
      <c r="I289" s="35" t="n">
        <f aca="false">EXP(Fit!$B$16+Fit!$B$15*-NORMSINV(D289))</f>
        <v>36.9503898933351</v>
      </c>
      <c r="J289" s="35" t="n">
        <f aca="false">Fit!$B$22*LN(1/D289)^(1/Fit!$B$21)</f>
        <v>35.4677371854525</v>
      </c>
      <c r="K289" s="35" t="n">
        <f aca="false">MAX(0,Fit!$B$28+Fit!$B$27*-NORMSINV(D289))</f>
        <v>31.4585202545529</v>
      </c>
      <c r="L289" s="35" t="n">
        <f aca="false">INDEX(H289:K289,1,Inputs!$B$5)</f>
        <v>39.3234135807153</v>
      </c>
      <c r="M289" s="35" t="n">
        <f aca="false">L289*E289</f>
        <v>0.865118566438946</v>
      </c>
      <c r="N289" s="35" t="n">
        <f aca="false">L289^$AB$7</f>
        <v>39.3234135807153</v>
      </c>
      <c r="O289" s="35" t="n">
        <f aca="false">N289*E289</f>
        <v>0.865118566438946</v>
      </c>
      <c r="P289" s="35" t="n">
        <f aca="false">N289*$AB$3/($AB$4*$AB$1)</f>
        <v>265195.356064243</v>
      </c>
      <c r="Q289" s="35" t="n">
        <f aca="false">IF(G289&lt;=3,F289*SQRT(P289),0)</f>
        <v>0</v>
      </c>
      <c r="R289" s="35" t="n">
        <f aca="false">SQRT(P289/$AB$6)</f>
        <v>237936181.578899</v>
      </c>
      <c r="S289" s="35" t="n">
        <f aca="false">2*$AB$6*R289</f>
        <v>0.00222913013316812</v>
      </c>
      <c r="T289" s="35" t="n">
        <f aca="false">IF(G289&lt;=3,F289*R289,0)</f>
        <v>0</v>
      </c>
      <c r="U289" s="35" t="n">
        <f aca="false">F289*P289</f>
        <v>13211236968.7115</v>
      </c>
      <c r="V289" s="35" t="n">
        <f aca="false">H289^$AB$7*E289</f>
        <v>0.865118566438946</v>
      </c>
      <c r="W289" s="35" t="n">
        <f aca="false">I289^$AB$7*E289</f>
        <v>0.812911836055833</v>
      </c>
      <c r="X289" s="35" t="n">
        <f aca="false">J289^$AB$7*E289</f>
        <v>0.780293345737402</v>
      </c>
      <c r="Y289" s="35" t="n">
        <f aca="false">K289^$AB$7*E289</f>
        <v>0.692090219712159</v>
      </c>
    </row>
    <row r="290" customFormat="false" ht="15" hidden="false" customHeight="false" outlineLevel="0" collapsed="false">
      <c r="A290" s="35" t="n">
        <v>288</v>
      </c>
      <c r="B290" s="35" t="n">
        <f aca="false">C289</f>
        <v>0.584341413373518</v>
      </c>
      <c r="C290" s="35" t="n">
        <f aca="false">Inputs!$B$24*(Inputs!$B$25/Inputs!$B$24)^(47/60)</f>
        <v>0.607202195690989</v>
      </c>
      <c r="D290" s="35" t="n">
        <f aca="false">(B290+C290)/2</f>
        <v>0.595771804532253</v>
      </c>
      <c r="E290" s="35" t="n">
        <f aca="false">C290-B290</f>
        <v>0.0228607823174708</v>
      </c>
      <c r="F290" s="35" t="n">
        <f aca="false">Inputs!$B$16*E290</f>
        <v>51765.9554796809</v>
      </c>
      <c r="G290" s="35" t="n">
        <f aca="false">IF(D290&lt;=Inputs!$B$21,1,IF(D290&lt;=Inputs!$B$22,2,IF(D290&lt;=Inputs!$B$23,3,IF(D290&lt;=Inputs!$B$24,4,5))))</f>
        <v>5</v>
      </c>
      <c r="H290" s="35" t="n">
        <f aca="false">Fit!$B$10*D290^(-1/Fit!$B$9)</f>
        <v>38.3502021242042</v>
      </c>
      <c r="I290" s="35" t="n">
        <f aca="false">EXP(Fit!$B$16+Fit!$B$15*-NORMSINV(D290))</f>
        <v>35.2475592874958</v>
      </c>
      <c r="J290" s="35" t="n">
        <f aca="false">Fit!$B$22*LN(1/D290)^(1/Fit!$B$21)</f>
        <v>33.3162490886087</v>
      </c>
      <c r="K290" s="35" t="n">
        <f aca="false">MAX(0,Fit!$B$28+Fit!$B$27*-NORMSINV(D290))</f>
        <v>27.8672266321118</v>
      </c>
      <c r="L290" s="35" t="n">
        <f aca="false">INDEX(H290:K290,1,Inputs!$B$5)</f>
        <v>38.3502021242042</v>
      </c>
      <c r="M290" s="35" t="n">
        <f aca="false">L290*E290</f>
        <v>0.876715622592439</v>
      </c>
      <c r="N290" s="35" t="n">
        <f aca="false">L290^$AB$7</f>
        <v>38.3502021242042</v>
      </c>
      <c r="O290" s="35" t="n">
        <f aca="false">N290*E290</f>
        <v>0.876715622592439</v>
      </c>
      <c r="P290" s="35" t="n">
        <f aca="false">N290*$AB$3/($AB$4*$AB$1)</f>
        <v>258632.061191444</v>
      </c>
      <c r="Q290" s="35" t="n">
        <f aca="false">IF(G290&lt;=3,F290*SQRT(P290),0)</f>
        <v>0</v>
      </c>
      <c r="R290" s="35" t="n">
        <f aca="false">SQRT(P290/$AB$6)</f>
        <v>234973405.298933</v>
      </c>
      <c r="S290" s="35" t="n">
        <f aca="false">2*$AB$6*R290</f>
        <v>0.00220137305208998</v>
      </c>
      <c r="T290" s="35" t="n">
        <f aca="false">IF(G290&lt;=3,F290*R290,0)</f>
        <v>0</v>
      </c>
      <c r="U290" s="35" t="n">
        <f aca="false">F290*P290</f>
        <v>13388335765.2544</v>
      </c>
      <c r="V290" s="35" t="n">
        <f aca="false">H290^$AB$7*E290</f>
        <v>0.876715622592439</v>
      </c>
      <c r="W290" s="35" t="n">
        <f aca="false">I290^$AB$7*E290</f>
        <v>0.805786780093588</v>
      </c>
      <c r="X290" s="35" t="n">
        <f aca="false">J290^$AB$7*E290</f>
        <v>0.761635518049319</v>
      </c>
      <c r="Y290" s="35" t="n">
        <f aca="false">K290^$AB$7*E290</f>
        <v>0.637066601828333</v>
      </c>
    </row>
    <row r="291" customFormat="false" ht="15" hidden="false" customHeight="false" outlineLevel="0" collapsed="false">
      <c r="A291" s="35" t="n">
        <v>289</v>
      </c>
      <c r="B291" s="35" t="n">
        <f aca="false">C290</f>
        <v>0.607202195690989</v>
      </c>
      <c r="C291" s="35" t="n">
        <f aca="false">Inputs!$B$24*(Inputs!$B$25/Inputs!$B$24)^(48/60)</f>
        <v>0.630957344480193</v>
      </c>
      <c r="D291" s="35" t="n">
        <f aca="false">(B291+C291)/2</f>
        <v>0.619079770085591</v>
      </c>
      <c r="E291" s="35" t="n">
        <f aca="false">C291-B291</f>
        <v>0.0237551487892048</v>
      </c>
      <c r="F291" s="35" t="n">
        <f aca="false">Inputs!$B$16*E291</f>
        <v>53791.1589182754</v>
      </c>
      <c r="G291" s="35" t="n">
        <f aca="false">IF(D291&lt;=Inputs!$B$21,1,IF(D291&lt;=Inputs!$B$22,2,IF(D291&lt;=Inputs!$B$23,3,IF(D291&lt;=Inputs!$B$24,4,5))))</f>
        <v>5</v>
      </c>
      <c r="H291" s="35" t="n">
        <f aca="false">Fit!$B$10*D291^(-1/Fit!$B$9)</f>
        <v>37.4010765863059</v>
      </c>
      <c r="I291" s="35" t="n">
        <f aca="false">EXP(Fit!$B$16+Fit!$B$15*-NORMSINV(D291))</f>
        <v>33.5373748304257</v>
      </c>
      <c r="J291" s="35" t="n">
        <f aca="false">Fit!$B$22*LN(1/D291)^(1/Fit!$B$21)</f>
        <v>31.1447885723283</v>
      </c>
      <c r="K291" s="35" t="n">
        <f aca="false">MAX(0,Fit!$B$28+Fit!$B$27*-NORMSINV(D291))</f>
        <v>24.0813808395782</v>
      </c>
      <c r="L291" s="35" t="n">
        <f aca="false">INDEX(H291:K291,1,Inputs!$B$5)</f>
        <v>37.4010765863059</v>
      </c>
      <c r="M291" s="35" t="n">
        <f aca="false">L291*E291</f>
        <v>0.888468139184142</v>
      </c>
      <c r="N291" s="35" t="n">
        <f aca="false">L291^$AB$7</f>
        <v>37.4010765863059</v>
      </c>
      <c r="O291" s="35" t="n">
        <f aca="false">N291*E291</f>
        <v>0.888468139184142</v>
      </c>
      <c r="P291" s="35" t="n">
        <f aca="false">N291*$AB$3/($AB$4*$AB$1)</f>
        <v>252231.200684867</v>
      </c>
      <c r="Q291" s="35" t="n">
        <f aca="false">IF(G291&lt;=3,F291*SQRT(P291),0)</f>
        <v>0</v>
      </c>
      <c r="R291" s="35" t="n">
        <f aca="false">SQRT(P291/$AB$6)</f>
        <v>232047521.446284</v>
      </c>
      <c r="S291" s="35" t="n">
        <f aca="false">2*$AB$6*R291</f>
        <v>0.00217396160159595</v>
      </c>
      <c r="T291" s="35" t="n">
        <f aca="false">IF(G291&lt;=3,F291*R291,0)</f>
        <v>0</v>
      </c>
      <c r="U291" s="35" t="n">
        <f aca="false">F291*P291</f>
        <v>13567808600.1871</v>
      </c>
      <c r="V291" s="35" t="n">
        <f aca="false">H291^$AB$7*E291</f>
        <v>0.888468139184142</v>
      </c>
      <c r="W291" s="35" t="n">
        <f aca="false">I291^$AB$7*E291</f>
        <v>0.796685329096095</v>
      </c>
      <c r="X291" s="35" t="n">
        <f aca="false">J291^$AB$7*E291</f>
        <v>0.739849086543984</v>
      </c>
      <c r="Y291" s="35" t="n">
        <f aca="false">K291^$AB$7*E291</f>
        <v>0.572056784893685</v>
      </c>
    </row>
    <row r="292" customFormat="false" ht="15" hidden="false" customHeight="false" outlineLevel="0" collapsed="false">
      <c r="A292" s="35" t="n">
        <v>290</v>
      </c>
      <c r="B292" s="35" t="n">
        <f aca="false">C291</f>
        <v>0.630957344480193</v>
      </c>
      <c r="C292" s="35" t="n">
        <f aca="false">Inputs!$B$24*(Inputs!$B$25/Inputs!$B$24)^(49/60)</f>
        <v>0.655641849417979</v>
      </c>
      <c r="D292" s="35" t="n">
        <f aca="false">(B292+C292)/2</f>
        <v>0.643299596949086</v>
      </c>
      <c r="E292" s="35" t="n">
        <f aca="false">C292-B292</f>
        <v>0.0246845049377855</v>
      </c>
      <c r="F292" s="35" t="n">
        <f aca="false">Inputs!$B$16*E292</f>
        <v>55895.5929811215</v>
      </c>
      <c r="G292" s="35" t="n">
        <f aca="false">IF(D292&lt;=Inputs!$B$21,1,IF(D292&lt;=Inputs!$B$22,2,IF(D292&lt;=Inputs!$B$23,3,IF(D292&lt;=Inputs!$B$24,4,5))))</f>
        <v>5</v>
      </c>
      <c r="H292" s="35" t="n">
        <f aca="false">Fit!$B$10*D292^(-1/Fit!$B$9)</f>
        <v>36.4754408668908</v>
      </c>
      <c r="I292" s="35" t="n">
        <f aca="false">EXP(Fit!$B$16+Fit!$B$15*-NORMSINV(D292))</f>
        <v>31.8165989511282</v>
      </c>
      <c r="J292" s="35" t="n">
        <f aca="false">Fit!$B$22*LN(1/D292)^(1/Fit!$B$21)</f>
        <v>28.9515453654064</v>
      </c>
      <c r="K292" s="35" t="n">
        <f aca="false">MAX(0,Fit!$B$28+Fit!$B$27*-NORMSINV(D292))</f>
        <v>20.0720076572638</v>
      </c>
      <c r="L292" s="35" t="n">
        <f aca="false">INDEX(H292:K292,1,Inputs!$B$5)</f>
        <v>36.4754408668908</v>
      </c>
      <c r="M292" s="35" t="n">
        <f aca="false">L292*E292</f>
        <v>0.90037820018667</v>
      </c>
      <c r="N292" s="35" t="n">
        <f aca="false">L292^$AB$7</f>
        <v>36.4754408668908</v>
      </c>
      <c r="O292" s="35" t="n">
        <f aca="false">N292*E292</f>
        <v>0.90037820018667</v>
      </c>
      <c r="P292" s="35" t="n">
        <f aca="false">N292*$AB$3/($AB$4*$AB$1)</f>
        <v>245988.754471691</v>
      </c>
      <c r="Q292" s="35" t="n">
        <f aca="false">IF(G292&lt;=3,F292*SQRT(P292),0)</f>
        <v>0</v>
      </c>
      <c r="R292" s="35" t="n">
        <f aca="false">SQRT(P292/$AB$6)</f>
        <v>229158070.637231</v>
      </c>
      <c r="S292" s="35" t="n">
        <f aca="false">2*$AB$6*R292</f>
        <v>0.00214689147790133</v>
      </c>
      <c r="T292" s="35" t="n">
        <f aca="false">IF(G292&lt;=3,F292*R292,0)</f>
        <v>0</v>
      </c>
      <c r="U292" s="35" t="n">
        <f aca="false">F292*P292</f>
        <v>13749687297.8827</v>
      </c>
      <c r="V292" s="35" t="n">
        <f aca="false">H292^$AB$7*E292</f>
        <v>0.90037820018667</v>
      </c>
      <c r="W292" s="35" t="n">
        <f aca="false">I292^$AB$7*E292</f>
        <v>0.785376993912665</v>
      </c>
      <c r="X292" s="35" t="n">
        <f aca="false">J292^$AB$7*E292</f>
        <v>0.714654564528894</v>
      </c>
      <c r="Y292" s="35" t="n">
        <f aca="false">K292^$AB$7*E292</f>
        <v>0.495467572126996</v>
      </c>
    </row>
    <row r="293" customFormat="false" ht="15" hidden="false" customHeight="false" outlineLevel="0" collapsed="false">
      <c r="A293" s="35" t="n">
        <v>291</v>
      </c>
      <c r="B293" s="35" t="n">
        <f aca="false">C292</f>
        <v>0.655641849417979</v>
      </c>
      <c r="C293" s="35" t="n">
        <f aca="false">Inputs!$B$24*(Inputs!$B$25/Inputs!$B$24)^(50/60)</f>
        <v>0.681292069057961</v>
      </c>
      <c r="D293" s="35" t="n">
        <f aca="false">(B293+C293)/2</f>
        <v>0.66846695923797</v>
      </c>
      <c r="E293" s="35" t="n">
        <f aca="false">C293-B293</f>
        <v>0.0256502196399825</v>
      </c>
      <c r="F293" s="35" t="n">
        <f aca="false">Inputs!$B$16*E293</f>
        <v>58082.3573527763</v>
      </c>
      <c r="G293" s="35" t="n">
        <f aca="false">IF(D293&lt;=Inputs!$B$21,1,IF(D293&lt;=Inputs!$B$22,2,IF(D293&lt;=Inputs!$B$23,3,IF(D293&lt;=Inputs!$B$24,4,5))))</f>
        <v>5</v>
      </c>
      <c r="H293" s="35" t="n">
        <f aca="false">Fit!$B$10*D293^(-1/Fit!$B$9)</f>
        <v>35.5727136186552</v>
      </c>
      <c r="I293" s="35" t="n">
        <f aca="false">EXP(Fit!$B$16+Fit!$B$15*-NORMSINV(D293))</f>
        <v>30.0812257705642</v>
      </c>
      <c r="J293" s="35" t="n">
        <f aca="false">Fit!$B$22*LN(1/D293)^(1/Fit!$B$21)</f>
        <v>26.7343716325222</v>
      </c>
      <c r="K293" s="35" t="n">
        <f aca="false">MAX(0,Fit!$B$28+Fit!$B$27*-NORMSINV(D293))</f>
        <v>15.8027231159872</v>
      </c>
      <c r="L293" s="35" t="n">
        <f aca="false">INDEX(H293:K293,1,Inputs!$B$5)</f>
        <v>35.5727136186552</v>
      </c>
      <c r="M293" s="35" t="n">
        <f aca="false">L293*E293</f>
        <v>0.912447917508701</v>
      </c>
      <c r="N293" s="35" t="n">
        <f aca="false">L293^$AB$7</f>
        <v>35.5727136186552</v>
      </c>
      <c r="O293" s="35" t="n">
        <f aca="false">N293*E293</f>
        <v>0.912447917508701</v>
      </c>
      <c r="P293" s="35" t="n">
        <f aca="false">N293*$AB$3/($AB$4*$AB$1)</f>
        <v>239900.801971501</v>
      </c>
      <c r="Q293" s="35" t="n">
        <f aca="false">IF(G293&lt;=3,F293*SQRT(P293),0)</f>
        <v>0</v>
      </c>
      <c r="R293" s="35" t="n">
        <f aca="false">SQRT(P293/$AB$6)</f>
        <v>226304599.20829</v>
      </c>
      <c r="S293" s="35" t="n">
        <f aca="false">2*$AB$6*R293</f>
        <v>0.00212015843081207</v>
      </c>
      <c r="T293" s="35" t="n">
        <f aca="false">IF(G293&lt;=3,F293*R293,0)</f>
        <v>0</v>
      </c>
      <c r="U293" s="35" t="n">
        <f aca="false">F293*P293</f>
        <v>13934004109.3263</v>
      </c>
      <c r="V293" s="35" t="n">
        <f aca="false">H293^$AB$7*E293</f>
        <v>0.912447917508701</v>
      </c>
      <c r="W293" s="35" t="n">
        <f aca="false">I293^$AB$7*E293</f>
        <v>0.771590048054873</v>
      </c>
      <c r="X293" s="35" t="n">
        <f aca="false">J293^$AB$7*E293</f>
        <v>0.685742504311112</v>
      </c>
      <c r="Y293" s="35" t="n">
        <f aca="false">K293^$AB$7*E293</f>
        <v>0.405343318834901</v>
      </c>
    </row>
    <row r="294" customFormat="false" ht="15" hidden="false" customHeight="false" outlineLevel="0" collapsed="false">
      <c r="A294" s="35" t="n">
        <v>292</v>
      </c>
      <c r="B294" s="35" t="n">
        <f aca="false">C293</f>
        <v>0.681292069057961</v>
      </c>
      <c r="C294" s="35" t="n">
        <f aca="false">Inputs!$B$24*(Inputs!$B$25/Inputs!$B$24)^(51/60)</f>
        <v>0.707945784384138</v>
      </c>
      <c r="D294" s="35" t="n">
        <f aca="false">(B294+C294)/2</f>
        <v>0.69461892672105</v>
      </c>
      <c r="E294" s="35" t="n">
        <f aca="false">C294-B294</f>
        <v>0.0266537153261766</v>
      </c>
      <c r="F294" s="35" t="n">
        <f aca="false">Inputs!$B$16*E294</f>
        <v>60354.6729845942</v>
      </c>
      <c r="G294" s="35" t="n">
        <f aca="false">IF(D294&lt;=Inputs!$B$21,1,IF(D294&lt;=Inputs!$B$22,2,IF(D294&lt;=Inputs!$B$23,3,IF(D294&lt;=Inputs!$B$24,4,5))))</f>
        <v>5</v>
      </c>
      <c r="H294" s="35" t="n">
        <f aca="false">Fit!$B$10*D294^(-1/Fit!$B$9)</f>
        <v>34.6923278820048</v>
      </c>
      <c r="I294" s="35" t="n">
        <f aca="false">EXP(Fit!$B$16+Fit!$B$15*-NORMSINV(D294))</f>
        <v>28.3262024707991</v>
      </c>
      <c r="J294" s="35" t="n">
        <f aca="false">Fit!$B$22*LN(1/D294)^(1/Fit!$B$21)</f>
        <v>24.4906803469087</v>
      </c>
      <c r="K294" s="35" t="n">
        <f aca="false">MAX(0,Fit!$B$28+Fit!$B$27*-NORMSINV(D294))</f>
        <v>11.226898840941</v>
      </c>
      <c r="L294" s="35" t="n">
        <f aca="false">INDEX(H294:K294,1,Inputs!$B$5)</f>
        <v>34.6923278820048</v>
      </c>
      <c r="M294" s="35" t="n">
        <f aca="false">L294*E294</f>
        <v>0.924679431369334</v>
      </c>
      <c r="N294" s="35" t="n">
        <f aca="false">L294^$AB$7</f>
        <v>34.6923278820048</v>
      </c>
      <c r="O294" s="35" t="n">
        <f aca="false">N294*E294</f>
        <v>0.924679431369334</v>
      </c>
      <c r="P294" s="35" t="n">
        <f aca="false">N294*$AB$3/($AB$4*$AB$1)</f>
        <v>233963.519633953</v>
      </c>
      <c r="Q294" s="35" t="n">
        <f aca="false">IF(G294&lt;=3,F294*SQRT(P294),0)</f>
        <v>0</v>
      </c>
      <c r="R294" s="35" t="n">
        <f aca="false">SQRT(P294/$AB$6)</f>
        <v>223486659.144982</v>
      </c>
      <c r="S294" s="35" t="n">
        <f aca="false">2*$AB$6*R294</f>
        <v>0.00209375826305743</v>
      </c>
      <c r="T294" s="35" t="n">
        <f aca="false">IF(G294&lt;=3,F294*R294,0)</f>
        <v>0</v>
      </c>
      <c r="U294" s="35" t="n">
        <f aca="false">F294*P294</f>
        <v>14120791717.8319</v>
      </c>
      <c r="V294" s="35" t="n">
        <f aca="false">H294^$AB$7*E294</f>
        <v>0.924679431369334</v>
      </c>
      <c r="W294" s="35" t="n">
        <f aca="false">I294^$AB$7*E294</f>
        <v>0.754998536928317</v>
      </c>
      <c r="X294" s="35" t="n">
        <f aca="false">J294^$AB$7*E294</f>
        <v>0.652767622110892</v>
      </c>
      <c r="Y294" s="35" t="n">
        <f aca="false">K294^$AB$7*E294</f>
        <v>0.299238565702223</v>
      </c>
    </row>
    <row r="295" customFormat="false" ht="15" hidden="false" customHeight="false" outlineLevel="0" collapsed="false">
      <c r="A295" s="35" t="n">
        <v>293</v>
      </c>
      <c r="B295" s="35" t="n">
        <f aca="false">C294</f>
        <v>0.707945784384138</v>
      </c>
      <c r="C295" s="35" t="n">
        <f aca="false">Inputs!$B$24*(Inputs!$B$25/Inputs!$B$24)^(52/60)</f>
        <v>0.735642254459641</v>
      </c>
      <c r="D295" s="35" t="n">
        <f aca="false">(B295+C295)/2</f>
        <v>0.72179401942189</v>
      </c>
      <c r="E295" s="35" t="n">
        <f aca="false">C295-B295</f>
        <v>0.0276964700755035</v>
      </c>
      <c r="F295" s="35" t="n">
        <f aca="false">Inputs!$B$16*E295</f>
        <v>62715.88683897</v>
      </c>
      <c r="G295" s="35" t="n">
        <f aca="false">IF(D295&lt;=Inputs!$B$21,1,IF(D295&lt;=Inputs!$B$22,2,IF(D295&lt;=Inputs!$B$23,3,IF(D295&lt;=Inputs!$B$24,4,5))))</f>
        <v>5</v>
      </c>
      <c r="H295" s="35" t="n">
        <f aca="false">Fit!$B$10*D295^(-1/Fit!$B$9)</f>
        <v>33.8337307289752</v>
      </c>
      <c r="I295" s="35" t="n">
        <f aca="false">EXP(Fit!$B$16+Fit!$B$15*-NORMSINV(D295))</f>
        <v>26.5450083378239</v>
      </c>
      <c r="J295" s="35" t="n">
        <f aca="false">Fit!$B$22*LN(1/D295)^(1/Fit!$B$21)</f>
        <v>22.2172988893254</v>
      </c>
      <c r="K295" s="35" t="n">
        <f aca="false">MAX(0,Fit!$B$28+Fit!$B$27*-NORMSINV(D295))</f>
        <v>6.28330132113994</v>
      </c>
      <c r="L295" s="35" t="n">
        <f aca="false">INDEX(H295:K295,1,Inputs!$B$5)</f>
        <v>33.8337307289752</v>
      </c>
      <c r="M295" s="35" t="n">
        <f aca="false">L295*E295</f>
        <v>0.937074910677704</v>
      </c>
      <c r="N295" s="35" t="n">
        <f aca="false">L295^$AB$7</f>
        <v>33.8337307289752</v>
      </c>
      <c r="O295" s="35" t="n">
        <f aca="false">N295*E295</f>
        <v>0.937074910677704</v>
      </c>
      <c r="P295" s="35" t="n">
        <f aca="false">N295*$AB$3/($AB$4*$AB$1)</f>
        <v>228173.178537393</v>
      </c>
      <c r="Q295" s="35" t="n">
        <f aca="false">IF(G295&lt;=3,F295*SQRT(P295),0)</f>
        <v>0</v>
      </c>
      <c r="R295" s="35" t="n">
        <f aca="false">SQRT(P295/$AB$6)</f>
        <v>220703808.011498</v>
      </c>
      <c r="S295" s="35" t="n">
        <f aca="false">2*$AB$6*R295</f>
        <v>0.00206768682963101</v>
      </c>
      <c r="T295" s="35" t="n">
        <f aca="false">IF(G295&lt;=3,F295*R295,0)</f>
        <v>0</v>
      </c>
      <c r="U295" s="35" t="n">
        <f aca="false">F295*P295</f>
        <v>14310083244.8392</v>
      </c>
      <c r="V295" s="35" t="n">
        <f aca="false">H295^$AB$7*E295</f>
        <v>0.937074910677704</v>
      </c>
      <c r="W295" s="35" t="n">
        <f aca="false">I295^$AB$7*E295</f>
        <v>0.73520302908253</v>
      </c>
      <c r="X295" s="35" t="n">
        <f aca="false">J295^$AB$7*E295</f>
        <v>0.615340753846717</v>
      </c>
      <c r="Y295" s="35" t="n">
        <f aca="false">K295^$AB$7*E295</f>
        <v>0.174025267016324</v>
      </c>
    </row>
    <row r="296" customFormat="false" ht="15" hidden="false" customHeight="false" outlineLevel="0" collapsed="false">
      <c r="A296" s="35" t="n">
        <v>294</v>
      </c>
      <c r="B296" s="35" t="n">
        <f aca="false">C295</f>
        <v>0.735642254459641</v>
      </c>
      <c r="C296" s="35" t="n">
        <f aca="false">Inputs!$B$24*(Inputs!$B$25/Inputs!$B$24)^(53/60)</f>
        <v>0.7644222742526</v>
      </c>
      <c r="D296" s="35" t="n">
        <f aca="false">(B296+C296)/2</f>
        <v>0.750032264356121</v>
      </c>
      <c r="E296" s="35" t="n">
        <f aca="false">C296-B296</f>
        <v>0.0287800197929589</v>
      </c>
      <c r="F296" s="35" t="n">
        <f aca="false">Inputs!$B$16*E296</f>
        <v>65169.476819176</v>
      </c>
      <c r="G296" s="35" t="n">
        <f aca="false">IF(D296&lt;=Inputs!$B$21,1,IF(D296&lt;=Inputs!$B$22,2,IF(D296&lt;=Inputs!$B$23,3,IF(D296&lt;=Inputs!$B$24,4,5))))</f>
        <v>5</v>
      </c>
      <c r="H296" s="35" t="n">
        <f aca="false">Fit!$B$10*D296^(-1/Fit!$B$9)</f>
        <v>32.9963829159639</v>
      </c>
      <c r="I296" s="35" t="n">
        <f aca="false">EXP(Fit!$B$16+Fit!$B$15*-NORMSINV(D296))</f>
        <v>24.7289922279973</v>
      </c>
      <c r="J296" s="35" t="n">
        <f aca="false">Fit!$B$22*LN(1/D296)^(1/Fit!$B$21)</f>
        <v>19.9102503731101</v>
      </c>
      <c r="K296" s="35" t="n">
        <f aca="false">MAX(0,Fit!$B$28+Fit!$B$27*-NORMSINV(D296))</f>
        <v>0.889089857298977</v>
      </c>
      <c r="L296" s="35" t="n">
        <f aca="false">INDEX(H296:K296,1,Inputs!$B$5)</f>
        <v>32.9963829159639</v>
      </c>
      <c r="M296" s="35" t="n">
        <f aca="false">L296*E296</f>
        <v>0.94963655341749</v>
      </c>
      <c r="N296" s="35" t="n">
        <f aca="false">L296^$AB$7</f>
        <v>32.9963829159639</v>
      </c>
      <c r="O296" s="35" t="n">
        <f aca="false">N296*E296</f>
        <v>0.94963655341749</v>
      </c>
      <c r="P296" s="35" t="n">
        <f aca="false">N296*$AB$3/($AB$4*$AB$1)</f>
        <v>222526.142046897</v>
      </c>
      <c r="Q296" s="35" t="n">
        <f aca="false">IF(G296&lt;=3,F296*SQRT(P296),0)</f>
        <v>0</v>
      </c>
      <c r="R296" s="35" t="n">
        <f aca="false">SQRT(P296/$AB$6)</f>
        <v>217955608.881229</v>
      </c>
      <c r="S296" s="35" t="n">
        <f aca="false">2*$AB$6*R296</f>
        <v>0.00204194003713994</v>
      </c>
      <c r="T296" s="35" t="n">
        <f aca="false">IF(G296&lt;=3,F296*R296,0)</f>
        <v>0</v>
      </c>
      <c r="U296" s="35" t="n">
        <f aca="false">F296*P296</f>
        <v>14501912255.7859</v>
      </c>
      <c r="V296" s="35" t="n">
        <f aca="false">H296^$AB$7*E296</f>
        <v>0.94963655341749</v>
      </c>
      <c r="W296" s="35" t="n">
        <f aca="false">I296^$AB$7*E296</f>
        <v>0.711700885781688</v>
      </c>
      <c r="X296" s="35" t="n">
        <f aca="false">J296^$AB$7*E296</f>
        <v>0.573017399820874</v>
      </c>
      <c r="Y296" s="35" t="n">
        <f aca="false">K296^$AB$7*E296</f>
        <v>0.0255880236907835</v>
      </c>
    </row>
    <row r="297" customFormat="false" ht="15" hidden="false" customHeight="false" outlineLevel="0" collapsed="false">
      <c r="A297" s="35" t="n">
        <v>295</v>
      </c>
      <c r="B297" s="35" t="n">
        <f aca="false">C296</f>
        <v>0.7644222742526</v>
      </c>
      <c r="C297" s="35" t="n">
        <f aca="false">Inputs!$B$24*(Inputs!$B$25/Inputs!$B$24)^(54/60)</f>
        <v>0.794328234724282</v>
      </c>
      <c r="D297" s="35" t="n">
        <f aca="false">(B297+C297)/2</f>
        <v>0.779375254488441</v>
      </c>
      <c r="E297" s="35" t="n">
        <f aca="false">C297-B297</f>
        <v>0.0299059604716814</v>
      </c>
      <c r="F297" s="35" t="n">
        <f aca="false">Inputs!$B$16*E297</f>
        <v>67719.0568920753</v>
      </c>
      <c r="G297" s="35" t="n">
        <f aca="false">IF(D297&lt;=Inputs!$B$21,1,IF(D297&lt;=Inputs!$B$22,2,IF(D297&lt;=Inputs!$B$23,3,IF(D297&lt;=Inputs!$B$24,4,5))))</f>
        <v>5</v>
      </c>
      <c r="H297" s="35" t="n">
        <f aca="false">Fit!$B$10*D297^(-1/Fit!$B$9)</f>
        <v>32.1797585450575</v>
      </c>
      <c r="I297" s="35" t="n">
        <f aca="false">EXP(Fit!$B$16+Fit!$B$15*-NORMSINV(D297))</f>
        <v>22.8662761040636</v>
      </c>
      <c r="J297" s="35" t="n">
        <f aca="false">Fit!$B$22*LN(1/D297)^(1/Fit!$B$21)</f>
        <v>17.5644121936234</v>
      </c>
      <c r="K297" s="35" t="n">
        <f aca="false">MAX(0,Fit!$B$28+Fit!$B$27*-NORMSINV(D297))</f>
        <v>0</v>
      </c>
      <c r="L297" s="35" t="n">
        <f aca="false">INDEX(H297:K297,1,Inputs!$B$5)</f>
        <v>32.1797585450575</v>
      </c>
      <c r="M297" s="35" t="n">
        <f aca="false">L297*E297</f>
        <v>0.96236658703674</v>
      </c>
      <c r="N297" s="35" t="n">
        <f aca="false">L297^$AB$7</f>
        <v>32.1797585450575</v>
      </c>
      <c r="O297" s="35" t="n">
        <f aca="false">N297*E297</f>
        <v>0.96236658703674</v>
      </c>
      <c r="P297" s="35" t="n">
        <f aca="false">N297*$AB$3/($AB$4*$AB$1)</f>
        <v>217018.863530277</v>
      </c>
      <c r="Q297" s="35" t="n">
        <f aca="false">IF(G297&lt;=3,F297*SQRT(P297),0)</f>
        <v>0</v>
      </c>
      <c r="R297" s="35" t="n">
        <f aca="false">SQRT(P297/$AB$6)</f>
        <v>215241630.268166</v>
      </c>
      <c r="S297" s="35" t="n">
        <f aca="false">2*$AB$6*R297</f>
        <v>0.00201651384316218</v>
      </c>
      <c r="T297" s="35" t="n">
        <f aca="false">IF(G297&lt;=3,F297*R297,0)</f>
        <v>0</v>
      </c>
      <c r="U297" s="35" t="n">
        <f aca="false">F297*P297</f>
        <v>14696312766.0603</v>
      </c>
      <c r="V297" s="35" t="n">
        <f aca="false">H297^$AB$7*E297</f>
        <v>0.96236658703674</v>
      </c>
      <c r="W297" s="35" t="n">
        <f aca="false">I297^$AB$7*E297</f>
        <v>0.683837949302678</v>
      </c>
      <c r="X297" s="35" t="n">
        <f aca="false">J297^$AB$7*E297</f>
        <v>0.525280616770821</v>
      </c>
      <c r="Y297" s="35" t="n">
        <f aca="false">K297^$AB$7*E297</f>
        <v>0</v>
      </c>
    </row>
    <row r="298" customFormat="false" ht="15" hidden="false" customHeight="false" outlineLevel="0" collapsed="false">
      <c r="A298" s="35" t="n">
        <v>296</v>
      </c>
      <c r="B298" s="35" t="n">
        <f aca="false">C297</f>
        <v>0.794328234724282</v>
      </c>
      <c r="C298" s="35" t="n">
        <f aca="false">Inputs!$B$24*(Inputs!$B$25/Inputs!$B$24)^(55/60)</f>
        <v>0.825404185268018</v>
      </c>
      <c r="D298" s="35" t="n">
        <f aca="false">(B298+C298)/2</f>
        <v>0.80986620999615</v>
      </c>
      <c r="E298" s="35" t="n">
        <f aca="false">C298-B298</f>
        <v>0.0310759505437368</v>
      </c>
      <c r="F298" s="35" t="n">
        <f aca="false">Inputs!$B$16*E298</f>
        <v>70368.3824112376</v>
      </c>
      <c r="G298" s="35" t="n">
        <f aca="false">IF(D298&lt;=Inputs!$B$21,1,IF(D298&lt;=Inputs!$B$22,2,IF(D298&lt;=Inputs!$B$23,3,IF(D298&lt;=Inputs!$B$24,4,5))))</f>
        <v>5</v>
      </c>
      <c r="H298" s="35" t="n">
        <f aca="false">Fit!$B$10*D298^(-1/Fit!$B$9)</f>
        <v>31.3833447337405</v>
      </c>
      <c r="I298" s="35" t="n">
        <f aca="false">EXP(Fit!$B$16+Fit!$B$15*-NORMSINV(D298))</f>
        <v>20.9398218453832</v>
      </c>
      <c r="J298" s="35" t="n">
        <f aca="false">Fit!$B$22*LN(1/D298)^(1/Fit!$B$21)</f>
        <v>15.1729522799649</v>
      </c>
      <c r="K298" s="35" t="n">
        <f aca="false">MAX(0,Fit!$B$28+Fit!$B$27*-NORMSINV(D298))</f>
        <v>0</v>
      </c>
      <c r="L298" s="35" t="n">
        <f aca="false">INDEX(H298:K298,1,Inputs!$B$5)</f>
        <v>31.3833447337405</v>
      </c>
      <c r="M298" s="35" t="n">
        <f aca="false">L298*E298</f>
        <v>0.975267268842762</v>
      </c>
      <c r="N298" s="35" t="n">
        <f aca="false">L298^$AB$7</f>
        <v>31.3833447337405</v>
      </c>
      <c r="O298" s="35" t="n">
        <f aca="false">N298*E298</f>
        <v>0.975267268842762</v>
      </c>
      <c r="P298" s="35" t="n">
        <f aca="false">N298*$AB$3/($AB$4*$AB$1)</f>
        <v>211647.884130608</v>
      </c>
      <c r="Q298" s="35" t="n">
        <f aca="false">IF(G298&lt;=3,F298*SQRT(P298),0)</f>
        <v>0</v>
      </c>
      <c r="R298" s="35" t="n">
        <f aca="false">SQRT(P298/$AB$6)</f>
        <v>212561446.059156</v>
      </c>
      <c r="S298" s="35" t="n">
        <f aca="false">2*$AB$6*R298</f>
        <v>0.00199140425561186</v>
      </c>
      <c r="T298" s="35" t="n">
        <f aca="false">IF(G298&lt;=3,F298*R298,0)</f>
        <v>0</v>
      </c>
      <c r="U298" s="35" t="n">
        <f aca="false">F298*P298</f>
        <v>14893319247.0319</v>
      </c>
      <c r="V298" s="35" t="n">
        <f aca="false">H298^$AB$7*E298</f>
        <v>0.975267268842762</v>
      </c>
      <c r="W298" s="35" t="n">
        <f aca="false">I298^$AB$7*E298</f>
        <v>0.650724868061789</v>
      </c>
      <c r="X298" s="35" t="n">
        <f aca="false">J298^$AB$7*E298</f>
        <v>0.471513914654668</v>
      </c>
      <c r="Y298" s="35" t="n">
        <f aca="false">K298^$AB$7*E298</f>
        <v>0</v>
      </c>
    </row>
    <row r="299" customFormat="false" ht="15" hidden="false" customHeight="false" outlineLevel="0" collapsed="false">
      <c r="A299" s="35" t="n">
        <v>297</v>
      </c>
      <c r="B299" s="35" t="n">
        <f aca="false">C298</f>
        <v>0.825404185268018</v>
      </c>
      <c r="C299" s="35" t="n">
        <f aca="false">Inputs!$B$24*(Inputs!$B$25/Inputs!$B$24)^(56/60)</f>
        <v>0.857695898590894</v>
      </c>
      <c r="D299" s="35" t="n">
        <f aca="false">(B299+C299)/2</f>
        <v>0.841550041929456</v>
      </c>
      <c r="E299" s="35" t="n">
        <f aca="false">C299-B299</f>
        <v>0.0322917133228758</v>
      </c>
      <c r="F299" s="35" t="n">
        <f aca="false">Inputs!$B$16*E299</f>
        <v>73121.3556483201</v>
      </c>
      <c r="G299" s="35" t="n">
        <f aca="false">IF(D299&lt;=Inputs!$B$21,1,IF(D299&lt;=Inputs!$B$22,2,IF(D299&lt;=Inputs!$B$23,3,IF(D299&lt;=Inputs!$B$24,4,5))))</f>
        <v>5</v>
      </c>
      <c r="H299" s="35" t="n">
        <f aca="false">Fit!$B$10*D299^(-1/Fit!$B$9)</f>
        <v>30.6066412927785</v>
      </c>
      <c r="I299" s="35" t="n">
        <f aca="false">EXP(Fit!$B$16+Fit!$B$15*-NORMSINV(D299))</f>
        <v>18.9237296526494</v>
      </c>
      <c r="J299" s="35" t="n">
        <f aca="false">Fit!$B$22*LN(1/D299)^(1/Fit!$B$21)</f>
        <v>12.7263283738834</v>
      </c>
      <c r="K299" s="35" t="n">
        <f aca="false">MAX(0,Fit!$B$28+Fit!$B$27*-NORMSINV(D299))</f>
        <v>0</v>
      </c>
      <c r="L299" s="35" t="n">
        <f aca="false">INDEX(H299:K299,1,Inputs!$B$5)</f>
        <v>30.6066412927785</v>
      </c>
      <c r="M299" s="35" t="n">
        <f aca="false">L299*E299</f>
        <v>0.988340886402496</v>
      </c>
      <c r="N299" s="35" t="n">
        <f aca="false">L299^$AB$7</f>
        <v>30.6066412927785</v>
      </c>
      <c r="O299" s="35" t="n">
        <f aca="false">N299*E299</f>
        <v>0.988340886402496</v>
      </c>
      <c r="P299" s="35" t="n">
        <f aca="false">N299*$AB$3/($AB$4*$AB$1)</f>
        <v>206409.830593891</v>
      </c>
      <c r="Q299" s="35" t="n">
        <f aca="false">IF(G299&lt;=3,F299*SQRT(P299),0)</f>
        <v>0</v>
      </c>
      <c r="R299" s="35" t="n">
        <f aca="false">SQRT(P299/$AB$6)</f>
        <v>209914635.446998</v>
      </c>
      <c r="S299" s="35" t="n">
        <f aca="false">2*$AB$6*R299</f>
        <v>0.00196660733211246</v>
      </c>
      <c r="T299" s="35" t="n">
        <f aca="false">IF(G299&lt;=3,F299*R299,0)</f>
        <v>0</v>
      </c>
      <c r="U299" s="35" t="n">
        <f aca="false">F299*P299</f>
        <v>15092966632.1654</v>
      </c>
      <c r="V299" s="35" t="n">
        <f aca="false">H299^$AB$7*E299</f>
        <v>0.988340886402496</v>
      </c>
      <c r="W299" s="35" t="n">
        <f aca="false">I299^$AB$7*E299</f>
        <v>0.61107965294296</v>
      </c>
      <c r="X299" s="35" t="n">
        <f aca="false">J299^$AB$7*E299</f>
        <v>0.410954947502222</v>
      </c>
      <c r="Y299" s="35" t="n">
        <f aca="false">K299^$AB$7*E299</f>
        <v>0</v>
      </c>
    </row>
    <row r="300" customFormat="false" ht="15" hidden="false" customHeight="false" outlineLevel="0" collapsed="false">
      <c r="A300" s="35" t="n">
        <v>298</v>
      </c>
      <c r="B300" s="35" t="n">
        <f aca="false">C299</f>
        <v>0.857695898590894</v>
      </c>
      <c r="C300" s="35" t="n">
        <f aca="false">Inputs!$B$24*(Inputs!$B$25/Inputs!$B$24)^(57/60)</f>
        <v>0.891250938133746</v>
      </c>
      <c r="D300" s="35" t="n">
        <f aca="false">(B300+C300)/2</f>
        <v>0.87447341836232</v>
      </c>
      <c r="E300" s="35" t="n">
        <f aca="false">C300-B300</f>
        <v>0.0335550395428512</v>
      </c>
      <c r="F300" s="35" t="n">
        <f aca="false">Inputs!$B$16*E300</f>
        <v>75982.0315408323</v>
      </c>
      <c r="G300" s="35" t="n">
        <f aca="false">IF(D300&lt;=Inputs!$B$21,1,IF(D300&lt;=Inputs!$B$22,2,IF(D300&lt;=Inputs!$B$23,3,IF(D300&lt;=Inputs!$B$24,4,5))))</f>
        <v>5</v>
      </c>
      <c r="H300" s="35" t="n">
        <f aca="false">Fit!$B$10*D300^(-1/Fit!$B$9)</f>
        <v>29.8491604120732</v>
      </c>
      <c r="I300" s="35" t="n">
        <f aca="false">EXP(Fit!$B$16+Fit!$B$15*-NORMSINV(D300))</f>
        <v>16.7753050577586</v>
      </c>
      <c r="J300" s="35" t="n">
        <f aca="false">Fit!$B$22*LN(1/D300)^(1/Fit!$B$21)</f>
        <v>10.2103278393995</v>
      </c>
      <c r="K300" s="35" t="n">
        <f aca="false">MAX(0,Fit!$B$28+Fit!$B$27*-NORMSINV(D300))</f>
        <v>0</v>
      </c>
      <c r="L300" s="35" t="n">
        <f aca="false">INDEX(H300:K300,1,Inputs!$B$5)</f>
        <v>29.8491604120732</v>
      </c>
      <c r="M300" s="35" t="n">
        <f aca="false">L300*E300</f>
        <v>1.00158975794802</v>
      </c>
      <c r="N300" s="35" t="n">
        <f aca="false">L300^$AB$7</f>
        <v>29.8491604120732</v>
      </c>
      <c r="O300" s="35" t="n">
        <f aca="false">N300*E300</f>
        <v>1.00158975794802</v>
      </c>
      <c r="P300" s="35" t="n">
        <f aca="false">N300*$AB$3/($AB$4*$AB$1)</f>
        <v>201301.413150472</v>
      </c>
      <c r="Q300" s="35" t="n">
        <f aca="false">IF(G300&lt;=3,F300*SQRT(P300),0)</f>
        <v>0</v>
      </c>
      <c r="R300" s="35" t="n">
        <f aca="false">SQRT(P300/$AB$6)</f>
        <v>207300782.864372</v>
      </c>
      <c r="S300" s="35" t="n">
        <f aca="false">2*$AB$6*R300</f>
        <v>0.00194211917937787</v>
      </c>
      <c r="T300" s="35" t="n">
        <f aca="false">IF(G300&lt;=3,F300*R300,0)</f>
        <v>0</v>
      </c>
      <c r="U300" s="35" t="n">
        <f aca="false">F300*P300</f>
        <v>15295290323.2133</v>
      </c>
      <c r="V300" s="35" t="n">
        <f aca="false">H300^$AB$7*E300</f>
        <v>1.00158975794802</v>
      </c>
      <c r="W300" s="35" t="n">
        <f aca="false">I300^$AB$7*E300</f>
        <v>0.562896024556481</v>
      </c>
      <c r="X300" s="35" t="n">
        <f aca="false">J300^$AB$7*E300</f>
        <v>0.342607954396526</v>
      </c>
      <c r="Y300" s="35" t="n">
        <f aca="false">K300^$AB$7*E300</f>
        <v>0</v>
      </c>
    </row>
    <row r="301" customFormat="false" ht="15" hidden="false" customHeight="false" outlineLevel="0" collapsed="false">
      <c r="A301" s="35" t="n">
        <v>299</v>
      </c>
      <c r="B301" s="35" t="n">
        <f aca="false">C300</f>
        <v>0.891250938133746</v>
      </c>
      <c r="C301" s="35" t="n">
        <f aca="false">Inputs!$B$24*(Inputs!$B$25/Inputs!$B$24)^(58/60)</f>
        <v>0.926118728128794</v>
      </c>
      <c r="D301" s="35" t="n">
        <f aca="false">(B301+C301)/2</f>
        <v>0.90868483313127</v>
      </c>
      <c r="E301" s="35" t="n">
        <f aca="false">C301-B301</f>
        <v>0.034867789995048</v>
      </c>
      <c r="F301" s="35" t="n">
        <f aca="false">Inputs!$B$16*E301</f>
        <v>78954.6236647868</v>
      </c>
      <c r="G301" s="35" t="n">
        <f aca="false">IF(D301&lt;=Inputs!$B$21,1,IF(D301&lt;=Inputs!$B$22,2,IF(D301&lt;=Inputs!$B$23,3,IF(D301&lt;=Inputs!$B$24,4,5))))</f>
        <v>5</v>
      </c>
      <c r="H301" s="35" t="n">
        <f aca="false">Fit!$B$10*D301^(-1/Fit!$B$9)</f>
        <v>29.1104263542925</v>
      </c>
      <c r="I301" s="35" t="n">
        <f aca="false">EXP(Fit!$B$16+Fit!$B$15*-NORMSINV(D301))</f>
        <v>14.4150073718714</v>
      </c>
      <c r="J301" s="35" t="n">
        <f aca="false">Fit!$B$22*LN(1/D301)^(1/Fit!$B$21)</f>
        <v>7.60163783687695</v>
      </c>
      <c r="K301" s="35" t="n">
        <f aca="false">MAX(0,Fit!$B$28+Fit!$B$27*-NORMSINV(D301))</f>
        <v>0</v>
      </c>
      <c r="L301" s="35" t="n">
        <f aca="false">INDEX(H301:K301,1,Inputs!$B$5)</f>
        <v>29.1104263542925</v>
      </c>
      <c r="M301" s="35" t="n">
        <f aca="false">L301*E301</f>
        <v>1.01501623278778</v>
      </c>
      <c r="N301" s="35" t="n">
        <f aca="false">L301^$AB$7</f>
        <v>29.1104263542925</v>
      </c>
      <c r="O301" s="35" t="n">
        <f aca="false">N301*E301</f>
        <v>1.01501623278778</v>
      </c>
      <c r="P301" s="35" t="n">
        <f aca="false">N301*$AB$3/($AB$4*$AB$1)</f>
        <v>196319.423448896</v>
      </c>
      <c r="Q301" s="35" t="n">
        <f aca="false">IF(G301&lt;=3,F301*SQRT(P301),0)</f>
        <v>0</v>
      </c>
      <c r="R301" s="35" t="n">
        <f aca="false">SQRT(P301/$AB$6)</f>
        <v>204719477.918595</v>
      </c>
      <c r="S301" s="35" t="n">
        <f aca="false">2*$AB$6*R301</f>
        <v>0.00191793595260107</v>
      </c>
      <c r="T301" s="35" t="n">
        <f aca="false">IF(G301&lt;=3,F301*R301,0)</f>
        <v>0</v>
      </c>
      <c r="U301" s="35" t="n">
        <f aca="false">F301*P301</f>
        <v>15500326196.4955</v>
      </c>
      <c r="V301" s="35" t="n">
        <f aca="false">H301^$AB$7*E301</f>
        <v>1.01501623278778</v>
      </c>
      <c r="W301" s="35" t="n">
        <f aca="false">I301^$AB$7*E301</f>
        <v>0.502619449819481</v>
      </c>
      <c r="X301" s="35" t="n">
        <f aca="false">J301^$AB$7*E301</f>
        <v>0.265052311714636</v>
      </c>
      <c r="Y301" s="35" t="n">
        <f aca="false">K301^$AB$7*E301</f>
        <v>0</v>
      </c>
    </row>
    <row r="302" customFormat="false" ht="15" hidden="false" customHeight="false" outlineLevel="0" collapsed="false">
      <c r="A302" s="35" t="n">
        <v>300</v>
      </c>
      <c r="B302" s="35" t="n">
        <f aca="false">C301</f>
        <v>0.926118728128794</v>
      </c>
      <c r="C302" s="35" t="n">
        <f aca="false">Inputs!$B$24*(Inputs!$B$25/Inputs!$B$24)^(59/60)</f>
        <v>0.962350626398088</v>
      </c>
      <c r="D302" s="35" t="n">
        <f aca="false">(B302+C302)/2</f>
        <v>0.944234677263441</v>
      </c>
      <c r="E302" s="35" t="n">
        <f aca="false">C302-B302</f>
        <v>0.036231898269295</v>
      </c>
      <c r="F302" s="35" t="n">
        <f aca="false">Inputs!$B$16*E302</f>
        <v>82043.5104409915</v>
      </c>
      <c r="G302" s="35" t="n">
        <f aca="false">IF(D302&lt;=Inputs!$B$21,1,IF(D302&lt;=Inputs!$B$22,2,IF(D302&lt;=Inputs!$B$23,3,IF(D302&lt;=Inputs!$B$24,4,5))))</f>
        <v>5</v>
      </c>
      <c r="H302" s="35" t="n">
        <f aca="false">Fit!$B$10*D302^(-1/Fit!$B$9)</f>
        <v>28.3899751560829</v>
      </c>
      <c r="I302" s="35" t="n">
        <f aca="false">EXP(Fit!$B$16+Fit!$B$15*-NORMSINV(D302))</f>
        <v>11.6598745585919</v>
      </c>
      <c r="J302" s="35" t="n">
        <f aca="false">Fit!$B$22*LN(1/D302)^(1/Fit!$B$21)</f>
        <v>4.85521268118011</v>
      </c>
      <c r="K302" s="35" t="n">
        <f aca="false">MAX(0,Fit!$B$28+Fit!$B$27*-NORMSINV(D302))</f>
        <v>0</v>
      </c>
      <c r="L302" s="35" t="n">
        <f aca="false">INDEX(H302:K302,1,Inputs!$B$5)</f>
        <v>28.3899751560829</v>
      </c>
      <c r="M302" s="35" t="n">
        <f aca="false">L302*E302</f>
        <v>1.02862269172301</v>
      </c>
      <c r="N302" s="35" t="n">
        <f aca="false">L302^$AB$7</f>
        <v>28.3899751560829</v>
      </c>
      <c r="O302" s="35" t="n">
        <f aca="false">N302*E302</f>
        <v>1.02862269172301</v>
      </c>
      <c r="P302" s="35" t="n">
        <f aca="false">N302*$AB$3/($AB$4*$AB$1)</f>
        <v>191460.732540897</v>
      </c>
      <c r="Q302" s="35" t="n">
        <f aca="false">IF(G302&lt;=3,F302*SQRT(P302),0)</f>
        <v>0</v>
      </c>
      <c r="R302" s="35" t="n">
        <f aca="false">SQRT(P302/$AB$6)</f>
        <v>202170315.327183</v>
      </c>
      <c r="S302" s="35" t="n">
        <f aca="false">2*$AB$6*R302</f>
        <v>0.00189405385485051</v>
      </c>
      <c r="T302" s="35" t="n">
        <f aca="false">IF(G302&lt;=3,F302*R302,0)</f>
        <v>0</v>
      </c>
      <c r="U302" s="35" t="n">
        <f aca="false">F302*P302</f>
        <v>15708110609.259</v>
      </c>
      <c r="V302" s="35" t="n">
        <f aca="false">H302^$AB$7*E302</f>
        <v>1.02862269172301</v>
      </c>
      <c r="W302" s="35" t="n">
        <f aca="false">I302^$AB$7*E302</f>
        <v>0.422459388839643</v>
      </c>
      <c r="X302" s="35" t="n">
        <f aca="false">J302^$AB$7*E302</f>
        <v>0.175913571940309</v>
      </c>
      <c r="Y302" s="35" t="n">
        <f aca="false">K302^$AB$7*E302</f>
        <v>0</v>
      </c>
    </row>
    <row r="303" customFormat="false" ht="15" hidden="false" customHeight="false" outlineLevel="0" collapsed="false">
      <c r="A303" s="35" t="n">
        <v>301</v>
      </c>
      <c r="B303" s="35" t="n">
        <f aca="false">C302</f>
        <v>0.962350626398088</v>
      </c>
      <c r="C303" s="35" t="n">
        <f aca="false">Inputs!$B$24*(Inputs!$B$25/Inputs!$B$24)^(60/60)</f>
        <v>1</v>
      </c>
      <c r="D303" s="35" t="n">
        <f aca="false">(B303+C303)/2</f>
        <v>0.981175313199044</v>
      </c>
      <c r="E303" s="35" t="n">
        <f aca="false">C303-B303</f>
        <v>0.0376493736019116</v>
      </c>
      <c r="F303" s="35" t="n">
        <f aca="false">Inputs!$B$16*E303</f>
        <v>85253.2415841685</v>
      </c>
      <c r="G303" s="35" t="n">
        <f aca="false">IF(D303&lt;=Inputs!$B$21,1,IF(D303&lt;=Inputs!$B$22,2,IF(D303&lt;=Inputs!$B$23,3,IF(D303&lt;=Inputs!$B$24,4,5))))</f>
        <v>5</v>
      </c>
      <c r="H303" s="35" t="n">
        <f aca="false">Fit!$B$10*D303^(-1/Fit!$B$9)</f>
        <v>27.6873543366758</v>
      </c>
      <c r="I303" s="35" t="n">
        <f aca="false">EXP(Fit!$B$16+Fit!$B$15*-NORMSINV(D303))</f>
        <v>7.81874546680967</v>
      </c>
      <c r="J303" s="35" t="n">
        <f aca="false">Fit!$B$22*LN(1/D303)^(1/Fit!$B$21)</f>
        <v>1.84534856467046</v>
      </c>
      <c r="K303" s="35" t="n">
        <f aca="false">MAX(0,Fit!$B$28+Fit!$B$27*-NORMSINV(D303))</f>
        <v>0</v>
      </c>
      <c r="L303" s="35" t="n">
        <f aca="false">INDEX(H303:K303,1,Inputs!$B$5)</f>
        <v>27.6873543366758</v>
      </c>
      <c r="M303" s="35" t="n">
        <f aca="false">L303*E303</f>
        <v>1.04241154747001</v>
      </c>
      <c r="N303" s="35" t="n">
        <f aca="false">L303^$AB$7</f>
        <v>27.6873543366758</v>
      </c>
      <c r="O303" s="35" t="n">
        <f aca="false">N303*E303</f>
        <v>1.04241154747001</v>
      </c>
      <c r="P303" s="35" t="n">
        <f aca="false">N303*$AB$3/($AB$4*$AB$1)</f>
        <v>186722.288916252</v>
      </c>
      <c r="Q303" s="35" t="n">
        <f aca="false">IF(G303&lt;=3,F303*SQRT(P303),0)</f>
        <v>0</v>
      </c>
      <c r="R303" s="35" t="n">
        <f aca="false">SQRT(P303/$AB$6)</f>
        <v>199652894.854223</v>
      </c>
      <c r="S303" s="35" t="n">
        <f aca="false">2*$AB$6*R303</f>
        <v>0.00187046913647396</v>
      </c>
      <c r="T303" s="35" t="n">
        <f aca="false">IF(G303&lt;=3,F303*R303,0)</f>
        <v>0</v>
      </c>
      <c r="U303" s="35" t="n">
        <f aca="false">F303*P303</f>
        <v>15918680406.1261</v>
      </c>
      <c r="V303" s="35" t="n">
        <f aca="false">H303^$AB$7*E303</f>
        <v>1.04241154747001</v>
      </c>
      <c r="W303" s="35" t="n">
        <f aca="false">I303^$AB$7*E303</f>
        <v>0.29437086917817</v>
      </c>
      <c r="X303" s="35" t="n">
        <f aca="false">J303^$AB$7*E303</f>
        <v>0.0694762175370296</v>
      </c>
      <c r="Y303" s="35" t="n">
        <f aca="false">K303^$AB$7*E303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162</v>
      </c>
    </row>
    <row r="3" customFormat="false" ht="15" hidden="false" customHeight="false" outlineLevel="0" collapsed="false">
      <c r="A3" s="3" t="s">
        <v>163</v>
      </c>
      <c r="B3" s="3"/>
    </row>
    <row r="4" customFormat="false" ht="25.5" hidden="false" customHeight="true" outlineLevel="0" collapsed="false">
      <c r="A4" s="40" t="s">
        <v>164</v>
      </c>
    </row>
    <row r="5" customFormat="false" ht="25.5" hidden="false" customHeight="true" outlineLevel="0" collapsed="false">
      <c r="A5" s="40" t="s">
        <v>165</v>
      </c>
    </row>
    <row r="6" customFormat="false" ht="25.5" hidden="false" customHeight="true" outlineLevel="0" collapsed="false">
      <c r="A6" s="40" t="s">
        <v>166</v>
      </c>
    </row>
    <row r="8" customFormat="false" ht="15" hidden="false" customHeight="false" outlineLevel="0" collapsed="false">
      <c r="A8" s="3" t="s">
        <v>167</v>
      </c>
      <c r="B8" s="3"/>
    </row>
    <row r="9" customFormat="false" ht="25.5" hidden="false" customHeight="true" outlineLevel="0" collapsed="false">
      <c r="A9" s="40" t="s">
        <v>168</v>
      </c>
    </row>
    <row r="10" customFormat="false" ht="39" hidden="false" customHeight="true" outlineLevel="0" collapsed="false">
      <c r="A10" s="40" t="s">
        <v>169</v>
      </c>
    </row>
    <row r="11" customFormat="false" ht="39" hidden="false" customHeight="true" outlineLevel="0" collapsed="false">
      <c r="A11" s="40" t="s">
        <v>170</v>
      </c>
    </row>
    <row r="12" customFormat="false" ht="25.5" hidden="false" customHeight="true" outlineLevel="0" collapsed="false">
      <c r="A12" s="40" t="s">
        <v>171</v>
      </c>
    </row>
    <row r="13" customFormat="false" ht="25.5" hidden="false" customHeight="true" outlineLevel="0" collapsed="false">
      <c r="A13" s="40" t="s">
        <v>172</v>
      </c>
    </row>
    <row r="14" customFormat="false" ht="25.5" hidden="false" customHeight="true" outlineLevel="0" collapsed="false">
      <c r="A14" s="40" t="s">
        <v>173</v>
      </c>
    </row>
    <row r="15" customFormat="false" ht="13.5" hidden="false" customHeight="true" outlineLevel="0" collapsed="false">
      <c r="A15" s="40" t="s">
        <v>174</v>
      </c>
    </row>
    <row r="17" customFormat="false" ht="15" hidden="false" customHeight="false" outlineLevel="0" collapsed="false">
      <c r="A17" s="3" t="s">
        <v>175</v>
      </c>
      <c r="B17" s="3"/>
    </row>
    <row r="18" customFormat="false" ht="13.5" hidden="false" customHeight="true" outlineLevel="0" collapsed="false">
      <c r="A18" s="41" t="s">
        <v>176</v>
      </c>
    </row>
    <row r="19" customFormat="false" ht="51.75" hidden="false" customHeight="true" outlineLevel="0" collapsed="false">
      <c r="A19" s="40" t="s">
        <v>177</v>
      </c>
    </row>
    <row r="20" customFormat="false" ht="25.5" hidden="false" customHeight="true" outlineLevel="0" collapsed="false">
      <c r="A20" s="40" t="s">
        <v>178</v>
      </c>
    </row>
    <row r="21" customFormat="false" ht="13.5" hidden="false" customHeight="true" outlineLevel="0" collapsed="false">
      <c r="A21" s="40" t="s">
        <v>179</v>
      </c>
    </row>
    <row r="22" customFormat="false" ht="13.5" hidden="false" customHeight="true" outlineLevel="0" collapsed="false">
      <c r="A22" s="41" t="s">
        <v>180</v>
      </c>
    </row>
    <row r="23" customFormat="false" ht="13.5" hidden="false" customHeight="true" outlineLevel="0" collapsed="false">
      <c r="A23" s="40" t="s">
        <v>181</v>
      </c>
    </row>
    <row r="24" customFormat="false" ht="13.5" hidden="false" customHeight="true" outlineLevel="0" collapsed="false">
      <c r="A24" s="40" t="s">
        <v>182</v>
      </c>
    </row>
    <row r="25" customFormat="false" ht="13.5" hidden="false" customHeight="true" outlineLevel="0" collapsed="false">
      <c r="A25" s="40" t="s">
        <v>183</v>
      </c>
    </row>
    <row r="26" customFormat="false" ht="13.5" hidden="false" customHeight="true" outlineLevel="0" collapsed="false">
      <c r="A26" s="40" t="s">
        <v>184</v>
      </c>
    </row>
    <row r="27" customFormat="false" ht="13.5" hidden="false" customHeight="true" outlineLevel="0" collapsed="false">
      <c r="A27" s="40" t="s">
        <v>185</v>
      </c>
    </row>
    <row r="28" customFormat="false" ht="13.5" hidden="false" customHeight="true" outlineLevel="0" collapsed="false">
      <c r="A28" s="40" t="s">
        <v>186</v>
      </c>
    </row>
    <row r="30" customFormat="false" ht="15" hidden="false" customHeight="false" outlineLevel="0" collapsed="false">
      <c r="A30" s="3" t="s">
        <v>187</v>
      </c>
      <c r="B30" s="3"/>
    </row>
    <row r="31" customFormat="false" ht="51.75" hidden="false" customHeight="true" outlineLevel="0" collapsed="false">
      <c r="A31" s="40" t="s">
        <v>188</v>
      </c>
    </row>
    <row r="32" customFormat="false" ht="39" hidden="false" customHeight="true" outlineLevel="0" collapsed="false">
      <c r="A32" s="40" t="s">
        <v>189</v>
      </c>
    </row>
    <row r="33" customFormat="false" ht="39" hidden="false" customHeight="true" outlineLevel="0" collapsed="false">
      <c r="A33" s="40" t="s">
        <v>190</v>
      </c>
    </row>
    <row r="34" customFormat="false" ht="51.75" hidden="false" customHeight="true" outlineLevel="0" collapsed="false">
      <c r="A34" s="40" t="s">
        <v>191</v>
      </c>
    </row>
    <row r="35" customFormat="false" ht="51.75" hidden="false" customHeight="true" outlineLevel="0" collapsed="false">
      <c r="A35" s="40" t="s">
        <v>192</v>
      </c>
    </row>
    <row r="36" customFormat="false" ht="39" hidden="false" customHeight="true" outlineLevel="0" collapsed="false">
      <c r="A36" s="40" t="s">
        <v>193</v>
      </c>
    </row>
    <row r="37" customFormat="false" ht="25.5" hidden="false" customHeight="true" outlineLevel="0" collapsed="false">
      <c r="A37" s="40" t="s">
        <v>194</v>
      </c>
    </row>
    <row r="39" customFormat="false" ht="15" hidden="false" customHeight="false" outlineLevel="0" collapsed="false">
      <c r="A39" s="3" t="s">
        <v>195</v>
      </c>
      <c r="B39" s="3"/>
    </row>
    <row r="40" customFormat="false" ht="51.75" hidden="false" customHeight="true" outlineLevel="0" collapsed="false">
      <c r="A40" s="40" t="s">
        <v>196</v>
      </c>
    </row>
    <row r="42" customFormat="false" ht="15" hidden="false" customHeight="false" outlineLevel="0" collapsed="false">
      <c r="A42" s="3" t="s">
        <v>197</v>
      </c>
      <c r="B42" s="3"/>
    </row>
    <row r="43" customFormat="false" ht="13.5" hidden="false" customHeight="true" outlineLevel="0" collapsed="false">
      <c r="A43" s="40"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2026-09-24T13:26:12Z</dcterms:created>
  <dc:creator>openpyxl</dc:creator>
  <dc:description/>
  <dc:language>en-US</dc:language>
  <cp:lastModifiedBy/>
  <dcterms:modified xsi:type="dcterms:W3CDTF">2026-09-24T13:26:52Z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