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sgt/GitHub/learning-simulator/capability-decay-simulator/"/>
    </mc:Choice>
  </mc:AlternateContent>
  <xr:revisionPtr revIDLastSave="0" documentId="13_ncr:1_{F22D6B8D-C2AC-1F49-9B53-48B359E1E4BC}" xr6:coauthVersionLast="47" xr6:coauthVersionMax="47" xr10:uidLastSave="{00000000-0000-0000-0000-000000000000}"/>
  <bookViews>
    <workbookView xWindow="1620" yWindow="600" windowWidth="27640" windowHeight="16680" activeTab="1" xr2:uid="{F074A47E-94FA-0E40-9C56-FC28A198C0FE}"/>
  </bookViews>
  <sheets>
    <sheet name="README" sheetId="2" r:id="rId1"/>
    <sheet name="Nodes" sheetId="3" r:id="rId2"/>
    <sheet name="Edges" sheetId="4" r:id="rId3"/>
    <sheet name="Vocabulary" sheetId="5" r:id="rId4"/>
    <sheet name="Summary" sheetId="6" r:id="rId5"/>
    <sheet name="Assumptions" sheetId="7" r:id="rId6"/>
    <sheet name="JSON" sheetId="10"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406" i="3" l="1"/>
  <c r="S406" i="3"/>
  <c r="T405" i="3"/>
  <c r="S405" i="3"/>
  <c r="T404" i="3"/>
  <c r="S404" i="3"/>
  <c r="T403" i="3"/>
  <c r="S403" i="3"/>
  <c r="T402" i="3"/>
  <c r="S402" i="3"/>
  <c r="T401" i="3"/>
  <c r="S401" i="3"/>
  <c r="T400" i="3"/>
  <c r="S400" i="3"/>
  <c r="T399" i="3"/>
  <c r="S399" i="3"/>
  <c r="T398" i="3"/>
  <c r="S398" i="3"/>
  <c r="D23" i="6" s="1"/>
  <c r="T397" i="3"/>
  <c r="S397" i="3"/>
  <c r="T396" i="3"/>
  <c r="S396" i="3"/>
  <c r="T395" i="3"/>
  <c r="S395" i="3"/>
  <c r="T394" i="3"/>
  <c r="S394" i="3"/>
  <c r="T393" i="3"/>
  <c r="S393" i="3"/>
  <c r="T392" i="3"/>
  <c r="S392" i="3"/>
  <c r="T391" i="3"/>
  <c r="S391" i="3"/>
  <c r="T390" i="3"/>
  <c r="S390" i="3"/>
  <c r="T389" i="3"/>
  <c r="S389" i="3"/>
  <c r="D22" i="6" s="1"/>
  <c r="T388" i="3"/>
  <c r="S388" i="3"/>
  <c r="T387" i="3"/>
  <c r="S387" i="3"/>
  <c r="T386" i="3"/>
  <c r="S386" i="3"/>
  <c r="T385" i="3"/>
  <c r="S385" i="3"/>
  <c r="T384" i="3"/>
  <c r="S384" i="3"/>
  <c r="T383" i="3"/>
  <c r="S383" i="3"/>
  <c r="T382" i="3"/>
  <c r="S382" i="3"/>
  <c r="T381" i="3"/>
  <c r="S381" i="3"/>
  <c r="T380" i="3"/>
  <c r="S380" i="3"/>
  <c r="T379" i="3"/>
  <c r="S379" i="3"/>
  <c r="T378" i="3"/>
  <c r="S378" i="3"/>
  <c r="T377" i="3"/>
  <c r="S377" i="3"/>
  <c r="T376" i="3"/>
  <c r="S376" i="3"/>
  <c r="T375" i="3"/>
  <c r="S375" i="3"/>
  <c r="T374" i="3"/>
  <c r="S374" i="3"/>
  <c r="T373" i="3"/>
  <c r="S373" i="3"/>
  <c r="T372" i="3"/>
  <c r="S372" i="3"/>
  <c r="T371" i="3"/>
  <c r="S371" i="3"/>
  <c r="T370" i="3"/>
  <c r="S370" i="3"/>
  <c r="T369" i="3"/>
  <c r="S369" i="3"/>
  <c r="T368" i="3"/>
  <c r="S368" i="3"/>
  <c r="T367" i="3"/>
  <c r="S367" i="3"/>
  <c r="T366" i="3"/>
  <c r="S366" i="3"/>
  <c r="T365" i="3"/>
  <c r="S365" i="3"/>
  <c r="T364" i="3"/>
  <c r="S364" i="3"/>
  <c r="T363" i="3"/>
  <c r="S363" i="3"/>
  <c r="T362" i="3"/>
  <c r="S362" i="3"/>
  <c r="T361" i="3"/>
  <c r="S361" i="3"/>
  <c r="T360" i="3"/>
  <c r="S360" i="3"/>
  <c r="T359" i="3"/>
  <c r="S359" i="3"/>
  <c r="T358" i="3"/>
  <c r="S358" i="3"/>
  <c r="T357" i="3"/>
  <c r="S357" i="3"/>
  <c r="T356" i="3"/>
  <c r="S356" i="3"/>
  <c r="T355" i="3"/>
  <c r="S355" i="3"/>
  <c r="D21" i="6" s="1"/>
  <c r="T354" i="3"/>
  <c r="S354" i="3"/>
  <c r="T353" i="3"/>
  <c r="S353" i="3"/>
  <c r="T352" i="3"/>
  <c r="S352" i="3"/>
  <c r="T351" i="3"/>
  <c r="S351" i="3"/>
  <c r="T350" i="3"/>
  <c r="S350" i="3"/>
  <c r="T349" i="3"/>
  <c r="S349" i="3"/>
  <c r="T348" i="3"/>
  <c r="S348" i="3"/>
  <c r="T347" i="3"/>
  <c r="S347" i="3"/>
  <c r="T346" i="3"/>
  <c r="S346" i="3"/>
  <c r="T345" i="3"/>
  <c r="S345" i="3"/>
  <c r="T344" i="3"/>
  <c r="S344" i="3"/>
  <c r="T343" i="3"/>
  <c r="S343" i="3"/>
  <c r="T342" i="3"/>
  <c r="S342" i="3"/>
  <c r="T341" i="3"/>
  <c r="S341" i="3"/>
  <c r="T340" i="3"/>
  <c r="S340" i="3"/>
  <c r="T339" i="3"/>
  <c r="S339" i="3"/>
  <c r="T338" i="3"/>
  <c r="S338" i="3"/>
  <c r="T337" i="3"/>
  <c r="S337" i="3"/>
  <c r="T336" i="3"/>
  <c r="S336" i="3"/>
  <c r="T335" i="3"/>
  <c r="S335" i="3"/>
  <c r="T334" i="3"/>
  <c r="S334" i="3"/>
  <c r="T333" i="3"/>
  <c r="S333" i="3"/>
  <c r="T332" i="3"/>
  <c r="S332" i="3"/>
  <c r="T331" i="3"/>
  <c r="S331" i="3"/>
  <c r="T330" i="3"/>
  <c r="S330" i="3"/>
  <c r="T329" i="3"/>
  <c r="S329" i="3"/>
  <c r="T328" i="3"/>
  <c r="S328" i="3"/>
  <c r="T327" i="3"/>
  <c r="S327" i="3"/>
  <c r="T326" i="3"/>
  <c r="S326" i="3"/>
  <c r="T325" i="3"/>
  <c r="S325" i="3"/>
  <c r="T324" i="3"/>
  <c r="S324" i="3"/>
  <c r="T323" i="3"/>
  <c r="S323" i="3"/>
  <c r="T322" i="3"/>
  <c r="S322" i="3"/>
  <c r="T321" i="3"/>
  <c r="S321" i="3"/>
  <c r="T320" i="3"/>
  <c r="S320" i="3"/>
  <c r="T319" i="3"/>
  <c r="S319" i="3"/>
  <c r="T318" i="3"/>
  <c r="S318" i="3"/>
  <c r="T317" i="3"/>
  <c r="S317" i="3"/>
  <c r="T316" i="3"/>
  <c r="S316" i="3"/>
  <c r="T315" i="3"/>
  <c r="S315" i="3"/>
  <c r="T314" i="3"/>
  <c r="S314" i="3"/>
  <c r="T313" i="3"/>
  <c r="S313" i="3"/>
  <c r="T312" i="3"/>
  <c r="S312" i="3"/>
  <c r="T311" i="3"/>
  <c r="S311" i="3"/>
  <c r="T310" i="3"/>
  <c r="S310" i="3"/>
  <c r="T309" i="3"/>
  <c r="S309" i="3"/>
  <c r="T308" i="3"/>
  <c r="S308" i="3"/>
  <c r="T307" i="3"/>
  <c r="S307" i="3"/>
  <c r="T306" i="3"/>
  <c r="S306" i="3"/>
  <c r="T305" i="3"/>
  <c r="S305" i="3"/>
  <c r="T304" i="3"/>
  <c r="S304" i="3"/>
  <c r="T303" i="3"/>
  <c r="S303" i="3"/>
  <c r="T302" i="3"/>
  <c r="S302" i="3"/>
  <c r="T301" i="3"/>
  <c r="S301" i="3"/>
  <c r="T300" i="3"/>
  <c r="S300" i="3"/>
  <c r="T299" i="3"/>
  <c r="S299" i="3"/>
  <c r="T298" i="3"/>
  <c r="S298" i="3"/>
  <c r="T297" i="3"/>
  <c r="S297" i="3"/>
  <c r="T296" i="3"/>
  <c r="S296" i="3"/>
  <c r="T295" i="3"/>
  <c r="S295" i="3"/>
  <c r="T294" i="3"/>
  <c r="S294" i="3"/>
  <c r="T293" i="3"/>
  <c r="S293" i="3"/>
  <c r="T292" i="3"/>
  <c r="S292" i="3"/>
  <c r="T291" i="3"/>
  <c r="S291" i="3"/>
  <c r="T290" i="3"/>
  <c r="S290" i="3"/>
  <c r="T289" i="3"/>
  <c r="S289" i="3"/>
  <c r="T288" i="3"/>
  <c r="S288" i="3"/>
  <c r="T287" i="3"/>
  <c r="S287" i="3"/>
  <c r="T286" i="3"/>
  <c r="S286" i="3"/>
  <c r="T285" i="3"/>
  <c r="S285" i="3"/>
  <c r="T284" i="3"/>
  <c r="S284" i="3"/>
  <c r="T283" i="3"/>
  <c r="S283" i="3"/>
  <c r="T282" i="3"/>
  <c r="S282" i="3"/>
  <c r="T281" i="3"/>
  <c r="S281" i="3"/>
  <c r="T280" i="3"/>
  <c r="S280" i="3"/>
  <c r="T279" i="3"/>
  <c r="S279" i="3"/>
  <c r="T278" i="3"/>
  <c r="S278" i="3"/>
  <c r="T277" i="3"/>
  <c r="S277" i="3"/>
  <c r="T276" i="3"/>
  <c r="S276" i="3"/>
  <c r="T275" i="3"/>
  <c r="S275" i="3"/>
  <c r="T274" i="3"/>
  <c r="S274" i="3"/>
  <c r="T273" i="3"/>
  <c r="S273" i="3"/>
  <c r="T272" i="3"/>
  <c r="S272" i="3"/>
  <c r="T271" i="3"/>
  <c r="S271" i="3"/>
  <c r="T270" i="3"/>
  <c r="S270" i="3"/>
  <c r="T269" i="3"/>
  <c r="S269" i="3"/>
  <c r="T268" i="3"/>
  <c r="S268" i="3"/>
  <c r="T267" i="3"/>
  <c r="S267" i="3"/>
  <c r="T266" i="3"/>
  <c r="S266" i="3"/>
  <c r="T265" i="3"/>
  <c r="S265" i="3"/>
  <c r="T264" i="3"/>
  <c r="S264" i="3"/>
  <c r="T263" i="3"/>
  <c r="S263" i="3"/>
  <c r="T262" i="3"/>
  <c r="S262" i="3"/>
  <c r="T261" i="3"/>
  <c r="S261" i="3"/>
  <c r="T260" i="3"/>
  <c r="S260" i="3"/>
  <c r="T259" i="3"/>
  <c r="S259" i="3"/>
  <c r="T258" i="3"/>
  <c r="S258" i="3"/>
  <c r="T257" i="3"/>
  <c r="S257" i="3"/>
  <c r="T256" i="3"/>
  <c r="S256" i="3"/>
  <c r="T255" i="3"/>
  <c r="S255" i="3"/>
  <c r="T254" i="3"/>
  <c r="S254" i="3"/>
  <c r="T253" i="3"/>
  <c r="S253" i="3"/>
  <c r="T252" i="3"/>
  <c r="S252" i="3"/>
  <c r="T251" i="3"/>
  <c r="S251" i="3"/>
  <c r="T250" i="3"/>
  <c r="S250" i="3"/>
  <c r="T249" i="3"/>
  <c r="S249" i="3"/>
  <c r="T248" i="3"/>
  <c r="S248" i="3"/>
  <c r="T247" i="3"/>
  <c r="S247" i="3"/>
  <c r="T246" i="3"/>
  <c r="S246" i="3"/>
  <c r="T245" i="3"/>
  <c r="S245" i="3"/>
  <c r="T244" i="3"/>
  <c r="S244" i="3"/>
  <c r="T243" i="3"/>
  <c r="S243" i="3"/>
  <c r="T242" i="3"/>
  <c r="S242" i="3"/>
  <c r="T241" i="3"/>
  <c r="S241" i="3"/>
  <c r="T240" i="3"/>
  <c r="S240" i="3"/>
  <c r="T239" i="3"/>
  <c r="S239" i="3"/>
  <c r="T238" i="3"/>
  <c r="S238" i="3"/>
  <c r="T237" i="3"/>
  <c r="S237" i="3"/>
  <c r="T236" i="3"/>
  <c r="S236" i="3"/>
  <c r="T235" i="3"/>
  <c r="S235" i="3"/>
  <c r="T234" i="3"/>
  <c r="S234" i="3"/>
  <c r="T233" i="3"/>
  <c r="S233" i="3"/>
  <c r="T232" i="3"/>
  <c r="S232" i="3"/>
  <c r="T231" i="3"/>
  <c r="S231" i="3"/>
  <c r="T230" i="3"/>
  <c r="S230" i="3"/>
  <c r="T229" i="3"/>
  <c r="S229" i="3"/>
  <c r="T228" i="3"/>
  <c r="S228" i="3"/>
  <c r="T227" i="3"/>
  <c r="S227" i="3"/>
  <c r="T226" i="3"/>
  <c r="S226" i="3"/>
  <c r="T225" i="3"/>
  <c r="S225" i="3"/>
  <c r="T224" i="3"/>
  <c r="S224" i="3"/>
  <c r="T223" i="3"/>
  <c r="S223" i="3"/>
  <c r="T222" i="3"/>
  <c r="S222" i="3"/>
  <c r="T221" i="3"/>
  <c r="S221" i="3"/>
  <c r="T220" i="3"/>
  <c r="S220" i="3"/>
  <c r="T219" i="3"/>
  <c r="S219" i="3"/>
  <c r="T218" i="3"/>
  <c r="S218" i="3"/>
  <c r="T217" i="3"/>
  <c r="S217" i="3"/>
  <c r="T216" i="3"/>
  <c r="S216" i="3"/>
  <c r="T215" i="3"/>
  <c r="S215" i="3"/>
  <c r="T214" i="3"/>
  <c r="S214" i="3"/>
  <c r="T213" i="3"/>
  <c r="S213" i="3"/>
  <c r="T212" i="3"/>
  <c r="S212" i="3"/>
  <c r="T211" i="3"/>
  <c r="S211" i="3"/>
  <c r="T210" i="3"/>
  <c r="S210" i="3"/>
  <c r="T209" i="3"/>
  <c r="S209" i="3"/>
  <c r="T208" i="3"/>
  <c r="S208" i="3"/>
  <c r="T207" i="3"/>
  <c r="S207" i="3"/>
  <c r="T206" i="3"/>
  <c r="S206" i="3"/>
  <c r="T205" i="3"/>
  <c r="S205" i="3"/>
  <c r="T204" i="3"/>
  <c r="S204" i="3"/>
  <c r="T203" i="3"/>
  <c r="S203" i="3"/>
  <c r="T202" i="3"/>
  <c r="S202" i="3"/>
  <c r="T201" i="3"/>
  <c r="S201" i="3"/>
  <c r="T200" i="3"/>
  <c r="S200" i="3"/>
  <c r="T199" i="3"/>
  <c r="S199" i="3"/>
  <c r="T198" i="3"/>
  <c r="S198" i="3"/>
  <c r="T197" i="3"/>
  <c r="S197" i="3"/>
  <c r="T196" i="3"/>
  <c r="S196" i="3"/>
  <c r="T195" i="3"/>
  <c r="S195" i="3"/>
  <c r="T194" i="3"/>
  <c r="S194" i="3"/>
  <c r="T193" i="3"/>
  <c r="S193" i="3"/>
  <c r="T192" i="3"/>
  <c r="S192" i="3"/>
  <c r="T191" i="3"/>
  <c r="S191" i="3"/>
  <c r="T190" i="3"/>
  <c r="S190" i="3"/>
  <c r="T189" i="3"/>
  <c r="S189" i="3"/>
  <c r="T188" i="3"/>
  <c r="S188" i="3"/>
  <c r="T187" i="3"/>
  <c r="S187" i="3"/>
  <c r="T186" i="3"/>
  <c r="S186" i="3"/>
  <c r="T185" i="3"/>
  <c r="S185" i="3"/>
  <c r="T184" i="3"/>
  <c r="S184" i="3"/>
  <c r="T183" i="3"/>
  <c r="S183" i="3"/>
  <c r="T182" i="3"/>
  <c r="S182" i="3"/>
  <c r="T181" i="3"/>
  <c r="S181" i="3"/>
  <c r="T180" i="3"/>
  <c r="S180" i="3"/>
  <c r="T179" i="3"/>
  <c r="S179" i="3"/>
  <c r="T178" i="3"/>
  <c r="S178" i="3"/>
  <c r="T177" i="3"/>
  <c r="S177" i="3"/>
  <c r="T176" i="3"/>
  <c r="S176" i="3"/>
  <c r="T175" i="3"/>
  <c r="S175" i="3"/>
  <c r="T174" i="3"/>
  <c r="S174" i="3"/>
  <c r="T173" i="3"/>
  <c r="S173" i="3"/>
  <c r="T172" i="3"/>
  <c r="S172" i="3"/>
  <c r="T171" i="3"/>
  <c r="S171" i="3"/>
  <c r="T170" i="3"/>
  <c r="S170" i="3"/>
  <c r="T169" i="3"/>
  <c r="S169" i="3"/>
  <c r="T168" i="3"/>
  <c r="S168" i="3"/>
  <c r="T167" i="3"/>
  <c r="S167" i="3"/>
  <c r="T166" i="3"/>
  <c r="S166" i="3"/>
  <c r="T165" i="3"/>
  <c r="S165" i="3"/>
  <c r="T164" i="3"/>
  <c r="S164" i="3"/>
  <c r="T163" i="3"/>
  <c r="S163" i="3"/>
  <c r="T162" i="3"/>
  <c r="S162" i="3"/>
  <c r="T161" i="3"/>
  <c r="S161" i="3"/>
  <c r="T160" i="3"/>
  <c r="S160" i="3"/>
  <c r="T159" i="3"/>
  <c r="S159" i="3"/>
  <c r="T158" i="3"/>
  <c r="S158" i="3"/>
  <c r="T157" i="3"/>
  <c r="S157" i="3"/>
  <c r="T156" i="3"/>
  <c r="S156" i="3"/>
  <c r="T155" i="3"/>
  <c r="S155" i="3"/>
  <c r="T154" i="3"/>
  <c r="S154" i="3"/>
  <c r="T153" i="3"/>
  <c r="S153" i="3"/>
  <c r="T152" i="3"/>
  <c r="S152" i="3"/>
  <c r="T151" i="3"/>
  <c r="S151" i="3"/>
  <c r="T150" i="3"/>
  <c r="S150" i="3"/>
  <c r="T149" i="3"/>
  <c r="S149" i="3"/>
  <c r="T148" i="3"/>
  <c r="S148" i="3"/>
  <c r="T147" i="3"/>
  <c r="S147" i="3"/>
  <c r="T146" i="3"/>
  <c r="S146" i="3"/>
  <c r="T145" i="3"/>
  <c r="S145" i="3"/>
  <c r="T144" i="3"/>
  <c r="S144" i="3"/>
  <c r="T143" i="3"/>
  <c r="S143" i="3"/>
  <c r="T142" i="3"/>
  <c r="S142" i="3"/>
  <c r="T141" i="3"/>
  <c r="S141" i="3"/>
  <c r="T140" i="3"/>
  <c r="S140" i="3"/>
  <c r="T139" i="3"/>
  <c r="S139" i="3"/>
  <c r="T138" i="3"/>
  <c r="S138" i="3"/>
  <c r="T137" i="3"/>
  <c r="S137" i="3"/>
  <c r="T136" i="3"/>
  <c r="S136" i="3"/>
  <c r="T135" i="3"/>
  <c r="S135" i="3"/>
  <c r="T134" i="3"/>
  <c r="S134" i="3"/>
  <c r="T133" i="3"/>
  <c r="S133" i="3"/>
  <c r="T132" i="3"/>
  <c r="S132" i="3"/>
  <c r="T131" i="3"/>
  <c r="S131" i="3"/>
  <c r="T130" i="3"/>
  <c r="S130" i="3"/>
  <c r="T129" i="3"/>
  <c r="S129" i="3"/>
  <c r="T128" i="3"/>
  <c r="S128" i="3"/>
  <c r="T127" i="3"/>
  <c r="S127" i="3"/>
  <c r="T126" i="3"/>
  <c r="S126" i="3"/>
  <c r="T125" i="3"/>
  <c r="S125" i="3"/>
  <c r="T124" i="3"/>
  <c r="S124" i="3"/>
  <c r="T123" i="3"/>
  <c r="S123" i="3"/>
  <c r="T122" i="3"/>
  <c r="S122" i="3"/>
  <c r="T121" i="3"/>
  <c r="S121" i="3"/>
  <c r="T120" i="3"/>
  <c r="S120" i="3"/>
  <c r="T119" i="3"/>
  <c r="S119" i="3"/>
  <c r="T118" i="3"/>
  <c r="S118" i="3"/>
  <c r="T117" i="3"/>
  <c r="S117" i="3"/>
  <c r="T116" i="3"/>
  <c r="S116" i="3"/>
  <c r="T115" i="3"/>
  <c r="S115" i="3"/>
  <c r="T114" i="3"/>
  <c r="S114" i="3"/>
  <c r="T113" i="3"/>
  <c r="S113" i="3"/>
  <c r="T112" i="3"/>
  <c r="S112" i="3"/>
  <c r="T111" i="3"/>
  <c r="S111" i="3"/>
  <c r="T110" i="3"/>
  <c r="S110" i="3"/>
  <c r="T109" i="3"/>
  <c r="S109" i="3"/>
  <c r="T108" i="3"/>
  <c r="S108" i="3"/>
  <c r="T107" i="3"/>
  <c r="S107" i="3"/>
  <c r="T106" i="3"/>
  <c r="S106" i="3"/>
  <c r="T105" i="3"/>
  <c r="S105" i="3"/>
  <c r="T104" i="3"/>
  <c r="S104" i="3"/>
  <c r="T103" i="3"/>
  <c r="S103" i="3"/>
  <c r="T102" i="3"/>
  <c r="S102" i="3"/>
  <c r="T101" i="3"/>
  <c r="S101" i="3"/>
  <c r="T100" i="3"/>
  <c r="S100" i="3"/>
  <c r="T99" i="3"/>
  <c r="S99" i="3"/>
  <c r="T98" i="3"/>
  <c r="S98" i="3"/>
  <c r="T97" i="3"/>
  <c r="S97" i="3"/>
  <c r="T96" i="3"/>
  <c r="S96" i="3"/>
  <c r="T95" i="3"/>
  <c r="S95" i="3"/>
  <c r="T94" i="3"/>
  <c r="S94" i="3"/>
  <c r="T93" i="3"/>
  <c r="S93" i="3"/>
  <c r="T92" i="3"/>
  <c r="S92" i="3"/>
  <c r="T91" i="3"/>
  <c r="S91" i="3"/>
  <c r="T90" i="3"/>
  <c r="S90" i="3"/>
  <c r="T89" i="3"/>
  <c r="S89" i="3"/>
  <c r="T88" i="3"/>
  <c r="S88" i="3"/>
  <c r="T87" i="3"/>
  <c r="S87" i="3"/>
  <c r="T86" i="3"/>
  <c r="S86" i="3"/>
  <c r="T85" i="3"/>
  <c r="S85" i="3"/>
  <c r="T84" i="3"/>
  <c r="S84" i="3"/>
  <c r="T83" i="3"/>
  <c r="S83" i="3"/>
  <c r="T82" i="3"/>
  <c r="S82" i="3"/>
  <c r="T81" i="3"/>
  <c r="S81" i="3"/>
  <c r="T80" i="3"/>
  <c r="S80" i="3"/>
  <c r="T79" i="3"/>
  <c r="S79" i="3"/>
  <c r="T78" i="3"/>
  <c r="S78" i="3"/>
  <c r="T77" i="3"/>
  <c r="S77" i="3"/>
  <c r="T76" i="3"/>
  <c r="S76" i="3"/>
  <c r="T75" i="3"/>
  <c r="S75" i="3"/>
  <c r="T74" i="3"/>
  <c r="S74" i="3"/>
  <c r="T73" i="3"/>
  <c r="S73" i="3"/>
  <c r="T72" i="3"/>
  <c r="S72" i="3"/>
  <c r="T71" i="3"/>
  <c r="S71" i="3"/>
  <c r="T70" i="3"/>
  <c r="S70" i="3"/>
  <c r="T69" i="3"/>
  <c r="S69" i="3"/>
  <c r="T68" i="3"/>
  <c r="S68" i="3"/>
  <c r="T67" i="3"/>
  <c r="S67" i="3"/>
  <c r="T66" i="3"/>
  <c r="S66" i="3"/>
  <c r="T65" i="3"/>
  <c r="S65" i="3"/>
  <c r="T64" i="3"/>
  <c r="S64" i="3"/>
  <c r="T63" i="3"/>
  <c r="S63" i="3"/>
  <c r="T62" i="3"/>
  <c r="S62" i="3"/>
  <c r="T61" i="3"/>
  <c r="S61" i="3"/>
  <c r="T60" i="3"/>
  <c r="S60" i="3"/>
  <c r="T59" i="3"/>
  <c r="S59" i="3"/>
  <c r="T58" i="3"/>
  <c r="S58" i="3"/>
  <c r="T57" i="3"/>
  <c r="S57" i="3"/>
  <c r="T56" i="3"/>
  <c r="S56" i="3"/>
  <c r="T55" i="3"/>
  <c r="S55" i="3"/>
  <c r="T54" i="3"/>
  <c r="S54" i="3"/>
  <c r="T53" i="3"/>
  <c r="S53" i="3"/>
  <c r="T52" i="3"/>
  <c r="S52" i="3"/>
  <c r="T51" i="3"/>
  <c r="S51" i="3"/>
  <c r="T50" i="3"/>
  <c r="S50" i="3"/>
  <c r="T49" i="3"/>
  <c r="S49" i="3"/>
  <c r="T48" i="3"/>
  <c r="S48" i="3"/>
  <c r="T47" i="3"/>
  <c r="S47" i="3"/>
  <c r="T46" i="3"/>
  <c r="S46" i="3"/>
  <c r="T45" i="3"/>
  <c r="S45" i="3"/>
  <c r="T44" i="3"/>
  <c r="S44" i="3"/>
  <c r="T43" i="3"/>
  <c r="S43" i="3"/>
  <c r="T42" i="3"/>
  <c r="S42" i="3"/>
  <c r="T41" i="3"/>
  <c r="S41" i="3"/>
  <c r="T40" i="3"/>
  <c r="S40" i="3"/>
  <c r="T39" i="3"/>
  <c r="S39" i="3"/>
  <c r="T38" i="3"/>
  <c r="S38" i="3"/>
  <c r="T37" i="3"/>
  <c r="S37" i="3"/>
  <c r="T36" i="3"/>
  <c r="S36" i="3"/>
  <c r="T35" i="3"/>
  <c r="S35" i="3"/>
  <c r="T34" i="3"/>
  <c r="S34" i="3"/>
  <c r="T33" i="3"/>
  <c r="S33" i="3"/>
  <c r="T32" i="3"/>
  <c r="S32" i="3"/>
  <c r="T31" i="3"/>
  <c r="S31" i="3"/>
  <c r="T30" i="3"/>
  <c r="S30" i="3"/>
  <c r="T29" i="3"/>
  <c r="S29" i="3"/>
  <c r="T28" i="3"/>
  <c r="S28" i="3"/>
  <c r="T27" i="3"/>
  <c r="S27" i="3"/>
  <c r="T26" i="3"/>
  <c r="S26" i="3"/>
  <c r="T25" i="3"/>
  <c r="S25" i="3"/>
  <c r="T24" i="3"/>
  <c r="S24" i="3"/>
  <c r="T23" i="3"/>
  <c r="S23" i="3"/>
  <c r="T22" i="3"/>
  <c r="S22" i="3"/>
  <c r="T21" i="3"/>
  <c r="S21" i="3"/>
  <c r="T20" i="3"/>
  <c r="S20" i="3"/>
  <c r="T19" i="3"/>
  <c r="S19" i="3"/>
  <c r="T18" i="3"/>
  <c r="S18" i="3"/>
  <c r="T17" i="3"/>
  <c r="S17" i="3"/>
  <c r="T16" i="3"/>
  <c r="S16" i="3"/>
  <c r="T15" i="3"/>
  <c r="S15" i="3"/>
  <c r="T14" i="3"/>
  <c r="S14" i="3"/>
  <c r="T13" i="3"/>
  <c r="S13" i="3"/>
  <c r="T12" i="3"/>
  <c r="S12" i="3"/>
  <c r="T11" i="3"/>
  <c r="S11" i="3"/>
  <c r="T10" i="3"/>
  <c r="S10" i="3"/>
  <c r="T9" i="3"/>
  <c r="S9" i="3"/>
  <c r="T8" i="3"/>
  <c r="S8" i="3"/>
  <c r="T7" i="3"/>
  <c r="S7" i="3"/>
  <c r="T6" i="3"/>
  <c r="S6" i="3"/>
  <c r="T5" i="3"/>
  <c r="S5" i="3"/>
  <c r="T4" i="3"/>
  <c r="S4" i="3"/>
  <c r="T3" i="3"/>
  <c r="S3" i="3"/>
  <c r="T2" i="3"/>
  <c r="S2" i="3"/>
  <c r="B24" i="6"/>
  <c r="C21" i="6"/>
  <c r="C22" i="6"/>
  <c r="C23" i="6"/>
  <c r="B21" i="6"/>
  <c r="B22" i="6"/>
  <c r="B23" i="6"/>
  <c r="B71" i="6"/>
  <c r="B70" i="6"/>
  <c r="B69" i="6"/>
  <c r="B58" i="6" a="1"/>
  <c r="B58" i="6" s="1"/>
  <c r="B59" i="6"/>
  <c r="B60" i="6"/>
  <c r="B61" i="6"/>
  <c r="B62" i="6"/>
  <c r="B63" i="6"/>
  <c r="B64" i="6" a="1"/>
  <c r="B64" i="6" s="1"/>
  <c r="B65" i="6" a="1"/>
  <c r="B65" i="6" s="1"/>
  <c r="B66" i="6" a="1"/>
  <c r="B66" i="6" s="1"/>
  <c r="B55" i="6"/>
  <c r="B54" i="6"/>
  <c r="B53" i="6"/>
  <c r="B52" i="6"/>
  <c r="B51" i="6"/>
  <c r="B50" i="6"/>
  <c r="B49" i="6"/>
  <c r="B48" i="6"/>
  <c r="B47" i="6"/>
  <c r="B46" i="6"/>
  <c r="B45" i="6"/>
  <c r="B44" i="6"/>
  <c r="B43" i="6"/>
  <c r="B42" i="6"/>
  <c r="B39" i="6"/>
  <c r="B38" i="6"/>
  <c r="B37" i="6"/>
  <c r="B36" i="6"/>
  <c r="B35" i="6"/>
  <c r="B34" i="6"/>
  <c r="B33" i="6"/>
  <c r="B32" i="6"/>
  <c r="B31" i="6"/>
  <c r="B30" i="6"/>
  <c r="B29" i="6"/>
  <c r="B28" i="6"/>
  <c r="B27" i="6"/>
  <c r="B26" i="6"/>
  <c r="C20" i="6"/>
  <c r="C19" i="6"/>
  <c r="C18" i="6"/>
  <c r="C17" i="6"/>
  <c r="C16" i="6"/>
  <c r="C15" i="6"/>
  <c r="B20" i="6"/>
  <c r="B19" i="6"/>
  <c r="B18" i="6"/>
  <c r="B17" i="6"/>
  <c r="B16" i="6"/>
  <c r="B15" i="6"/>
  <c r="B12" i="6"/>
  <c r="B11" i="6"/>
  <c r="B10" i="6"/>
  <c r="B9" i="6"/>
  <c r="B8" i="6"/>
  <c r="B7" i="6"/>
  <c r="B6" i="6"/>
  <c r="B5" i="6"/>
  <c r="D17" i="6" l="1"/>
  <c r="D16" i="6"/>
  <c r="D19" i="6"/>
  <c r="D15" i="6"/>
  <c r="D20" i="6"/>
  <c r="D18" i="6"/>
  <c r="D24"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sgt</author>
  </authors>
  <commentList>
    <comment ref="J289" authorId="0" shapeId="0" xr:uid="{E5AF796C-00E4-6B4F-999D-2D578871659E}">
      <text>
        <r>
          <rPr>
            <b/>
            <sz val="10"/>
            <color rgb="FF000000"/>
            <rFont val="Tahoma"/>
            <family val="2"/>
          </rPr>
          <t>sgt:</t>
        </r>
        <r>
          <rPr>
            <sz val="10"/>
            <color rgb="FF000000"/>
            <rFont val="Tahoma"/>
            <family val="2"/>
          </rPr>
          <t xml:space="preserve">
Source: Bank of England Careers, https://www.bankofengland.co.uk/careers/future-talent/graduate-programme</t>
        </r>
      </text>
    </comment>
    <comment ref="K289" authorId="0" shapeId="0" xr:uid="{CFB7993B-0807-BF43-8380-1272533E5B7B}">
      <text>
        <r>
          <rPr>
            <b/>
            <sz val="10"/>
            <color rgb="FF000000"/>
            <rFont val="Tahoma"/>
            <family val="2"/>
          </rPr>
          <t>sgt:</t>
        </r>
        <r>
          <rPr>
            <sz val="10"/>
            <color rgb="FF000000"/>
            <rFont val="Tahoma"/>
            <family val="2"/>
          </rPr>
          <t xml:space="preserve">
Source: Bank of England Careers, https://www.bankofengland.co.uk/careers/future-talent/graduate-programme</t>
        </r>
      </text>
    </comment>
    <comment ref="X289" authorId="0" shapeId="0" xr:uid="{11EE7E71-6E1A-D548-9CE1-BA8EEF62A409}">
      <text>
        <r>
          <rPr>
            <b/>
            <sz val="10"/>
            <color rgb="FF000000"/>
            <rFont val="Tahoma"/>
            <family val="2"/>
          </rPr>
          <t>sgt:</t>
        </r>
        <r>
          <rPr>
            <sz val="10"/>
            <color rgb="FF000000"/>
            <rFont val="Tahoma"/>
            <family val="2"/>
          </rPr>
          <t xml:space="preserve">
Source: Bank of England Careers, https://www.bankofengland.co.uk/careers/future-talent/graduate-programme</t>
        </r>
      </text>
    </comment>
    <comment ref="J290" authorId="0" shapeId="0" xr:uid="{A667AAF1-1FDD-9045-BA85-C593A8BE799F}">
      <text>
        <r>
          <rPr>
            <b/>
            <sz val="10"/>
            <color rgb="FF000000"/>
            <rFont val="Tahoma"/>
            <family val="2"/>
          </rPr>
          <t>sgt:</t>
        </r>
        <r>
          <rPr>
            <sz val="10"/>
            <color rgb="FF000000"/>
            <rFont val="Tahoma"/>
            <family val="2"/>
          </rPr>
          <t xml:space="preserve">
Source: Financial Conduct Authority Careers, https://www.fca.org.uk/careers/early-careers</t>
        </r>
      </text>
    </comment>
    <comment ref="K290" authorId="0" shapeId="0" xr:uid="{FC7D9FDE-5357-FB41-9F95-7F0A9AC54A01}">
      <text>
        <r>
          <rPr>
            <b/>
            <sz val="10"/>
            <color rgb="FF000000"/>
            <rFont val="Tahoma"/>
            <family val="2"/>
          </rPr>
          <t>sgt:</t>
        </r>
        <r>
          <rPr>
            <sz val="10"/>
            <color rgb="FF000000"/>
            <rFont val="Tahoma"/>
            <family val="2"/>
          </rPr>
          <t xml:space="preserve">
Source: Financial Conduct Authority Careers, https://www.fca.org.uk/careers/early-careers</t>
        </r>
      </text>
    </comment>
    <comment ref="X290" authorId="0" shapeId="0" xr:uid="{CF26ABE8-A2A9-6846-A618-191073EAE5A2}">
      <text>
        <r>
          <rPr>
            <b/>
            <sz val="10"/>
            <color rgb="FF000000"/>
            <rFont val="Tahoma"/>
            <family val="2"/>
          </rPr>
          <t>sgt:</t>
        </r>
        <r>
          <rPr>
            <sz val="10"/>
            <color rgb="FF000000"/>
            <rFont val="Tahoma"/>
            <family val="2"/>
          </rPr>
          <t xml:space="preserve">
Source: Financial Conduct Authority Careers, https://www.fca.org.uk/careers/early-careers</t>
        </r>
      </text>
    </comment>
    <comment ref="J292" authorId="0" shapeId="0" xr:uid="{5D4E96C1-C077-6949-B207-B51824311913}">
      <text>
        <r>
          <rPr>
            <b/>
            <sz val="10"/>
            <color rgb="FF000000"/>
            <rFont val="Tahoma"/>
            <family val="2"/>
          </rPr>
          <t>sgt:</t>
        </r>
        <r>
          <rPr>
            <sz val="10"/>
            <color rgb="FF000000"/>
            <rFont val="Tahoma"/>
            <family val="2"/>
          </rPr>
          <t xml:space="preserve">
Source: Lloyds Banking Group Talent, https://www.lloydsbankinggrouptalent.com/our-opportunities/graduates/</t>
        </r>
      </text>
    </comment>
    <comment ref="K292" authorId="0" shapeId="0" xr:uid="{D380BA67-246F-EB47-9D40-76B4B754F7D7}">
      <text>
        <r>
          <rPr>
            <b/>
            <sz val="10"/>
            <color rgb="FF000000"/>
            <rFont val="Tahoma"/>
            <family val="2"/>
          </rPr>
          <t>sgt:</t>
        </r>
        <r>
          <rPr>
            <sz val="10"/>
            <color rgb="FF000000"/>
            <rFont val="Tahoma"/>
            <family val="2"/>
          </rPr>
          <t xml:space="preserve">
Source: Lloyds Banking Group Talent, https://www.lloydsbankinggrouptalent.com/our-opportunities/graduates/</t>
        </r>
      </text>
    </comment>
    <comment ref="X292" authorId="0" shapeId="0" xr:uid="{E2BDA62D-88E5-BE4D-B526-59C6AEE6A6C0}">
      <text>
        <r>
          <rPr>
            <b/>
            <sz val="10"/>
            <color rgb="FF000000"/>
            <rFont val="Tahoma"/>
            <family val="2"/>
          </rPr>
          <t>sgt:</t>
        </r>
        <r>
          <rPr>
            <sz val="10"/>
            <color rgb="FF000000"/>
            <rFont val="Tahoma"/>
            <family val="2"/>
          </rPr>
          <t xml:space="preserve">
Source: Lloyds Banking Group Talent, https://www.lloydsbankinggrouptalent.com/our-opportunities/graduates/</t>
        </r>
      </text>
    </comment>
    <comment ref="J293" authorId="0" shapeId="0" xr:uid="{2C27FB2F-449E-C54F-8061-D954326C21A4}">
      <text>
        <r>
          <rPr>
            <b/>
            <sz val="10"/>
            <color rgb="FF000000"/>
            <rFont val="Tahoma"/>
            <family val="2"/>
          </rPr>
          <t>sgt:</t>
        </r>
        <r>
          <rPr>
            <sz val="10"/>
            <color rgb="FF000000"/>
            <rFont val="Tahoma"/>
            <family val="2"/>
          </rPr>
          <t xml:space="preserve">
Source: NatWest Group Careers, https://jobs.natwestgroup.com/pages/graduate-programmes</t>
        </r>
      </text>
    </comment>
    <comment ref="X293" authorId="0" shapeId="0" xr:uid="{2E2005D5-54A8-BB49-B323-4301035F5664}">
      <text>
        <r>
          <rPr>
            <b/>
            <sz val="10"/>
            <color rgb="FF000000"/>
            <rFont val="Tahoma"/>
            <family val="2"/>
          </rPr>
          <t>sgt:</t>
        </r>
        <r>
          <rPr>
            <sz val="10"/>
            <color rgb="FF000000"/>
            <rFont val="Tahoma"/>
            <family val="2"/>
          </rPr>
          <t xml:space="preserve">
Source: NatWest Group Careers, https://jobs.natwestgroup.com/pages/graduate-programmes</t>
        </r>
      </text>
    </comment>
    <comment ref="J324" authorId="0" shapeId="0" xr:uid="{AD6D872E-5623-1A43-B866-3CAB55DBBAF6}">
      <text>
        <r>
          <rPr>
            <b/>
            <sz val="10"/>
            <color rgb="FF000000"/>
            <rFont val="Tahoma"/>
            <family val="2"/>
          </rPr>
          <t>sgt:</t>
        </r>
        <r>
          <rPr>
            <sz val="10"/>
            <color rgb="FF000000"/>
            <rFont val="Tahoma"/>
            <family val="2"/>
          </rPr>
          <t xml:space="preserve">
Source: Lloyd's of London Careers, https://www.lloyds.com/about-lloyds/careers/early-careers/graduates</t>
        </r>
      </text>
    </comment>
    <comment ref="K324" authorId="0" shapeId="0" xr:uid="{62BE3BDD-8639-AC44-8F7E-9463EC2D3386}">
      <text>
        <r>
          <rPr>
            <b/>
            <sz val="10"/>
            <color rgb="FF000000"/>
            <rFont val="Tahoma"/>
            <family val="2"/>
          </rPr>
          <t>sgt:</t>
        </r>
        <r>
          <rPr>
            <sz val="10"/>
            <color rgb="FF000000"/>
            <rFont val="Tahoma"/>
            <family val="2"/>
          </rPr>
          <t xml:space="preserve">
Source: Lloyd's of London Careers, https://www.lloyds.com/about-lloyds/careers/early-careers/graduates</t>
        </r>
      </text>
    </comment>
    <comment ref="X324" authorId="0" shapeId="0" xr:uid="{4FF6BEF8-506F-884C-A8F0-1FE4F63262FF}">
      <text>
        <r>
          <rPr>
            <b/>
            <sz val="10"/>
            <color rgb="FF000000"/>
            <rFont val="Tahoma"/>
            <family val="2"/>
          </rPr>
          <t>sgt:</t>
        </r>
        <r>
          <rPr>
            <sz val="10"/>
            <color rgb="FF000000"/>
            <rFont val="Tahoma"/>
            <family val="2"/>
          </rPr>
          <t xml:space="preserve">
Source: Lloyd's of London Careers, https://www.lloyds.com/about-lloyds/careers/early-careers/graduates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<sst xmlns="http://schemas.openxmlformats.org/spreadsheetml/2006/main" count="10867" uniqueCount="3650">
  <si>
    <t>node_id</t>
  </si>
  <si>
    <t>label</t>
  </si>
  <si>
    <t>node_type</t>
  </si>
  <si>
    <t>region</t>
  </si>
  <si>
    <t>country</t>
  </si>
  <si>
    <t>hub_city</t>
  </si>
  <si>
    <t>sector</t>
  </si>
  <si>
    <t>subsector_tier</t>
  </si>
  <si>
    <t>entry_mechanism_id</t>
  </si>
  <si>
    <t>program_name</t>
  </si>
  <si>
    <t>program_length_months</t>
  </si>
  <si>
    <t>cycle_timing</t>
  </si>
  <si>
    <t>lead_time_months</t>
  </si>
  <si>
    <t>org_size_band</t>
  </si>
  <si>
    <t>size_basis</t>
  </si>
  <si>
    <t>annual_intake_low</t>
  </si>
  <si>
    <t>annual_intake_high</t>
  </si>
  <si>
    <t>applications_per_cycle</t>
  </si>
  <si>
    <t>confirmation_status</t>
  </si>
  <si>
    <t>data_confidence</t>
  </si>
  <si>
    <t>geo_source</t>
  </si>
  <si>
    <t>notes</t>
  </si>
  <si>
    <t>GEO_R_USA</t>
  </si>
  <si>
    <t>USA</t>
  </si>
  <si>
    <t>Region</t>
  </si>
  <si>
    <t>Source region</t>
  </si>
  <si>
    <t>GEO_R_INDIA</t>
  </si>
  <si>
    <t>India</t>
  </si>
  <si>
    <t>GEO_R_CHINA</t>
  </si>
  <si>
    <t>China</t>
  </si>
  <si>
    <t>GEO_R_LATAM</t>
  </si>
  <si>
    <t>Latin America</t>
  </si>
  <si>
    <t>GEO_R_EUROPE</t>
  </si>
  <si>
    <t>Continental Europe</t>
  </si>
  <si>
    <t>GEO_C_US</t>
  </si>
  <si>
    <t>United States</t>
  </si>
  <si>
    <t>Country</t>
  </si>
  <si>
    <t>GEO_C_IN</t>
  </si>
  <si>
    <t>GEO_C_CN</t>
  </si>
  <si>
    <t>GEO_C_BR</t>
  </si>
  <si>
    <t>Brazil</t>
  </si>
  <si>
    <t>GEO_C_MX</t>
  </si>
  <si>
    <t>Mexico</t>
  </si>
  <si>
    <t>GEO_C_CO</t>
  </si>
  <si>
    <t>Colombia</t>
  </si>
  <si>
    <t>GEO_C_CL</t>
  </si>
  <si>
    <t>Chile</t>
  </si>
  <si>
    <t>GEO_C_PE</t>
  </si>
  <si>
    <t>Peru</t>
  </si>
  <si>
    <t>GEO_C_AR</t>
  </si>
  <si>
    <t>Argentina</t>
  </si>
  <si>
    <t>GEO_C_DE</t>
  </si>
  <si>
    <t>Germany</t>
  </si>
  <si>
    <t>GEO_C_FR</t>
  </si>
  <si>
    <t>France</t>
  </si>
  <si>
    <t>GEO_C_CH</t>
  </si>
  <si>
    <t>Switzerland</t>
  </si>
  <si>
    <t>GEO_C_NL</t>
  </si>
  <si>
    <t>Netherlands</t>
  </si>
  <si>
    <t>GEO_C_ES</t>
  </si>
  <si>
    <t>Spain</t>
  </si>
  <si>
    <t>GEO_C_IT</t>
  </si>
  <si>
    <t>Italy</t>
  </si>
  <si>
    <t>GEO_C_SE</t>
  </si>
  <si>
    <t>Sweden</t>
  </si>
  <si>
    <t>GEO_C_DK</t>
  </si>
  <si>
    <t>Denmark</t>
  </si>
  <si>
    <t>GEO_C_NO</t>
  </si>
  <si>
    <t>Norway</t>
  </si>
  <si>
    <t>GEO_C_FI</t>
  </si>
  <si>
    <t>Finland</t>
  </si>
  <si>
    <t>GEO_C_IE</t>
  </si>
  <si>
    <t>Ireland</t>
  </si>
  <si>
    <t>GEO_C_LU</t>
  </si>
  <si>
    <t>Luxembourg</t>
  </si>
  <si>
    <t>GEO_C_UK</t>
  </si>
  <si>
    <t>United Kingdom</t>
  </si>
  <si>
    <t>GEO_H_NYC</t>
  </si>
  <si>
    <t>New York</t>
  </si>
  <si>
    <t>Hub</t>
  </si>
  <si>
    <t>inferred</t>
  </si>
  <si>
    <t>GEO_H_CHI</t>
  </si>
  <si>
    <t>Chicago</t>
  </si>
  <si>
    <t>GEO_H_BOS</t>
  </si>
  <si>
    <t>Boston</t>
  </si>
  <si>
    <t>GEO_H_CLT</t>
  </si>
  <si>
    <t>Charlotte</t>
  </si>
  <si>
    <t>GEO_H_SFO</t>
  </si>
  <si>
    <t>San Francisco Bay Area</t>
  </si>
  <si>
    <t>GEO_H_MIA</t>
  </si>
  <si>
    <t>Miami</t>
  </si>
  <si>
    <t>GEO_H_LAX</t>
  </si>
  <si>
    <t>Los Angeles</t>
  </si>
  <si>
    <t>GEO_H_PHL</t>
  </si>
  <si>
    <t>Philadelphia area</t>
  </si>
  <si>
    <t>GEO_H_USOTH</t>
  </si>
  <si>
    <t>Other US metro</t>
  </si>
  <si>
    <t>GEO_H_MUM</t>
  </si>
  <si>
    <t>Mumbai</t>
  </si>
  <si>
    <t>source</t>
  </si>
  <si>
    <t>GEO_H_BLR</t>
  </si>
  <si>
    <t>Bengaluru</t>
  </si>
  <si>
    <t>GEO_H_HYD</t>
  </si>
  <si>
    <t>Hyderabad</t>
  </si>
  <si>
    <t>GEO_H_INOTH</t>
  </si>
  <si>
    <t>Other India</t>
  </si>
  <si>
    <t>GEO_H_BEI</t>
  </si>
  <si>
    <t>Beijing</t>
  </si>
  <si>
    <t>GEO_H_SHA</t>
  </si>
  <si>
    <t>Shanghai</t>
  </si>
  <si>
    <t>GEO_H_SZX</t>
  </si>
  <si>
    <t>Shenzhen</t>
  </si>
  <si>
    <t>GEO_H_HGH</t>
  </si>
  <si>
    <t>Hangzhou</t>
  </si>
  <si>
    <t>GEO_H_CNOTH</t>
  </si>
  <si>
    <t>Other China</t>
  </si>
  <si>
    <t>GEO_H_SAO</t>
  </si>
  <si>
    <t>São Paulo</t>
  </si>
  <si>
    <t>GEO_H_MEX</t>
  </si>
  <si>
    <t>Mexico City</t>
  </si>
  <si>
    <t>GEO_H_BOG</t>
  </si>
  <si>
    <t>Bogotá</t>
  </si>
  <si>
    <t>GEO_H_MDE</t>
  </si>
  <si>
    <t>Medellín</t>
  </si>
  <si>
    <t>GEO_H_SCL</t>
  </si>
  <si>
    <t>Santiago</t>
  </si>
  <si>
    <t>GEO_H_LIM</t>
  </si>
  <si>
    <t>Lima</t>
  </si>
  <si>
    <t>GEO_H_BUE</t>
  </si>
  <si>
    <t>Buenos Aires</t>
  </si>
  <si>
    <t>GEO_H_FRA</t>
  </si>
  <si>
    <t>Frankfurt</t>
  </si>
  <si>
    <t>GEO_H_MUC</t>
  </si>
  <si>
    <t>Munich</t>
  </si>
  <si>
    <t>GEO_H_PAR</t>
  </si>
  <si>
    <t>Paris</t>
  </si>
  <si>
    <t>GEO_H_ZRH</t>
  </si>
  <si>
    <t>Zurich</t>
  </si>
  <si>
    <t>GEO_H_GVA</t>
  </si>
  <si>
    <t>Geneva</t>
  </si>
  <si>
    <t>GEO_H_AMS</t>
  </si>
  <si>
    <t>Amsterdam</t>
  </si>
  <si>
    <t>GEO_H_MAD</t>
  </si>
  <si>
    <t>Madrid</t>
  </si>
  <si>
    <t>GEO_H_MIL</t>
  </si>
  <si>
    <t>Milan</t>
  </si>
  <si>
    <t>GEO_H_TRS</t>
  </si>
  <si>
    <t>Trieste</t>
  </si>
  <si>
    <t>GEO_H_STO</t>
  </si>
  <si>
    <t>Stockholm</t>
  </si>
  <si>
    <t>GEO_H_CPH</t>
  </si>
  <si>
    <t>Copenhagen</t>
  </si>
  <si>
    <t>GEO_H_OSL</t>
  </si>
  <si>
    <t>Oslo</t>
  </si>
  <si>
    <t>GEO_H_HEL</t>
  </si>
  <si>
    <t>Helsinki</t>
  </si>
  <si>
    <t>GEO_H_DUB</t>
  </si>
  <si>
    <t>Dublin</t>
  </si>
  <si>
    <t>GEO_H_LUX</t>
  </si>
  <si>
    <t>Luxembourg City</t>
  </si>
  <si>
    <t>GEO_H_LON</t>
  </si>
  <si>
    <t>London</t>
  </si>
  <si>
    <t>SEC_IB_BB</t>
  </si>
  <si>
    <t>Investment Banking - Bulge Bracket</t>
  </si>
  <si>
    <t>Sector</t>
  </si>
  <si>
    <t>SEC_IB_EB</t>
  </si>
  <si>
    <t>Investment Banking - Elite Boutique / Independent Advisory</t>
  </si>
  <si>
    <t>SEC_QUANT</t>
  </si>
  <si>
    <t>Proprietary Trading / Quant</t>
  </si>
  <si>
    <t>SEC_COMM</t>
  </si>
  <si>
    <t>Commercial / Retail Banking</t>
  </si>
  <si>
    <t>SEC_CUST</t>
  </si>
  <si>
    <t>Custodian / Asset Servicing / Fund Administration</t>
  </si>
  <si>
    <t>SEC_AM</t>
  </si>
  <si>
    <t>Investment / Asset Management</t>
  </si>
  <si>
    <t>SEC_INS</t>
  </si>
  <si>
    <t>Insurance</t>
  </si>
  <si>
    <t>SEC_DATA</t>
  </si>
  <si>
    <t>Ratings Agencies &amp; Financial Data</t>
  </si>
  <si>
    <t>SEC_CONS</t>
  </si>
  <si>
    <t>Consulting / Professional Services</t>
  </si>
  <si>
    <t>SEC_FINTECH</t>
  </si>
  <si>
    <t>Fintech / Tech-Finance</t>
  </si>
  <si>
    <t>SEC_POLICY</t>
  </si>
  <si>
    <t>Policy / Development Bank</t>
  </si>
  <si>
    <t>SEC_CB</t>
  </si>
  <si>
    <t>Central Bank / Supervisor</t>
  </si>
  <si>
    <t>SEC_SEC</t>
  </si>
  <si>
    <t>Securities / Brokerage</t>
  </si>
  <si>
    <t>SEC_NBFC</t>
  </si>
  <si>
    <t>NBFC / Diversified Financial</t>
  </si>
  <si>
    <t>MECH_US_CONV</t>
  </si>
  <si>
    <t>Mechanism</t>
  </si>
  <si>
    <t>MECH_IN_EXAM</t>
  </si>
  <si>
    <t>MECH_IN_PGDBF</t>
  </si>
  <si>
    <t>MECH_IN_GCC</t>
  </si>
  <si>
    <t>MECH_CN_CYCLE</t>
  </si>
  <si>
    <t>MECH_BR_TRAINEE</t>
  </si>
  <si>
    <t>MECH_LATAM_ESTAGIO</t>
  </si>
  <si>
    <t>MECH_LATAM_CONCURSO</t>
  </si>
  <si>
    <t>MECH_EU_ROTATIONAL</t>
  </si>
  <si>
    <t>MECH_ACTUARIAL</t>
  </si>
  <si>
    <t>TalentPool</t>
  </si>
  <si>
    <t>ORG_GS</t>
  </si>
  <si>
    <t>Goldman Sachs</t>
  </si>
  <si>
    <t>Organisation</t>
  </si>
  <si>
    <t>Tier 1 Bulge Bracket</t>
  </si>
  <si>
    <t>Summer Analyst / New Analyst</t>
  </si>
  <si>
    <t>Large</t>
  </si>
  <si>
    <t>inferred - coarse band, verify</t>
  </si>
  <si>
    <t>[C-Official]</t>
  </si>
  <si>
    <t>High</t>
  </si>
  <si>
    <t>ORG_MS</t>
  </si>
  <si>
    <t>Morgan Stanley</t>
  </si>
  <si>
    <t>Summer Analyst</t>
  </si>
  <si>
    <t>ORG_JPM</t>
  </si>
  <si>
    <t>JPMorgan</t>
  </si>
  <si>
    <t>Corporate &amp; Investment Bank Analyst</t>
  </si>
  <si>
    <t>Mega</t>
  </si>
  <si>
    <t>ORG_BAC</t>
  </si>
  <si>
    <t>Bank of America</t>
  </si>
  <si>
    <t>Global Banking &amp; Markets Analyst</t>
  </si>
  <si>
    <t>[C-Press]</t>
  </si>
  <si>
    <t>Medium</t>
  </si>
  <si>
    <t>ORG_CITI</t>
  </si>
  <si>
    <t>Citigroup</t>
  </si>
  <si>
    <t>Markets / Banking Full-Time Analyst</t>
  </si>
  <si>
    <t>ORG_WFC</t>
  </si>
  <si>
    <t>Wells Fargo</t>
  </si>
  <si>
    <t>Analyst Program</t>
  </si>
  <si>
    <t>[Note]</t>
  </si>
  <si>
    <t>Low</t>
  </si>
  <si>
    <t>ORG_EVR</t>
  </si>
  <si>
    <t>Evercore</t>
  </si>
  <si>
    <t>Tier 1 prestige boutique</t>
  </si>
  <si>
    <t>Analyst (First Round + Superday)</t>
  </si>
  <si>
    <t>Boutique</t>
  </si>
  <si>
    <t>Largest independent IB by revenue; acceptance rate cited below 1%. Cohort size from career-advice sources - indicative only.</t>
  </si>
  <si>
    <t>ORG_CVP</t>
  </si>
  <si>
    <t>Centerview Partners</t>
  </si>
  <si>
    <t>3-year Analyst track</t>
  </si>
  <si>
    <t>ORG_LAZ</t>
  </si>
  <si>
    <t>Lazard</t>
  </si>
  <si>
    <t>Analyst</t>
  </si>
  <si>
    <t>Mid</t>
  </si>
  <si>
    <t>ORG_MC</t>
  </si>
  <si>
    <t>Moelis &amp; Company</t>
  </si>
  <si>
    <t>ORG_PJT</t>
  </si>
  <si>
    <t>PJT Partners</t>
  </si>
  <si>
    <t>Summer Internship Program</t>
  </si>
  <si>
    <t>ORG_PWP</t>
  </si>
  <si>
    <t>Perella Weinberg Partners</t>
  </si>
  <si>
    <t>ORG_HLI</t>
  </si>
  <si>
    <t>Houlihan Lokey</t>
  </si>
  <si>
    <t>Restructuring leader</t>
  </si>
  <si>
    <t>Early Careers / Financial Analyst</t>
  </si>
  <si>
    <t>ORG_GUGG</t>
  </si>
  <si>
    <t>Guggenheim Securities</t>
  </si>
  <si>
    <t>ORG_QTLY</t>
  </si>
  <si>
    <t>Qatalyst Partners</t>
  </si>
  <si>
    <t>Tech M&amp;A micro-boutique</t>
  </si>
  <si>
    <t>ORG_ROTH_US</t>
  </si>
  <si>
    <t>Rothschild &amp; Co (US)</t>
  </si>
  <si>
    <t>ORG_WB</t>
  </si>
  <si>
    <t>William Blair</t>
  </si>
  <si>
    <t>Middle-market</t>
  </si>
  <si>
    <t>ORG_RWB</t>
  </si>
  <si>
    <t>Robert W. Baird</t>
  </si>
  <si>
    <t>ORG_JEF</t>
  </si>
  <si>
    <t>Jefferies</t>
  </si>
  <si>
    <t>Middle-market / full-service</t>
  </si>
  <si>
    <t>ORG_JS</t>
  </si>
  <si>
    <t>Jane Street</t>
  </si>
  <si>
    <t>Quant / prop</t>
  </si>
  <si>
    <t>New-grad + intern roles</t>
  </si>
  <si>
    <t>ORG_CITSEC</t>
  </si>
  <si>
    <t>Citadel Securities</t>
  </si>
  <si>
    <t>Intern / new-grad</t>
  </si>
  <si>
    <t>~0.4% intern acceptance (2025 cycle): &gt;108,000 applications, fewer than 300 interns. Secondary sourcing.</t>
  </si>
  <si>
    <t>ORG_2SIG</t>
  </si>
  <si>
    <t>Two Sigma</t>
  </si>
  <si>
    <t>ORG_JUMP</t>
  </si>
  <si>
    <t>Jump Trading</t>
  </si>
  <si>
    <t>ORG_DES</t>
  </si>
  <si>
    <t>D. E. Shaw</t>
  </si>
  <si>
    <t>ORG_SIG</t>
  </si>
  <si>
    <t>Susquehanna (SIG)</t>
  </si>
  <si>
    <t>ORG_USB</t>
  </si>
  <si>
    <t>US Bancorp</t>
  </si>
  <si>
    <t>Regional / super-regional</t>
  </si>
  <si>
    <t>ORG_PNC</t>
  </si>
  <si>
    <t>PNC</t>
  </si>
  <si>
    <t>Development Program</t>
  </si>
  <si>
    <t>ORG_TFC</t>
  </si>
  <si>
    <t>Truist</t>
  </si>
  <si>
    <t>Leadership Development Program</t>
  </si>
  <si>
    <t>ORG_COF</t>
  </si>
  <si>
    <t>Capital One</t>
  </si>
  <si>
    <t>Analyst / rotational</t>
  </si>
  <si>
    <t>ORG_FITB</t>
  </si>
  <si>
    <t>Fifth Third</t>
  </si>
  <si>
    <t>ORG_MTB</t>
  </si>
  <si>
    <t>M&amp;T Bank</t>
  </si>
  <si>
    <t>ORG_RF</t>
  </si>
  <si>
    <t>Regions Financial</t>
  </si>
  <si>
    <t>ORG_KEY</t>
  </si>
  <si>
    <t>KeyCorp</t>
  </si>
  <si>
    <t>ORG_CFG</t>
  </si>
  <si>
    <t>Citizens Financial</t>
  </si>
  <si>
    <t>ORG_BNY</t>
  </si>
  <si>
    <t>BNY</t>
  </si>
  <si>
    <t>Custodian</t>
  </si>
  <si>
    <t>24-month Analyst Program</t>
  </si>
  <si>
    <t>ORG_STT</t>
  </si>
  <si>
    <t>State Street</t>
  </si>
  <si>
    <t>Professional Development Program (PDP) + Summer Analyst</t>
  </si>
  <si>
    <t>ORG_NTRS</t>
  </si>
  <si>
    <t>Northern Trust</t>
  </si>
  <si>
    <t>Analyst Development Program</t>
  </si>
  <si>
    <t>ORG_BLK</t>
  </si>
  <si>
    <t>BlackRock</t>
  </si>
  <si>
    <t>Tier 1</t>
  </si>
  <si>
    <t>2-year Analyst / Rotational</t>
  </si>
  <si>
    <t>ORG_VAN</t>
  </si>
  <si>
    <t>Vanguard</t>
  </si>
  <si>
    <t>College to Corporate Internship / development programs</t>
  </si>
  <si>
    <t>ORG_FID</t>
  </si>
  <si>
    <t>Fidelity Investments</t>
  </si>
  <si>
    <t>ORG_TROW</t>
  </si>
  <si>
    <t>T. Rowe Price</t>
  </si>
  <si>
    <t>Summer Analyst; INPAC Rotational</t>
  </si>
  <si>
    <t>ORG_PIMCO</t>
  </si>
  <si>
    <t>PIMCO</t>
  </si>
  <si>
    <t>Tier 2</t>
  </si>
  <si>
    <t>ORG_CG</t>
  </si>
  <si>
    <t>Capital Group</t>
  </si>
  <si>
    <t>Associate program</t>
  </si>
  <si>
    <t>ORG_WELL</t>
  </si>
  <si>
    <t>Wellington Management</t>
  </si>
  <si>
    <t>ORG_IVZ</t>
  </si>
  <si>
    <t>Invesco</t>
  </si>
  <si>
    <t>ORG_BEN</t>
  </si>
  <si>
    <t>Franklin Templeton</t>
  </si>
  <si>
    <t>ORG_JHG</t>
  </si>
  <si>
    <t>Janus Henderson</t>
  </si>
  <si>
    <t>Tier 3</t>
  </si>
  <si>
    <t>ORG_MET</t>
  </si>
  <si>
    <t>MetLife</t>
  </si>
  <si>
    <t>Insurance - actuarial/finance track</t>
  </si>
  <si>
    <t>US Actuarial Development Program (ADP); early-career internships</t>
  </si>
  <si>
    <t>ORG_PRU</t>
  </si>
  <si>
    <t>Prudential Financial</t>
  </si>
  <si>
    <t>Actuarial / finance programs</t>
  </si>
  <si>
    <t>ORG_AIG</t>
  </si>
  <si>
    <t>AIG</t>
  </si>
  <si>
    <t>Early Career Analyst / actuarial</t>
  </si>
  <si>
    <t>ORG_CB</t>
  </si>
  <si>
    <t>Chubb</t>
  </si>
  <si>
    <t>Actuarial / underwriting</t>
  </si>
  <si>
    <t>ORG_TRV</t>
  </si>
  <si>
    <t>Travelers</t>
  </si>
  <si>
    <t>Actuarial / analyst</t>
  </si>
  <si>
    <t>ORG_LMUT</t>
  </si>
  <si>
    <t>Liberty Mutual</t>
  </si>
  <si>
    <t>Actuarial / finance</t>
  </si>
  <si>
    <t>ORG_CI</t>
  </si>
  <si>
    <t>Cigna</t>
  </si>
  <si>
    <t>Actuarial / health</t>
  </si>
  <si>
    <t>ORG_UNH</t>
  </si>
  <si>
    <t>UnitedHealth Group</t>
  </si>
  <si>
    <t>ORG_SPGI</t>
  </si>
  <si>
    <t>S&amp;P Global</t>
  </si>
  <si>
    <t>Ratings / data vendor</t>
  </si>
  <si>
    <t>Graduate Program / Early Career</t>
  </si>
  <si>
    <t>ORG_MCO</t>
  </si>
  <si>
    <t>Moody's</t>
  </si>
  <si>
    <t>Analyst / early career</t>
  </si>
  <si>
    <t>ORG_FITCH</t>
  </si>
  <si>
    <t>Fitch Ratings</t>
  </si>
  <si>
    <t>ORG_MSCI</t>
  </si>
  <si>
    <t>MSCI</t>
  </si>
  <si>
    <t>ORG_BBG</t>
  </si>
  <si>
    <t>Bloomberg LP</t>
  </si>
  <si>
    <t>Analytics / Financial Solutions</t>
  </si>
  <si>
    <t>ORG_FDS</t>
  </si>
  <si>
    <t>FactSet</t>
  </si>
  <si>
    <t>Early career</t>
  </si>
  <si>
    <t>ORG_ICE</t>
  </si>
  <si>
    <t>ICE (Intercontinental Exchange)</t>
  </si>
  <si>
    <t>ORG_NDAQ</t>
  </si>
  <si>
    <t>Nasdaq</t>
  </si>
  <si>
    <t>ORG_MBB</t>
  </si>
  <si>
    <t>McKinsey / BCG / Bain</t>
  </si>
  <si>
    <t>MBB strategy</t>
  </si>
  <si>
    <t>Graduate / analyst</t>
  </si>
  <si>
    <t>ORG_BIG4</t>
  </si>
  <si>
    <t>Deloitte / PwC / EY / KPMG (Big 4)</t>
  </si>
  <si>
    <t>Big 4</t>
  </si>
  <si>
    <t>ORG_OW</t>
  </si>
  <si>
    <t>Oliver Wyman</t>
  </si>
  <si>
    <t>Financial-services strategy</t>
  </si>
  <si>
    <t>ORG_ACN</t>
  </si>
  <si>
    <t>Accenture Strategy</t>
  </si>
  <si>
    <t>Technology / strategy</t>
  </si>
  <si>
    <t>edge_id</t>
  </si>
  <si>
    <t>source_id</t>
  </si>
  <si>
    <t>target_id</t>
  </si>
  <si>
    <t>edge_type</t>
  </si>
  <si>
    <t>directed</t>
  </si>
  <si>
    <t>weight</t>
  </si>
  <si>
    <t>E0001</t>
  </si>
  <si>
    <t>PART_OF</t>
  </si>
  <si>
    <t>E0002</t>
  </si>
  <si>
    <t>E0003</t>
  </si>
  <si>
    <t>E0004</t>
  </si>
  <si>
    <t>E0005</t>
  </si>
  <si>
    <t>E0006</t>
  </si>
  <si>
    <t>E0007</t>
  </si>
  <si>
    <t>E0008</t>
  </si>
  <si>
    <t>E0009</t>
  </si>
  <si>
    <t>E0010</t>
  </si>
  <si>
    <t>E0011</t>
  </si>
  <si>
    <t>E0012</t>
  </si>
  <si>
    <t>E0013</t>
  </si>
  <si>
    <t>E0014</t>
  </si>
  <si>
    <t>E0015</t>
  </si>
  <si>
    <t>E0016</t>
  </si>
  <si>
    <t>E0017</t>
  </si>
  <si>
    <t>E0018</t>
  </si>
  <si>
    <t>E0019</t>
  </si>
  <si>
    <t>E0020</t>
  </si>
  <si>
    <t>E0021</t>
  </si>
  <si>
    <t>E0022</t>
  </si>
  <si>
    <t>E0023</t>
  </si>
  <si>
    <t>E0024</t>
  </si>
  <si>
    <t>E0025</t>
  </si>
  <si>
    <t>E0026</t>
  </si>
  <si>
    <t>E0027</t>
  </si>
  <si>
    <t>E0028</t>
  </si>
  <si>
    <t>E0029</t>
  </si>
  <si>
    <t>E0030</t>
  </si>
  <si>
    <t>E0031</t>
  </si>
  <si>
    <t>E0032</t>
  </si>
  <si>
    <t>E0033</t>
  </si>
  <si>
    <t>E0034</t>
  </si>
  <si>
    <t>E0035</t>
  </si>
  <si>
    <t>E0036</t>
  </si>
  <si>
    <t>E0037</t>
  </si>
  <si>
    <t>E0038</t>
  </si>
  <si>
    <t>E0039</t>
  </si>
  <si>
    <t>E0040</t>
  </si>
  <si>
    <t>E0041</t>
  </si>
  <si>
    <t>E0042</t>
  </si>
  <si>
    <t>E0043</t>
  </si>
  <si>
    <t>E0044</t>
  </si>
  <si>
    <t>E0045</t>
  </si>
  <si>
    <t>E0046</t>
  </si>
  <si>
    <t>E0047</t>
  </si>
  <si>
    <t>E0048</t>
  </si>
  <si>
    <t>E0049</t>
  </si>
  <si>
    <t>E0050</t>
  </si>
  <si>
    <t>E0051</t>
  </si>
  <si>
    <t>E0052</t>
  </si>
  <si>
    <t>E0053</t>
  </si>
  <si>
    <t>E0054</t>
  </si>
  <si>
    <t>E0055</t>
  </si>
  <si>
    <t>E0056</t>
  </si>
  <si>
    <t>E0057</t>
  </si>
  <si>
    <t>E0058</t>
  </si>
  <si>
    <t>E0059</t>
  </si>
  <si>
    <t>E0060</t>
  </si>
  <si>
    <t>E0061</t>
  </si>
  <si>
    <t>E0062</t>
  </si>
  <si>
    <t>E0063</t>
  </si>
  <si>
    <t>MECHANISM_OF</t>
  </si>
  <si>
    <t>E0079</t>
  </si>
  <si>
    <t>LOCATED_IN</t>
  </si>
  <si>
    <t>E0080</t>
  </si>
  <si>
    <t>IN_SECTOR</t>
  </si>
  <si>
    <t>RECRUITS_VIA</t>
  </si>
  <si>
    <t>E0082</t>
  </si>
  <si>
    <t>E0083</t>
  </si>
  <si>
    <t>E0085</t>
  </si>
  <si>
    <t>E0086</t>
  </si>
  <si>
    <t>E0088</t>
  </si>
  <si>
    <t>E0089</t>
  </si>
  <si>
    <t>E0091</t>
  </si>
  <si>
    <t>E0092</t>
  </si>
  <si>
    <t>E0094</t>
  </si>
  <si>
    <t>E0095</t>
  </si>
  <si>
    <t>E0097</t>
  </si>
  <si>
    <t>E0098</t>
  </si>
  <si>
    <t>E0100</t>
  </si>
  <si>
    <t>E0101</t>
  </si>
  <si>
    <t>E0103</t>
  </si>
  <si>
    <t>E0104</t>
  </si>
  <si>
    <t>E0106</t>
  </si>
  <si>
    <t>E0107</t>
  </si>
  <si>
    <t>E0109</t>
  </si>
  <si>
    <t>E0110</t>
  </si>
  <si>
    <t>E0112</t>
  </si>
  <si>
    <t>E0113</t>
  </si>
  <si>
    <t>E0115</t>
  </si>
  <si>
    <t>E0116</t>
  </si>
  <si>
    <t>E0118</t>
  </si>
  <si>
    <t>E0119</t>
  </si>
  <si>
    <t>E0121</t>
  </si>
  <si>
    <t>E0122</t>
  </si>
  <si>
    <t>E0124</t>
  </si>
  <si>
    <t>E0125</t>
  </si>
  <si>
    <t>E0127</t>
  </si>
  <si>
    <t>E0128</t>
  </si>
  <si>
    <t>E0130</t>
  </si>
  <si>
    <t>E0131</t>
  </si>
  <si>
    <t>E0133</t>
  </si>
  <si>
    <t>E0134</t>
  </si>
  <si>
    <t>E0136</t>
  </si>
  <si>
    <t>E0137</t>
  </si>
  <si>
    <t>E0139</t>
  </si>
  <si>
    <t>E0140</t>
  </si>
  <si>
    <t>E0142</t>
  </si>
  <si>
    <t>E0143</t>
  </si>
  <si>
    <t>E0145</t>
  </si>
  <si>
    <t>E0146</t>
  </si>
  <si>
    <t>E0148</t>
  </si>
  <si>
    <t>E0149</t>
  </si>
  <si>
    <t>E0151</t>
  </si>
  <si>
    <t>E0152</t>
  </si>
  <si>
    <t>E0154</t>
  </si>
  <si>
    <t>E0155</t>
  </si>
  <si>
    <t>E0157</t>
  </si>
  <si>
    <t>E0158</t>
  </si>
  <si>
    <t>E0160</t>
  </si>
  <si>
    <t>E0161</t>
  </si>
  <si>
    <t>E0163</t>
  </si>
  <si>
    <t>E0164</t>
  </si>
  <si>
    <t>E0166</t>
  </si>
  <si>
    <t>E0167</t>
  </si>
  <si>
    <t>E0169</t>
  </si>
  <si>
    <t>E0170</t>
  </si>
  <si>
    <t>E0172</t>
  </si>
  <si>
    <t>E0173</t>
  </si>
  <si>
    <t>E0175</t>
  </si>
  <si>
    <t>E0176</t>
  </si>
  <si>
    <t>E0178</t>
  </si>
  <si>
    <t>E0179</t>
  </si>
  <si>
    <t>E0181</t>
  </si>
  <si>
    <t>E0182</t>
  </si>
  <si>
    <t>E0184</t>
  </si>
  <si>
    <t>E0185</t>
  </si>
  <si>
    <t>E0187</t>
  </si>
  <si>
    <t>E0188</t>
  </si>
  <si>
    <t>E0190</t>
  </si>
  <si>
    <t>E0191</t>
  </si>
  <si>
    <t>E0193</t>
  </si>
  <si>
    <t>E0194</t>
  </si>
  <si>
    <t>E0196</t>
  </si>
  <si>
    <t>E0197</t>
  </si>
  <si>
    <t>E0199</t>
  </si>
  <si>
    <t>E0200</t>
  </si>
  <si>
    <t>E0202</t>
  </si>
  <si>
    <t>E0203</t>
  </si>
  <si>
    <t>E0205</t>
  </si>
  <si>
    <t>E0206</t>
  </si>
  <si>
    <t>E0208</t>
  </si>
  <si>
    <t>E0209</t>
  </si>
  <si>
    <t>E0211</t>
  </si>
  <si>
    <t>E0212</t>
  </si>
  <si>
    <t>E0214</t>
  </si>
  <si>
    <t>E0215</t>
  </si>
  <si>
    <t>E0217</t>
  </si>
  <si>
    <t>E0218</t>
  </si>
  <si>
    <t>E0220</t>
  </si>
  <si>
    <t>E0221</t>
  </si>
  <si>
    <t>E0223</t>
  </si>
  <si>
    <t>E0224</t>
  </si>
  <si>
    <t>E0226</t>
  </si>
  <si>
    <t>E0227</t>
  </si>
  <si>
    <t>E0229</t>
  </si>
  <si>
    <t>E0230</t>
  </si>
  <si>
    <t>E0232</t>
  </si>
  <si>
    <t>E0233</t>
  </si>
  <si>
    <t>E0235</t>
  </si>
  <si>
    <t>E0236</t>
  </si>
  <si>
    <t>E0238</t>
  </si>
  <si>
    <t>E0239</t>
  </si>
  <si>
    <t>E0241</t>
  </si>
  <si>
    <t>E0242</t>
  </si>
  <si>
    <t>E0244</t>
  </si>
  <si>
    <t>E0245</t>
  </si>
  <si>
    <t>E0247</t>
  </si>
  <si>
    <t>E0248</t>
  </si>
  <si>
    <t>E0250</t>
  </si>
  <si>
    <t>E0251</t>
  </si>
  <si>
    <t>E0253</t>
  </si>
  <si>
    <t>E0254</t>
  </si>
  <si>
    <t>E0256</t>
  </si>
  <si>
    <t>E0257</t>
  </si>
  <si>
    <t>E0259</t>
  </si>
  <si>
    <t>E0260</t>
  </si>
  <si>
    <t>E0262</t>
  </si>
  <si>
    <t>E0263</t>
  </si>
  <si>
    <t>E0265</t>
  </si>
  <si>
    <t>E0266</t>
  </si>
  <si>
    <t>E0268</t>
  </si>
  <si>
    <t>E0269</t>
  </si>
  <si>
    <t>E0271</t>
  </si>
  <si>
    <t>E0272</t>
  </si>
  <si>
    <t>E0274</t>
  </si>
  <si>
    <t>E0275</t>
  </si>
  <si>
    <t>E0277</t>
  </si>
  <si>
    <t>E0278</t>
  </si>
  <si>
    <t>ORG_SBI</t>
  </si>
  <si>
    <t>State Bank of India</t>
  </si>
  <si>
    <t>Channel (a) - PSU / public-sector bank</t>
  </si>
  <si>
    <t>SBI PO (Probationary Officer exam)</t>
  </si>
  <si>
    <t>~541 vacancies in 2025 drawing 650,000+ applications; annual; 3 stages (Prelims / Mains / Interview &amp; Group Exercise)</t>
  </si>
  <si>
    <t>ORG_BOB</t>
  </si>
  <si>
    <t>Bank of Baroda</t>
  </si>
  <si>
    <t>IBPS PO</t>
  </si>
  <si>
    <t>ORG_PNB</t>
  </si>
  <si>
    <t>Punjab National Bank</t>
  </si>
  <si>
    <t>ORG_CANARA</t>
  </si>
  <si>
    <t>Canara Bank</t>
  </si>
  <si>
    <t>ORG_UBI</t>
  </si>
  <si>
    <t>Union Bank of India</t>
  </si>
  <si>
    <t>ORG_INDIANBK</t>
  </si>
  <si>
    <t>Indian Bank</t>
  </si>
  <si>
    <t>ORG_BOI</t>
  </si>
  <si>
    <t>Bank of India</t>
  </si>
  <si>
    <t>ORG_HDFC</t>
  </si>
  <si>
    <t>HDFC Bank</t>
  </si>
  <si>
    <t>Channel (b) - Retail bank</t>
  </si>
  <si>
    <t>Future Bankers Program 2.0 (PGDBF via Manipal)</t>
  </si>
  <si>
    <t>ORG_ICICI</t>
  </si>
  <si>
    <t>ICICI Bank</t>
  </si>
  <si>
    <t>PGDFB / ICICI Business Leadership Program</t>
  </si>
  <si>
    <t>ORG_AXIS</t>
  </si>
  <si>
    <t>Axis Bank</t>
  </si>
  <si>
    <t>Young Bankers Program (PGDBS, ~1-yr residential)</t>
  </si>
  <si>
    <t>ORG_KOTAK</t>
  </si>
  <si>
    <t>Kotak Mahindra Bank</t>
  </si>
  <si>
    <t>Campus placement</t>
  </si>
  <si>
    <t>ORG_INDUSIND</t>
  </si>
  <si>
    <t>IndusInd Bank</t>
  </si>
  <si>
    <t>ORG_YES</t>
  </si>
  <si>
    <t>Yes Bank</t>
  </si>
  <si>
    <t>ORG_KOTAKIB</t>
  </si>
  <si>
    <t>Kotak Investment Banking</t>
  </si>
  <si>
    <t>Channel (b) - Domestic IB</t>
  </si>
  <si>
    <t>Campus (IIM/IIT)</t>
  </si>
  <si>
    <t>ORG_ISEC</t>
  </si>
  <si>
    <t>ICICI Securities</t>
  </si>
  <si>
    <t>Channel (b) - Broking / IB</t>
  </si>
  <si>
    <t>Campus</t>
  </si>
  <si>
    <t>ORG_AXISCAP</t>
  </si>
  <si>
    <t>Axis Capital</t>
  </si>
  <si>
    <t>ORG_JMFIN</t>
  </si>
  <si>
    <t>JM Financial</t>
  </si>
  <si>
    <t>ORG_EDEL</t>
  </si>
  <si>
    <t>Edelweiss</t>
  </si>
  <si>
    <t>Channel (b) - IB / NBFC</t>
  </si>
  <si>
    <t>ORG_MOSL</t>
  </si>
  <si>
    <t>Motilal Oswal</t>
  </si>
  <si>
    <t>Channel (b) - Broking</t>
  </si>
  <si>
    <t>ORG_LIC</t>
  </si>
  <si>
    <t>LIC</t>
  </si>
  <si>
    <t>Channel (b) - State insurer</t>
  </si>
  <si>
    <t>AAO exam</t>
  </si>
  <si>
    <t>ORG_IN_LIFEINS</t>
  </si>
  <si>
    <t>HDFC Life / ICICI Prudential Life / SBI Life / Max Life</t>
  </si>
  <si>
    <t>Channel (b) - Private life insurers (grouped)</t>
  </si>
  <si>
    <t>Campus / management trainee</t>
  </si>
  <si>
    <t>ORG_IN_AMC</t>
  </si>
  <si>
    <t>HDFC AMC / SBI MF / ICICI Prudential AMC / Aditya Birla Sun Life AMC</t>
  </si>
  <si>
    <t>Channel (b) - Asset managers (grouped)</t>
  </si>
  <si>
    <t>ORG_BAJAJ</t>
  </si>
  <si>
    <t>Bajaj Finserv / Bajaj Finance</t>
  </si>
  <si>
    <t>Channel (b) - NBFC</t>
  </si>
  <si>
    <t>ORG_HSBC</t>
  </si>
  <si>
    <t>HSBC</t>
  </si>
  <si>
    <t>Global multinational</t>
  </si>
  <si>
    <t>Graduate / analyst programmes</t>
  </si>
  <si>
    <t>ORG_BARC</t>
  </si>
  <si>
    <t>Barclays</t>
  </si>
  <si>
    <t>ORG_STAN</t>
  </si>
  <si>
    <t>Standard Chartered</t>
  </si>
  <si>
    <t>ORG_ICBC</t>
  </si>
  <si>
    <t>ICBC 中国工商银行</t>
  </si>
  <si>
    <t>Big Four state-owned</t>
  </si>
  <si>
    <t>星辰 (Xingchen) management trainee + general 校园招聘</t>
  </si>
  <si>
    <t>[C-Official, Chinese]</t>
  </si>
  <si>
    <t>ORG_CCB</t>
  </si>
  <si>
    <t>China Construction Bank 中国建设银行</t>
  </si>
  <si>
    <t>校园招聘</t>
  </si>
  <si>
    <t>ORG_ABC</t>
  </si>
  <si>
    <t>Agricultural Bank of China 农业银行</t>
  </si>
  <si>
    <t>校园招聘 (spring round noted)</t>
  </si>
  <si>
    <t>[C-Press, Chinese]</t>
  </si>
  <si>
    <t>ORG_BOC</t>
  </si>
  <si>
    <t>Bank of China 中国银行</t>
  </si>
  <si>
    <t>ORG_CDB</t>
  </si>
  <si>
    <t>China Development Bank 国家开发银行</t>
  </si>
  <si>
    <t>Policy bank</t>
  </si>
  <si>
    <t>ORG_EXIM</t>
  </si>
  <si>
    <t>Export-Import Bank of China 中国进出口银行</t>
  </si>
  <si>
    <t>ORG_ADBC</t>
  </si>
  <si>
    <t>Agricultural Development Bank of China 中国农业发展银行</t>
  </si>
  <si>
    <t>ORG_CMB</t>
  </si>
  <si>
    <t>China Merchants Bank 招商银行</t>
  </si>
  <si>
    <t>Joint-stock commercial</t>
  </si>
  <si>
    <t>ORG_CITICBK</t>
  </si>
  <si>
    <t>China CITIC Bank 中信银行</t>
  </si>
  <si>
    <t>ORG_PABANK</t>
  </si>
  <si>
    <t>Ping An Bank 平安银行</t>
  </si>
  <si>
    <t>ORG_SPDB</t>
  </si>
  <si>
    <t>Shanghai Pudong Development Bank 浦发银行</t>
  </si>
  <si>
    <t>ORG_CMBC</t>
  </si>
  <si>
    <t>China Minsheng Bank 民生银行</t>
  </si>
  <si>
    <t>ORG_CEB</t>
  </si>
  <si>
    <t>China Everbright Bank 光大银行</t>
  </si>
  <si>
    <t>ORG_CIB</t>
  </si>
  <si>
    <t>Industrial Bank 兴业银行</t>
  </si>
  <si>
    <t>ORG_CITICS</t>
  </si>
  <si>
    <t>CITIC Securities 中信证券</t>
  </si>
  <si>
    <t>Securities / IB</t>
  </si>
  <si>
    <t>2026 校园招聘</t>
  </si>
  <si>
    <t>ORG_CICC</t>
  </si>
  <si>
    <t>CICC 中国国际金融</t>
  </si>
  <si>
    <t>2026 Campus Recruitment (IB, Equities, FICC, PE, AM, WM, Research, IT, Back Office)</t>
  </si>
  <si>
    <t>ORG_HAITONG</t>
  </si>
  <si>
    <t>Haitong Securities 海通证券</t>
  </si>
  <si>
    <t>ORG_GTJA</t>
  </si>
  <si>
    <t>Guotai Junan Securities 国泰君安</t>
  </si>
  <si>
    <t>ORG_GF</t>
  </si>
  <si>
    <t>GF Securities 广发证券</t>
  </si>
  <si>
    <t>ORG_CMS</t>
  </si>
  <si>
    <t>China Merchants Securities 招商证券</t>
  </si>
  <si>
    <t>ORG_PINGAN</t>
  </si>
  <si>
    <t>Ping An Insurance 中国平安</t>
  </si>
  <si>
    <t>Insurer</t>
  </si>
  <si>
    <t>文臣武将 management-trainee talent plan</t>
  </si>
  <si>
    <t>ORG_CHINALIFE</t>
  </si>
  <si>
    <t>China Life 中国人寿</t>
  </si>
  <si>
    <t>ORG_CPIC</t>
  </si>
  <si>
    <t>China Pacific Insurance (CPIC) 中国太保</t>
  </si>
  <si>
    <t>ORG_PICC</t>
  </si>
  <si>
    <t>PICC 中国人保</t>
  </si>
  <si>
    <t>ORG_NCI</t>
  </si>
  <si>
    <t>New China Life 新华保险</t>
  </si>
  <si>
    <t>ORG_SUNSHINE</t>
  </si>
  <si>
    <t>Sunshine Insurance 阳光保险</t>
  </si>
  <si>
    <t>ORG_EFUND</t>
  </si>
  <si>
    <t>E Fund Management 易方达</t>
  </si>
  <si>
    <t>Asset manager</t>
  </si>
  <si>
    <t>ORG_CHINAAMC</t>
  </si>
  <si>
    <t>China AMC 华夏基金</t>
  </si>
  <si>
    <t>ORG_HARVEST</t>
  </si>
  <si>
    <t>Harvest Fund Management 嘉实基金</t>
  </si>
  <si>
    <t>ORG_GFFUND</t>
  </si>
  <si>
    <t>GF Fund Management 广发基金</t>
  </si>
  <si>
    <t>ORG_ANT</t>
  </si>
  <si>
    <t>Ant Group 蚂蚁集团</t>
  </si>
  <si>
    <t>Fintech giant</t>
  </si>
  <si>
    <t>Ant Star / 星阵 + Fresh Graduates Program</t>
  </si>
  <si>
    <t>ORG_TENCENTFIT</t>
  </si>
  <si>
    <t>Tencent FiT / WeBank 腾讯金融科技 / 微众银行</t>
  </si>
  <si>
    <t>ORG_JDTECH</t>
  </si>
  <si>
    <t>JD Technology / JD Digits 京东科技</t>
  </si>
  <si>
    <t>ORG_LUFAX</t>
  </si>
  <si>
    <t>Lufax 陆金所</t>
  </si>
  <si>
    <t>Fintech</t>
  </si>
  <si>
    <t>E0280</t>
  </si>
  <si>
    <t>E0281</t>
  </si>
  <si>
    <t>E0283</t>
  </si>
  <si>
    <t>E0284</t>
  </si>
  <si>
    <t>E0286</t>
  </si>
  <si>
    <t>E0287</t>
  </si>
  <si>
    <t>E0289</t>
  </si>
  <si>
    <t>E0290</t>
  </si>
  <si>
    <t>E0292</t>
  </si>
  <si>
    <t>E0293</t>
  </si>
  <si>
    <t>E0295</t>
  </si>
  <si>
    <t>E0296</t>
  </si>
  <si>
    <t>E0298</t>
  </si>
  <si>
    <t>E0299</t>
  </si>
  <si>
    <t>E0301</t>
  </si>
  <si>
    <t>E0302</t>
  </si>
  <si>
    <t>E0304</t>
  </si>
  <si>
    <t>E0305</t>
  </si>
  <si>
    <t>E0307</t>
  </si>
  <si>
    <t>E0308</t>
  </si>
  <si>
    <t>E0310</t>
  </si>
  <si>
    <t>E0311</t>
  </si>
  <si>
    <t>E0313</t>
  </si>
  <si>
    <t>E0314</t>
  </si>
  <si>
    <t>E0316</t>
  </si>
  <si>
    <t>E0317</t>
  </si>
  <si>
    <t>E0319</t>
  </si>
  <si>
    <t>E0320</t>
  </si>
  <si>
    <t>E0322</t>
  </si>
  <si>
    <t>E0323</t>
  </si>
  <si>
    <t>E0325</t>
  </si>
  <si>
    <t>E0326</t>
  </si>
  <si>
    <t>E0328</t>
  </si>
  <si>
    <t>E0329</t>
  </si>
  <si>
    <t>E0331</t>
  </si>
  <si>
    <t>E0332</t>
  </si>
  <si>
    <t>E0334</t>
  </si>
  <si>
    <t>E0335</t>
  </si>
  <si>
    <t>E0337</t>
  </si>
  <si>
    <t>E0338</t>
  </si>
  <si>
    <t>E0340</t>
  </si>
  <si>
    <t>E0341</t>
  </si>
  <si>
    <t>E0343</t>
  </si>
  <si>
    <t>E0344</t>
  </si>
  <si>
    <t>E0346</t>
  </si>
  <si>
    <t>E0347</t>
  </si>
  <si>
    <t>E0349</t>
  </si>
  <si>
    <t>E0350</t>
  </si>
  <si>
    <t>E0351</t>
  </si>
  <si>
    <t>E0352</t>
  </si>
  <si>
    <t>E0353</t>
  </si>
  <si>
    <t>E0354</t>
  </si>
  <si>
    <t>E0355</t>
  </si>
  <si>
    <t>E0356</t>
  </si>
  <si>
    <t>E0358</t>
  </si>
  <si>
    <t>E0359</t>
  </si>
  <si>
    <t>E0361</t>
  </si>
  <si>
    <t>E0362</t>
  </si>
  <si>
    <t>E0364</t>
  </si>
  <si>
    <t>E0365</t>
  </si>
  <si>
    <t>E0367</t>
  </si>
  <si>
    <t>E0368</t>
  </si>
  <si>
    <t>E0370</t>
  </si>
  <si>
    <t>E0371</t>
  </si>
  <si>
    <t>E0373</t>
  </si>
  <si>
    <t>E0374</t>
  </si>
  <si>
    <t>E0376</t>
  </si>
  <si>
    <t>E0377</t>
  </si>
  <si>
    <t>E0379</t>
  </si>
  <si>
    <t>E0380</t>
  </si>
  <si>
    <t>E0382</t>
  </si>
  <si>
    <t>E0383</t>
  </si>
  <si>
    <t>E0385</t>
  </si>
  <si>
    <t>E0386</t>
  </si>
  <si>
    <t>E0388</t>
  </si>
  <si>
    <t>E0389</t>
  </si>
  <si>
    <t>E0391</t>
  </si>
  <si>
    <t>E0392</t>
  </si>
  <si>
    <t>E0394</t>
  </si>
  <si>
    <t>E0395</t>
  </si>
  <si>
    <t>E0397</t>
  </si>
  <si>
    <t>E0398</t>
  </si>
  <si>
    <t>E0400</t>
  </si>
  <si>
    <t>E0401</t>
  </si>
  <si>
    <t>E0403</t>
  </si>
  <si>
    <t>E0404</t>
  </si>
  <si>
    <t>E0406</t>
  </si>
  <si>
    <t>E0407</t>
  </si>
  <si>
    <t>E0409</t>
  </si>
  <si>
    <t>E0410</t>
  </si>
  <si>
    <t>E0412</t>
  </si>
  <si>
    <t>E0413</t>
  </si>
  <si>
    <t>E0415</t>
  </si>
  <si>
    <t>E0416</t>
  </si>
  <si>
    <t>E0418</t>
  </si>
  <si>
    <t>E0419</t>
  </si>
  <si>
    <t>E0421</t>
  </si>
  <si>
    <t>E0422</t>
  </si>
  <si>
    <t>E0424</t>
  </si>
  <si>
    <t>E0425</t>
  </si>
  <si>
    <t>E0427</t>
  </si>
  <si>
    <t>E0428</t>
  </si>
  <si>
    <t>E0430</t>
  </si>
  <si>
    <t>E0431</t>
  </si>
  <si>
    <t>E0433</t>
  </si>
  <si>
    <t>E0434</t>
  </si>
  <si>
    <t>E0436</t>
  </si>
  <si>
    <t>E0437</t>
  </si>
  <si>
    <t>E0439</t>
  </si>
  <si>
    <t>E0440</t>
  </si>
  <si>
    <t>E0442</t>
  </si>
  <si>
    <t>E0443</t>
  </si>
  <si>
    <t>E0445</t>
  </si>
  <si>
    <t>E0446</t>
  </si>
  <si>
    <t>E0448</t>
  </si>
  <si>
    <t>E0449</t>
  </si>
  <si>
    <t>E0451</t>
  </si>
  <si>
    <t>E0452</t>
  </si>
  <si>
    <t>E0454</t>
  </si>
  <si>
    <t>E0455</t>
  </si>
  <si>
    <t>E0457</t>
  </si>
  <si>
    <t>India GCC site (Channel c)</t>
  </si>
  <si>
    <t>E0458</t>
  </si>
  <si>
    <t>E0459</t>
  </si>
  <si>
    <t>E0460</t>
  </si>
  <si>
    <t>E0461</t>
  </si>
  <si>
    <t>E0462</t>
  </si>
  <si>
    <t>E0463</t>
  </si>
  <si>
    <t>E0464</t>
  </si>
  <si>
    <t>E0465</t>
  </si>
  <si>
    <t>E0466</t>
  </si>
  <si>
    <t>E0467</t>
  </si>
  <si>
    <t>E0468</t>
  </si>
  <si>
    <t>E0469</t>
  </si>
  <si>
    <t>E0470</t>
  </si>
  <si>
    <t>E0471</t>
  </si>
  <si>
    <t>RECRUITS_FROM</t>
  </si>
  <si>
    <t>PARTNERS_WITH</t>
  </si>
  <si>
    <t>E0533</t>
  </si>
  <si>
    <t>China operations - smaller, limited intake [Note]</t>
  </si>
  <si>
    <t>E0535</t>
  </si>
  <si>
    <t>E0537</t>
  </si>
  <si>
    <t>E0539</t>
  </si>
  <si>
    <t>COMPETES_FOR_TALENT</t>
  </si>
  <si>
    <t>Fintech giants compete head-to-head with Big Four state banks for the same talent</t>
  </si>
  <si>
    <t>E0540</t>
  </si>
  <si>
    <t>E0541</t>
  </si>
  <si>
    <t>E0542</t>
  </si>
  <si>
    <t>E0543</t>
  </si>
  <si>
    <t>E0544</t>
  </si>
  <si>
    <t>ORG_ITAU</t>
  </si>
  <si>
    <t>Itaú Unibanco</t>
  </si>
  <si>
    <t>Brazil domestic</t>
  </si>
  <si>
    <t>Programa Trainee Itaú Unibanco (tracks Negócios Varejo + Finanças)</t>
  </si>
  <si>
    <t>ORG_BRADESCO</t>
  </si>
  <si>
    <t>Banco Bradesco</t>
  </si>
  <si>
    <t>Programa de Estágio Bradesco (2026 cycles, multiple tracks)</t>
  </si>
  <si>
    <t>ORG_BB</t>
  </si>
  <si>
    <t>Banco do Brasil</t>
  </si>
  <si>
    <t>Brazil state-owned</t>
  </si>
  <si>
    <t>No formal trainee - career staff via concurso público; Jovem Aprendiz + estágio only</t>
  </si>
  <si>
    <t>ORG_SANBR</t>
  </si>
  <si>
    <t>Santander Brasil</t>
  </si>
  <si>
    <t>Brazil (Santander group)</t>
  </si>
  <si>
    <t>Programa de Trainee Santander (international experience; CIB intakes)</t>
  </si>
  <si>
    <t>ORG_BTG</t>
  </si>
  <si>
    <t>BTG Pactual</t>
  </si>
  <si>
    <t>Brazil IB</t>
  </si>
  <si>
    <t>Inside (women-in-finance internship), Estágio de Férias, Geração BTG</t>
  </si>
  <si>
    <t>ORG_ENFORCE</t>
  </si>
  <si>
    <t>Enforce BTG Pactual</t>
  </si>
  <si>
    <t>Brazil (BTG subsidiary)</t>
  </si>
  <si>
    <t>Programa de Trainee 2026</t>
  </si>
  <si>
    <t>ORG_XP</t>
  </si>
  <si>
    <t>XP Inc.</t>
  </si>
  <si>
    <t>Brazil broker / platform</t>
  </si>
  <si>
    <t>XTAG Programa de Estágio (IB, Asset Mgmt, Research, Sales Trader, Trading, Corporate)</t>
  </si>
  <si>
    <t>ORG_CAIXA</t>
  </si>
  <si>
    <t>Caixa Econômica Federal</t>
  </si>
  <si>
    <t>No confirmed trainee - concurso / Jovem Aprendiz based</t>
  </si>
  <si>
    <t>ORG_BBVAMX</t>
  </si>
  <si>
    <t>BBVA México</t>
  </si>
  <si>
    <t>Programa Trainees / Graduates (12-month trainee + becarios)</t>
  </si>
  <si>
    <t>ORG_BANORTE</t>
  </si>
  <si>
    <t>Grupo Financiero Banorte</t>
  </si>
  <si>
    <t>Talento Banorte / Programa Talento Joven</t>
  </si>
  <si>
    <t>ORG_INBURSA</t>
  </si>
  <si>
    <t>Grupo Financiero Inbursa</t>
  </si>
  <si>
    <t>ORG_CITIBANAMEX</t>
  </si>
  <si>
    <t>Citibanamex</t>
  </si>
  <si>
    <t>Mexico (Citi group)</t>
  </si>
  <si>
    <t>Analyst / Programa de Estágio</t>
  </si>
  <si>
    <t>ORG_BANCOLOMBIA</t>
  </si>
  <si>
    <t>Bancolombia</t>
  </si>
  <si>
    <t>Talento B (aprendices; data science/tech/design/cyber focus) + prácticas</t>
  </si>
  <si>
    <t>ORG_AVAL</t>
  </si>
  <si>
    <t>Grupo Aval</t>
  </si>
  <si>
    <t>Talento Aval jobs portal</t>
  </si>
  <si>
    <t>ORG_DAVIVIENDA</t>
  </si>
  <si>
    <t>Davivienda</t>
  </si>
  <si>
    <t>Nativos (SENA-sponsored technical training-to-hire)</t>
  </si>
  <si>
    <t>ORG_BCHILE</t>
  </si>
  <si>
    <t>Banco de Chile</t>
  </si>
  <si>
    <t>Programa Trainee (Banca Empresas + Banca Personas tracks)</t>
  </si>
  <si>
    <t>ORG_BCI</t>
  </si>
  <si>
    <t>Banco de Crédito e Inversiones (BCI)</t>
  </si>
  <si>
    <t>ORG_SANCL</t>
  </si>
  <si>
    <t>Banco Santander Chile</t>
  </si>
  <si>
    <t>Chile (Santander group)</t>
  </si>
  <si>
    <t>Santander graduate / trainee</t>
  </si>
  <si>
    <t>ORG_BCP</t>
  </si>
  <si>
    <t>Credicorp / Banco de Crédito del Perú (BCP)</t>
  </si>
  <si>
    <t>Programa Trainee de la Banca de Corporaciones y Empresas (intakes Mar/Jul/Nov)</t>
  </si>
  <si>
    <t>ORG_BBVAPE</t>
  </si>
  <si>
    <t>BBVA Perú</t>
  </si>
  <si>
    <t>Peru (BBVA group)</t>
  </si>
  <si>
    <t>Trainee / graduate</t>
  </si>
  <si>
    <t>ORG_GALICIA</t>
  </si>
  <si>
    <t>Banco Galicia</t>
  </si>
  <si>
    <t>Programa de Jóvenes Profesionales (rotational)</t>
  </si>
  <si>
    <t>ORG_BBVAAR</t>
  </si>
  <si>
    <t>BBVA Argentina</t>
  </si>
  <si>
    <t>Argentina (BBVA group)</t>
  </si>
  <si>
    <t>ORG_SANAR</t>
  </si>
  <si>
    <t>Banco Santander Río</t>
  </si>
  <si>
    <t>Argentina (Santander group)</t>
  </si>
  <si>
    <t>ORG_LATAM_BIG4</t>
  </si>
  <si>
    <t>Deloitte / PwC / EY / KPMG (LatAm offices)</t>
  </si>
  <si>
    <t>Big 4 LatAm practices</t>
  </si>
  <si>
    <t>Graduate / estágio</t>
  </si>
  <si>
    <t>ORG_LATAM_MBB</t>
  </si>
  <si>
    <t>McKinsey / BCG / Bain (LatAm practices)</t>
  </si>
  <si>
    <t>MBB LatAm practices</t>
  </si>
  <si>
    <t>ORG_DB</t>
  </si>
  <si>
    <t>Deutsche Bank</t>
  </si>
  <si>
    <t>Germany (Frankfurt)</t>
  </si>
  <si>
    <t>Graduate / Analyst Program</t>
  </si>
  <si>
    <t>ORG_CBK</t>
  </si>
  <si>
    <t>Commerzbank</t>
  </si>
  <si>
    <t>ORG_ALV</t>
  </si>
  <si>
    <t>Allianz</t>
  </si>
  <si>
    <t>Germany (Munich)</t>
  </si>
  <si>
    <t>Graduate program</t>
  </si>
  <si>
    <t>ORG_MUNRE</t>
  </si>
  <si>
    <t>Munich Re</t>
  </si>
  <si>
    <t>ORG_DZ</t>
  </si>
  <si>
    <t>DZ Bank</t>
  </si>
  <si>
    <t>Trainee</t>
  </si>
  <si>
    <t>ORG_KFW</t>
  </si>
  <si>
    <t>KfW</t>
  </si>
  <si>
    <t>ORG_BNP</t>
  </si>
  <si>
    <t>BNP Paribas</t>
  </si>
  <si>
    <t>France (Paris)</t>
  </si>
  <si>
    <t>Graduates' Programme (rotational, 5 business areas); Global Banking Graduate Programme</t>
  </si>
  <si>
    <t>ORG_SG</t>
  </si>
  <si>
    <t>Société Générale</t>
  </si>
  <si>
    <t>ORG_CA</t>
  </si>
  <si>
    <t>Crédit Agricole / CACIB</t>
  </si>
  <si>
    <t>ORG_AXA</t>
  </si>
  <si>
    <t>AXA</t>
  </si>
  <si>
    <t>ORG_AMUNDI</t>
  </si>
  <si>
    <t>Amundi</t>
  </si>
  <si>
    <t>ORG_NATIXIS</t>
  </si>
  <si>
    <t>Natixis</t>
  </si>
  <si>
    <t>ORG_UBS</t>
  </si>
  <si>
    <t>UBS</t>
  </si>
  <si>
    <t>Switzerland (Zurich)</t>
  </si>
  <si>
    <t>Graduate Talent Program</t>
  </si>
  <si>
    <t>ORG_JULIUS</t>
  </si>
  <si>
    <t>Julius Baer</t>
  </si>
  <si>
    <t>ORG_PICTET</t>
  </si>
  <si>
    <t>Pictet</t>
  </si>
  <si>
    <t>Switzerland (Geneva)</t>
  </si>
  <si>
    <t>Pictet Corporate functions graduate program</t>
  </si>
  <si>
    <t>ORG_LO</t>
  </si>
  <si>
    <t>Lombard Odier</t>
  </si>
  <si>
    <t>ORG_ZURICH</t>
  </si>
  <si>
    <t>Zurich Insurance Group</t>
  </si>
  <si>
    <t>ORG_SWISSRE</t>
  </si>
  <si>
    <t>Swiss Re</t>
  </si>
  <si>
    <t>Graduates@SwissRe</t>
  </si>
  <si>
    <t>ORG_ING</t>
  </si>
  <si>
    <t>ING</t>
  </si>
  <si>
    <t>Netherlands (Amsterdam)</t>
  </si>
  <si>
    <t>Graduate Programme</t>
  </si>
  <si>
    <t>ORG_RABO</t>
  </si>
  <si>
    <t>Rabobank</t>
  </si>
  <si>
    <t>Traineeship</t>
  </si>
  <si>
    <t>ORG_NN</t>
  </si>
  <si>
    <t>NN Group</t>
  </si>
  <si>
    <t>ORG_AEGON</t>
  </si>
  <si>
    <t>Aegon</t>
  </si>
  <si>
    <t>ORG_ABN</t>
  </si>
  <si>
    <t>ABN AMRO</t>
  </si>
  <si>
    <t>ORG_SAN</t>
  </si>
  <si>
    <t>Santander</t>
  </si>
  <si>
    <t>Spain (Madrid)</t>
  </si>
  <si>
    <t>Graduate / CIB programmes; Santander CIB International Graduate Programme</t>
  </si>
  <si>
    <t>ORG_BBVA</t>
  </si>
  <si>
    <t>BBVA</t>
  </si>
  <si>
    <t>ORG_CAIXABANK</t>
  </si>
  <si>
    <t>CaixaBank</t>
  </si>
  <si>
    <t>ORG_UCG</t>
  </si>
  <si>
    <t>UniCredit</t>
  </si>
  <si>
    <t>Italy (Milan)</t>
  </si>
  <si>
    <t>UniCredit Graduate Program (rotational)</t>
  </si>
  <si>
    <t>ORG_ISP</t>
  </si>
  <si>
    <t>Intesa Sanpaolo</t>
  </si>
  <si>
    <t>I'M IN (IMI CIB International Graduate Program) + SLAM (Tech &amp; Data / Financial Governance / Marketing)</t>
  </si>
  <si>
    <t>ORG_GENERALI</t>
  </si>
  <si>
    <t>Assicurazioni Generali</t>
  </si>
  <si>
    <t>Italy (Trieste/Milan)</t>
  </si>
  <si>
    <t>ORG_NORDEA</t>
  </si>
  <si>
    <t>Nordea</t>
  </si>
  <si>
    <t>Nordics</t>
  </si>
  <si>
    <t>Nordea Graduate Programme (rotational, international)</t>
  </si>
  <si>
    <t>ORG_SEB</t>
  </si>
  <si>
    <t>SEB</t>
  </si>
  <si>
    <t>Nordics (Sweden)</t>
  </si>
  <si>
    <t>Graduate / trainee</t>
  </si>
  <si>
    <t>ORG_SHB</t>
  </si>
  <si>
    <t>Handelsbanken</t>
  </si>
  <si>
    <t>ORG_SWED</t>
  </si>
  <si>
    <t>Swedbank</t>
  </si>
  <si>
    <t>ORG_DANSKE</t>
  </si>
  <si>
    <t>Danske Bank</t>
  </si>
  <si>
    <t>Nordics (Denmark)</t>
  </si>
  <si>
    <t>ORG_DNB</t>
  </si>
  <si>
    <t>DNB</t>
  </si>
  <si>
    <t>Nordics (Norway)</t>
  </si>
  <si>
    <t>ORG_AIB</t>
  </si>
  <si>
    <t>AIB</t>
  </si>
  <si>
    <t>Ireland (Dublin)</t>
  </si>
  <si>
    <t>Graduate Programme (rotational, Sept 2026-Aug 2028 cohort)</t>
  </si>
  <si>
    <t>ORG_BOI_IE</t>
  </si>
  <si>
    <t>Bank of Ireland</t>
  </si>
  <si>
    <t>Graduate Programme (any discipline, undergrad/master's)</t>
  </si>
  <si>
    <t>ORG_ECB</t>
  </si>
  <si>
    <t>European Central Bank</t>
  </si>
  <si>
    <t>Supranational central bank</t>
  </si>
  <si>
    <t>ECB Graduate Programme (~15 generalist + 4 Economist); separate Economist Graduate Programme</t>
  </si>
  <si>
    <t>Economist programme net salary ~EUR 4,982/month</t>
  </si>
  <si>
    <t>ORG_BUBA</t>
  </si>
  <si>
    <t>Deutsche Bundesbank</t>
  </si>
  <si>
    <t>National central bank</t>
  </si>
  <si>
    <t>Traineeship / graduate</t>
  </si>
  <si>
    <t>ORG_BDF</t>
  </si>
  <si>
    <t>Banque de France</t>
  </si>
  <si>
    <t>ORG_DNBANK</t>
  </si>
  <si>
    <t>De Nederlandsche Bank</t>
  </si>
  <si>
    <t>ORG_SNB</t>
  </si>
  <si>
    <t>Swiss National Bank</t>
  </si>
  <si>
    <t>ORG_CBI</t>
  </si>
  <si>
    <t>Central Bank of Ireland</t>
  </si>
  <si>
    <t>3-year Graduate Programme</t>
  </si>
  <si>
    <t>ORG_EIB</t>
  </si>
  <si>
    <t>European Investment Bank</t>
  </si>
  <si>
    <t>Supranational development bank</t>
  </si>
  <si>
    <t>EIB Graduate Programme (1-2 yrs, extendable to 4)</t>
  </si>
  <si>
    <t>E0545</t>
  </si>
  <si>
    <t>E0546</t>
  </si>
  <si>
    <t>E0548</t>
  </si>
  <si>
    <t>E0549</t>
  </si>
  <si>
    <t>E0551</t>
  </si>
  <si>
    <t>E0552</t>
  </si>
  <si>
    <t>E0554</t>
  </si>
  <si>
    <t>E0555</t>
  </si>
  <si>
    <t>E0557</t>
  </si>
  <si>
    <t>E0558</t>
  </si>
  <si>
    <t>E0560</t>
  </si>
  <si>
    <t>E0561</t>
  </si>
  <si>
    <t>E0563</t>
  </si>
  <si>
    <t>E0564</t>
  </si>
  <si>
    <t>E0566</t>
  </si>
  <si>
    <t>E0567</t>
  </si>
  <si>
    <t>E0569</t>
  </si>
  <si>
    <t>E0570</t>
  </si>
  <si>
    <t>E0572</t>
  </si>
  <si>
    <t>E0573</t>
  </si>
  <si>
    <t>E0575</t>
  </si>
  <si>
    <t>E0576</t>
  </si>
  <si>
    <t>E0577</t>
  </si>
  <si>
    <t>E0578</t>
  </si>
  <si>
    <t>E0580</t>
  </si>
  <si>
    <t>E0581</t>
  </si>
  <si>
    <t>E0583</t>
  </si>
  <si>
    <t>E0584</t>
  </si>
  <si>
    <t>E0585</t>
  </si>
  <si>
    <t>E0586</t>
  </si>
  <si>
    <t>E0587</t>
  </si>
  <si>
    <t>E0588</t>
  </si>
  <si>
    <t>E0590</t>
  </si>
  <si>
    <t>E0591</t>
  </si>
  <si>
    <t>E0592</t>
  </si>
  <si>
    <t>E0593</t>
  </si>
  <si>
    <t>E0595</t>
  </si>
  <si>
    <t>E0596</t>
  </si>
  <si>
    <t>E0598</t>
  </si>
  <si>
    <t>E0599</t>
  </si>
  <si>
    <t>E0601</t>
  </si>
  <si>
    <t>E0602</t>
  </si>
  <si>
    <t>E0604</t>
  </si>
  <si>
    <t>E0605</t>
  </si>
  <si>
    <t>E0607</t>
  </si>
  <si>
    <t>E0608</t>
  </si>
  <si>
    <t>E0610</t>
  </si>
  <si>
    <t>E0611</t>
  </si>
  <si>
    <t>E0613</t>
  </si>
  <si>
    <t>E0614</t>
  </si>
  <si>
    <t>E0616</t>
  </si>
  <si>
    <t>E0617</t>
  </si>
  <si>
    <t>E0619</t>
  </si>
  <si>
    <t>E0620</t>
  </si>
  <si>
    <t>E0622</t>
  </si>
  <si>
    <t>E0623</t>
  </si>
  <si>
    <t>E0625</t>
  </si>
  <si>
    <t>E0626</t>
  </si>
  <si>
    <t>E0628</t>
  </si>
  <si>
    <t>E0629</t>
  </si>
  <si>
    <t>E0631</t>
  </si>
  <si>
    <t>E0632</t>
  </si>
  <si>
    <t>E0634</t>
  </si>
  <si>
    <t>E0635</t>
  </si>
  <si>
    <t>E0637</t>
  </si>
  <si>
    <t>E0638</t>
  </si>
  <si>
    <t>E0640</t>
  </si>
  <si>
    <t>E0641</t>
  </si>
  <si>
    <t>E0643</t>
  </si>
  <si>
    <t>E0644</t>
  </si>
  <si>
    <t>E0646</t>
  </si>
  <si>
    <t>E0647</t>
  </si>
  <si>
    <t>E0649</t>
  </si>
  <si>
    <t>E0650</t>
  </si>
  <si>
    <t>E0652</t>
  </si>
  <si>
    <t>E0653</t>
  </si>
  <si>
    <t>E0655</t>
  </si>
  <si>
    <t>E0656</t>
  </si>
  <si>
    <t>E0658</t>
  </si>
  <si>
    <t>E0659</t>
  </si>
  <si>
    <t>E0661</t>
  </si>
  <si>
    <t>E0662</t>
  </si>
  <si>
    <t>E0664</t>
  </si>
  <si>
    <t>E0665</t>
  </si>
  <si>
    <t>E0667</t>
  </si>
  <si>
    <t>E0668</t>
  </si>
  <si>
    <t>E0672</t>
  </si>
  <si>
    <t>E0673</t>
  </si>
  <si>
    <t>E0675</t>
  </si>
  <si>
    <t>E0676</t>
  </si>
  <si>
    <t>E0678</t>
  </si>
  <si>
    <t>E0679</t>
  </si>
  <si>
    <t>E0681</t>
  </si>
  <si>
    <t>E0682</t>
  </si>
  <si>
    <t>E0684</t>
  </si>
  <si>
    <t>E0685</t>
  </si>
  <si>
    <t>E0687</t>
  </si>
  <si>
    <t>E0688</t>
  </si>
  <si>
    <t>E0690</t>
  </si>
  <si>
    <t>E0691</t>
  </si>
  <si>
    <t>E0693</t>
  </si>
  <si>
    <t>E0694</t>
  </si>
  <si>
    <t>E0696</t>
  </si>
  <si>
    <t>E0697</t>
  </si>
  <si>
    <t>E0699</t>
  </si>
  <si>
    <t>E0700</t>
  </si>
  <si>
    <t>E0702</t>
  </si>
  <si>
    <t>E0703</t>
  </si>
  <si>
    <t>E0705</t>
  </si>
  <si>
    <t>E0706</t>
  </si>
  <si>
    <t>E0708</t>
  </si>
  <si>
    <t>E0709</t>
  </si>
  <si>
    <t>E0711</t>
  </si>
  <si>
    <t>E0712</t>
  </si>
  <si>
    <t>E0714</t>
  </si>
  <si>
    <t>E0715</t>
  </si>
  <si>
    <t>E0717</t>
  </si>
  <si>
    <t>E0718</t>
  </si>
  <si>
    <t>E0720</t>
  </si>
  <si>
    <t>E0721</t>
  </si>
  <si>
    <t>E0723</t>
  </si>
  <si>
    <t>E0724</t>
  </si>
  <si>
    <t>E0726</t>
  </si>
  <si>
    <t>E0727</t>
  </si>
  <si>
    <t>E0729</t>
  </si>
  <si>
    <t>E0730</t>
  </si>
  <si>
    <t>E0732</t>
  </si>
  <si>
    <t>E0733</t>
  </si>
  <si>
    <t>E0735</t>
  </si>
  <si>
    <t>E0736</t>
  </si>
  <si>
    <t>E0738</t>
  </si>
  <si>
    <t>E0739</t>
  </si>
  <si>
    <t>E0741</t>
  </si>
  <si>
    <t>E0742</t>
  </si>
  <si>
    <t>E0744</t>
  </si>
  <si>
    <t>E0745</t>
  </si>
  <si>
    <t>E0747</t>
  </si>
  <si>
    <t>E0748</t>
  </si>
  <si>
    <t>E0750</t>
  </si>
  <si>
    <t>PARENT_OF</t>
  </si>
  <si>
    <t>Trainee programme sits at the subsidiary</t>
  </si>
  <si>
    <t>RECRUITS_VIA_INTERMEDIARY</t>
  </si>
  <si>
    <t>ABSORBED_BY</t>
  </si>
  <si>
    <t>E0754</t>
  </si>
  <si>
    <t>E0755</t>
  </si>
  <si>
    <t>E0756</t>
  </si>
  <si>
    <t>E0757</t>
  </si>
  <si>
    <t>E0758</t>
  </si>
  <si>
    <t>E0759</t>
  </si>
  <si>
    <t>E0760</t>
  </si>
  <si>
    <t>E0761</t>
  </si>
  <si>
    <t>E0762</t>
  </si>
  <si>
    <t>E0763</t>
  </si>
  <si>
    <t>E0764</t>
  </si>
  <si>
    <t>Mixed model - São Paulo local analyst/intern (Drive the Future - Brazil) AND NY-based Global Private Bank LatAm Program [C-Press]</t>
  </si>
  <si>
    <t>E0766</t>
  </si>
  <si>
    <t>São Paulo Full-Time Analyst (Banking; Markets with 4-week training); LATAM Commercial Banking Analyst [C-Official]</t>
  </si>
  <si>
    <t>E0768</t>
  </si>
  <si>
    <t>São Paulo participates in Americas New Analyst/Summer Analyst programme; no distinct Brazil brand [C-Press]</t>
  </si>
  <si>
    <t>E0770</t>
  </si>
  <si>
    <t>São Paulo internship programme (recurring cycles); office since 1997 [C-Official]</t>
  </si>
  <si>
    <t>E0772</t>
  </si>
  <si>
    <t>OFFSHORE_RECRUITS_FOR</t>
  </si>
  <si>
    <t>NY-based Global Private Bank LatAm Program recruits LatAm-focused analysts into a US programme</t>
  </si>
  <si>
    <t>E0774</t>
  </si>
  <si>
    <t>PLACES_GRADUATES_IN</t>
  </si>
  <si>
    <t>Santander CIB International Graduate Programme LatAm placement [C-Official]</t>
  </si>
  <si>
    <t>E0775</t>
  </si>
  <si>
    <t>E0776</t>
  </si>
  <si>
    <t>E0777</t>
  </si>
  <si>
    <t>E0778</t>
  </si>
  <si>
    <t>India GCC analyst [Note]</t>
  </si>
  <si>
    <t>E0780</t>
  </si>
  <si>
    <t>China operations - limited intake [Note]</t>
  </si>
  <si>
    <t>E0782</t>
  </si>
  <si>
    <t>Dublin GCC - asset-servicing / fund-administration graduate &amp; co-op programmes [C-Official]</t>
  </si>
  <si>
    <t>E0783</t>
  </si>
  <si>
    <t>Luxembourg fund-administration graduate / co-op programmes [Note]</t>
  </si>
  <si>
    <t>E0785</t>
  </si>
  <si>
    <t>E0786</t>
  </si>
  <si>
    <t>E0788</t>
  </si>
  <si>
    <t>E0789</t>
  </si>
  <si>
    <t>E0791</t>
  </si>
  <si>
    <t>E0792</t>
  </si>
  <si>
    <t>Field / vocabulary</t>
  </si>
  <si>
    <t>Allowed value</t>
  </si>
  <si>
    <t>Meaning</t>
  </si>
  <si>
    <t>One of the five source regions (plus 'Other' for out-of-scope home markets)</t>
  </si>
  <si>
    <t>National market; PART_OF a Region</t>
  </si>
  <si>
    <t>City / metro financial hub; PART_OF a Country</t>
  </si>
  <si>
    <t>Employer node - the knowledge-inflow node in the simulator</t>
  </si>
  <si>
    <t>Sector taxonomy node</t>
  </si>
  <si>
    <t>Entry mechanism (carries cycle_timing and lead_time_months)</t>
  </si>
  <si>
    <t>Campus system or recruitment intermediary supplying graduates</t>
  </si>
  <si>
    <t>Geographic hierarchy: Hub -&gt; Country -&gt; Region</t>
  </si>
  <si>
    <t>Organisation has a graduate-recruiting site in this hub (multiple per org = multinational)</t>
  </si>
  <si>
    <t>Organisation belongs to this sector</t>
  </si>
  <si>
    <t>Organisation uses this entry mechanism (inherit lead_time_months from the mechanism node)</t>
  </si>
  <si>
    <t>Organisation sources from this talent pool</t>
  </si>
  <si>
    <t>Hire-and-train academy or training partner</t>
  </si>
  <si>
    <t>Recruitment outsourced to an intermediary</t>
  </si>
  <si>
    <t>Group / subsidiary organisational link</t>
  </si>
  <si>
    <t>Organisation absorbed by another (Credit Suisse -&gt; UBS, 2023)</t>
  </si>
  <si>
    <t>Undirected talent competition asserted in the source</t>
  </si>
  <si>
    <t>Programme recruited centrally but placing graduates in this hub</t>
  </si>
  <si>
    <t>Programme based in one hub but recruiting for another region's client base</t>
  </si>
  <si>
    <t>Mechanism belongs to this region</t>
  </si>
  <si>
    <t>Largest tier (very large workforce). INFERRED - not stated in source</t>
  </si>
  <si>
    <t>Large tier. INFERRED - not stated in source</t>
  </si>
  <si>
    <t>Mid tier. INFERRED - not stated in source</t>
  </si>
  <si>
    <t>Small / boutique tier. INFERRED - not stated in source</t>
  </si>
  <si>
    <t>TBC</t>
  </si>
  <si>
    <t>No band assigned</t>
  </si>
  <si>
    <t>Structured programme confirmed on the company's own careers/campus site</t>
  </si>
  <si>
    <t>Confirmed on a Chinese-language primary careers portal</t>
  </si>
  <si>
    <t>Confirmed via reputable press, university career service or established third party</t>
  </si>
  <si>
    <t>Chinese-language secondary confirmation</t>
  </si>
  <si>
    <t>Well-known employer, no formal graduate programme confirmed in this research pass</t>
  </si>
  <si>
    <t>High / Medium / Low</t>
  </si>
  <si>
    <t>Derived from confirmation_status; use as the Stage 1 seeding filter</t>
  </si>
  <si>
    <t>City / hub explicitly named in the source document</t>
  </si>
  <si>
    <t>Hub assigned from general knowledge of the firm's primary base - verify before use</t>
  </si>
  <si>
    <t>not stated in source</t>
  </si>
  <si>
    <t>No size information in the source document</t>
  </si>
  <si>
    <t>Band assigned from general knowledge, NOT from the source document</t>
  </si>
  <si>
    <t>Graduate-recruitment ecosystem — graph dataset</t>
  </si>
  <si>
    <t>Source file</t>
  </si>
  <si>
    <t>graduate programs.md — 'Financial-Services Graduate/Campus Recruitment Target Lists — Five Regions'</t>
  </si>
  <si>
    <t>Purpose</t>
  </si>
  <si>
    <t>Node/edge tables ready to re-render as a network graph (geographic + organisational links, organisation size, yearly graduate intake).</t>
  </si>
  <si>
    <t>SHEETS</t>
  </si>
  <si>
    <t>Nodes</t>
  </si>
  <si>
    <t>One row per graph node. node_id is the primary key referenced by the Edges sheet.</t>
  </si>
  <si>
    <t>Edges</t>
  </si>
  <si>
    <t>One row per relationship. source_id and target_id both reference Nodes[node_id].</t>
  </si>
  <si>
    <t>Vocabulary</t>
  </si>
  <si>
    <t>Controlled value lists for node_type, edge_type, org_size_band, confirmation_status, data_confidence, geo_source.</t>
  </si>
  <si>
    <t>Summary</t>
  </si>
  <si>
    <t>Counts and coverage diagnostics, all formula-driven off Nodes and Edges.</t>
  </si>
  <si>
    <t>HOW TO RENDER</t>
  </si>
  <si>
    <t>Geography</t>
  </si>
  <si>
    <t>Hub → Country → Region form a PART_OF tree. Organisations attach to hubs via LOCATED_IN. A multinational has MULTIPLE LOCATED_IN edges, which is how cross-region presence is expressed (e.g. ORG_JPM sits in New York, Bengaluru, Hyderabad, Mumbai, São Paulo, Dublin and Luxembourg).</t>
  </si>
  <si>
    <t>Organisational links</t>
  </si>
  <si>
    <t>PARENT_OF (group → subsidiary), ABSORBED_BY (Credit Suisse → UBS), COMPETES_FOR_TALENT (undirected), IN_SECTOR (organisation → sector).</t>
  </si>
  <si>
    <t>Recruitment channel</t>
  </si>
  <si>
    <t>RECRUITS_VIA (organisation → Mechanism node) carries the entry mechanism; the Mechanism node holds cycle_timing and lead_time_months. RECRUITS_FROM / PARTNERS_WITH / RECRUITS_VIA_INTERMEDIARY point at TalentPool nodes.</t>
  </si>
  <si>
    <t>Node size</t>
  </si>
  <si>
    <t>Use annual_intake_low / annual_intake_high where populated; otherwise fall back to org_size_band (ordinal: Boutique &lt; Mid &lt; Large &lt; Mega).</t>
  </si>
  <si>
    <t>Edge direction</t>
  </si>
  <si>
    <t>The 'directed' column is TRUE for all edge types except COMPETES_FOR_TALENT.</t>
  </si>
  <si>
    <t>DATA-QUALITY WARNINGS — READ BEFORE WEIGHTING NODES</t>
  </si>
  <si>
    <t>1. Intake is almost entirely absent from the source.</t>
  </si>
  <si>
    <t>annual_intake_low / high / applications_per_cycle are populated for only 5 organisations (SBI, Evercore, Citadel Securities, ECB, Credit Suisse). Every other cell is deliberately blank — blank means UNKNOWN, not zero. Do not treat a blank as a small cohort.</t>
  </si>
  <si>
    <t>2. org_size_band is INFERRED, not sourced.</t>
  </si>
  <si>
    <t>The source document contains no headcount or balance-sheet data. Bands are a coarse editorial judgement and every organisation row says so in size_basis. Replace them before using size quantitatively.</t>
  </si>
  <si>
    <t>3. Confirmation status is a research artefact.</t>
  </si>
  <si>
    <t>[Note] means no formal scheme was confirmed in the research pass — NOT that no programme exists. The source flags China, LatAm and European insurers as especially under-verified.</t>
  </si>
  <si>
    <t>4. Cohort/selectivity figures are secondary-sourced.</t>
  </si>
  <si>
    <t>US boutique and quant figures derive from career-advice sites and forums, not firm disclosures. Treat as indicative.</t>
  </si>
  <si>
    <t>5. Grouped rows exist.</t>
  </si>
  <si>
    <t>A few nodes bundle several firms as the source did (ORG_BIG4, ORG_MBB, ORG_IN_LIFEINS, ORG_IN_AMC, ORG_LATAM_BIG4, ORG_LATAM_MBB). Split them if per-firm resolution matters.</t>
  </si>
  <si>
    <t>6. Hub geography is partly inferred.</t>
  </si>
  <si>
    <t>geo_source = 'source' where the document names the city, 'inferred' where a well-known head-office location was used to place the node.</t>
  </si>
  <si>
    <t>7. UK is out of scope.</t>
  </si>
  <si>
    <t>GEO_R_OTHER / GEO_C_UK / GEO_H_LON exist only so HSBC, Barclays and Standard Chartered resolve to a home base; the source covers five regions and excludes the UK.</t>
  </si>
  <si>
    <t>ENRICHMENT ORDER (from the source's own recommendations)</t>
  </si>
  <si>
    <t>Stage 1</t>
  </si>
  <si>
    <t>Seed the graph with [C-Official] organisations only for a defensible core.</t>
  </si>
  <si>
    <t>Stage 2</t>
  </si>
  <si>
    <t>Weight inflow by mechanism and scale, not firm size: mass channels (SBI/IBPS exams, Chinese Big Four quotas) are high-volume; boutiques and quant firms are low-volume/high-selectivity. Keep cohort size and selectivity as separate attributes.</t>
  </si>
  <si>
    <t>Stage 3</t>
  </si>
  <si>
    <t>Treat the mechanism as an edge property with a lead-time parameter (already on the Mechanism nodes).</t>
  </si>
  <si>
    <t>Stage 4</t>
  </si>
  <si>
    <t>Verify the [Note] tail on Chinese-language and Spanish/Portuguese careers pages before assigning any inflow weight.</t>
  </si>
  <si>
    <t>Graph dataset summary</t>
  </si>
  <si>
    <t>All figures below are formulas over the Nodes and Edges sheets.</t>
  </si>
  <si>
    <t>NODES BY TYPE</t>
  </si>
  <si>
    <t>Count</t>
  </si>
  <si>
    <t>Total nodes</t>
  </si>
  <si>
    <t>ORGANISATIONS BY REGION</t>
  </si>
  <si>
    <t>Distinct hubs</t>
  </si>
  <si>
    <t>ORGANISATIONS BY SECTOR</t>
  </si>
  <si>
    <t>EDGES BY TYPE</t>
  </si>
  <si>
    <t>Total edges</t>
  </si>
  <si>
    <t>COVERAGE &amp; INTEGRITY</t>
  </si>
  <si>
    <t>Value</t>
  </si>
  <si>
    <t>Note</t>
  </si>
  <si>
    <t>Organisations with a numeric annual intake</t>
  </si>
  <si>
    <t>Blank intake = unknown, not zero</t>
  </si>
  <si>
    <t>Organisations with org_size_band = TBC</t>
  </si>
  <si>
    <t>No size signal at all</t>
  </si>
  <si>
    <t>Organisations with an inferred size band</t>
  </si>
  <si>
    <t>size_basis flags these as editorial</t>
  </si>
  <si>
    <t>Confirmation [C-Official] (incl. Chinese portals)</t>
  </si>
  <si>
    <t>Highest-confidence core for Stage 1</t>
  </si>
  <si>
    <t>Confirmation [C-Press]</t>
  </si>
  <si>
    <t>Confirmation [Note]</t>
  </si>
  <si>
    <t>Unverified tail - verify before weighting</t>
  </si>
  <si>
    <t>Organisations present in more than one hub</t>
  </si>
  <si>
    <t>Cross-border presence via multiple LOCATED_IN edges</t>
  </si>
  <si>
    <t>Edges with an unresolved source_id</t>
  </si>
  <si>
    <t>Must be 0</t>
  </si>
  <si>
    <t>Edges with an unresolved target_id</t>
  </si>
  <si>
    <t>GEO_R_UK</t>
  </si>
  <si>
    <t>Source region 6 - added by research, not present in the source document (the source covers five regions and treats the UK list as its structural template only)</t>
  </si>
  <si>
    <t>Promoted from out-of-scope placeholder to a full region</t>
  </si>
  <si>
    <t>UK-domiciled global bank; also recruits into its India GCC and China operations</t>
  </si>
  <si>
    <t>GEO_H_EDI</t>
  </si>
  <si>
    <t>Edinburgh</t>
  </si>
  <si>
    <t>research</t>
  </si>
  <si>
    <t>GEO_H_LDS</t>
  </si>
  <si>
    <t>Leeds</t>
  </si>
  <si>
    <t>GEO_H_GLA</t>
  </si>
  <si>
    <t>Glasgow</t>
  </si>
  <si>
    <t>GEO_H_MAN</t>
  </si>
  <si>
    <t>Manchester</t>
  </si>
  <si>
    <t>GEO_H_BHX</t>
  </si>
  <si>
    <t>Birmingham</t>
  </si>
  <si>
    <t>GEO_H_BRS</t>
  </si>
  <si>
    <t>Bristol</t>
  </si>
  <si>
    <t>GEO_H_BFS</t>
  </si>
  <si>
    <t>Belfast</t>
  </si>
  <si>
    <t>MECH_UK_SPRING</t>
  </si>
  <si>
    <t>MECH_UK_SCHEME</t>
  </si>
  <si>
    <t>GEO_H_UKOTH</t>
  </si>
  <si>
    <t>Other UK location</t>
  </si>
  <si>
    <t>Catch-all for UK head offices outside the named hubs (e.g. Swindon, Cardiff, Sheffield)</t>
  </si>
  <si>
    <t>ORG_UK_BOE</t>
  </si>
  <si>
    <t>Bank of England</t>
  </si>
  <si>
    <t>National central bank (incl. PRA)</t>
  </si>
  <si>
    <t>Graduate Development Programme (24 months, leading to a permanent position); also Trainee Solicitor Development Programme, internships, industrial placements and PhD programmes</t>
  </si>
  <si>
    <t>2026 round: start early September 2026, applications opened for Leeds-based roles only, salary GBP 33,525 p.a. 2026 applications closed; programme pages update in autumn 2026 ahead of the 2027 round.</t>
  </si>
  <si>
    <t>ORG_UK_FCA</t>
  </si>
  <si>
    <t>Financial Conduct Authority</t>
  </si>
  <si>
    <t>Conduct regulator</t>
  </si>
  <si>
    <t>Graduate scheme (two years, multiple rotations plus an external secondment) + summer internship + apprenticeships</t>
  </si>
  <si>
    <t>Around ten programme areas including Supervision/Policy &amp; Competition, Authorisations, Economics, Data Technology &amp; Innovation, Market Oversight, Enforcement, Operations and HR. Graduate and internship applications closed; reopen Autumn 2026, apprenticeships Spring 2027.</t>
  </si>
  <si>
    <t>ORG_UK_BBB</t>
  </si>
  <si>
    <t>British Business Bank</t>
  </si>
  <si>
    <t>State development bank</t>
  </si>
  <si>
    <t>Graduate programme</t>
  </si>
  <si>
    <t>ORG_UK_LLOYDSBG</t>
  </si>
  <si>
    <t>Lloyds Banking Group</t>
  </si>
  <si>
    <t>UK high-street group</t>
  </si>
  <si>
    <t>Graduate schemes across Data Science, Technology Engineering, Finance, Risk, Commercial Banking, Consumer Banking, Future Financial Wellbeing and Actuarial</t>
  </si>
  <si>
    <t>Rotational across UK hubs including London, the South West, West Yorkshire, the North West and Edinburgh.</t>
  </si>
  <si>
    <t>ORG_UK_NATWEST</t>
  </si>
  <si>
    <t>NatWest Group</t>
  </si>
  <si>
    <t>Graduate programmes including Engineering, Finance, Digital Transformation and NatWest Markets; also internships and insight days</t>
  </si>
  <si>
    <t>Applications processed in the order received with limited places; one application per candidate per cycle.</t>
  </si>
  <si>
    <t>ORG_UK_SANUK</t>
  </si>
  <si>
    <t>Santander UK</t>
  </si>
  <si>
    <t>UK arm of a Spanish group</t>
  </si>
  <si>
    <t>Graduate / internship programmes</t>
  </si>
  <si>
    <t>ORG_UK_NATIONWIDE</t>
  </si>
  <si>
    <t>Nationwide Building Society</t>
  </si>
  <si>
    <t>Building society</t>
  </si>
  <si>
    <t>ORG_UK_TSB</t>
  </si>
  <si>
    <t>TSB Bank</t>
  </si>
  <si>
    <t>Challenger bank</t>
  </si>
  <si>
    <t>ORG_UK_VMUK</t>
  </si>
  <si>
    <t>Virgin Money UK</t>
  </si>
  <si>
    <t>ORG_UK_METRO</t>
  </si>
  <si>
    <t>Metro Bank</t>
  </si>
  <si>
    <t>ORG_UK_COOP</t>
  </si>
  <si>
    <t>The Co-operative Bank</t>
  </si>
  <si>
    <t>ORG_UK_CLOSEBROS</t>
  </si>
  <si>
    <t>Close Brothers</t>
  </si>
  <si>
    <t>Merchant bank</t>
  </si>
  <si>
    <t>ORG_UK_INVESTEC</t>
  </si>
  <si>
    <t>Investec</t>
  </si>
  <si>
    <t>Specialist bank / wealth</t>
  </si>
  <si>
    <t>ORG_UK_REVOLUT</t>
  </si>
  <si>
    <t>Revolut</t>
  </si>
  <si>
    <t>Neobank</t>
  </si>
  <si>
    <t>Graduate / early-career roles</t>
  </si>
  <si>
    <t>ORG_UK_MONZO</t>
  </si>
  <si>
    <t>Monzo</t>
  </si>
  <si>
    <t>ORG_UK_STARLING</t>
  </si>
  <si>
    <t>Starling Bank</t>
  </si>
  <si>
    <t>ORG_UK_WISE</t>
  </si>
  <si>
    <t>Wise</t>
  </si>
  <si>
    <t>Payments</t>
  </si>
  <si>
    <t>ORG_UK_ROTH</t>
  </si>
  <si>
    <t>Rothschild &amp; Co</t>
  </si>
  <si>
    <t>Independent advisory (group parent)</t>
  </si>
  <si>
    <t>Analyst / Spring Week / summer internship</t>
  </si>
  <si>
    <t>Parent of the US entity already in this dataset</t>
  </si>
  <si>
    <t>ORG_UK_ROBEY</t>
  </si>
  <si>
    <t>Robey Warshaw</t>
  </si>
  <si>
    <t>Micro-boutique</t>
  </si>
  <si>
    <t>Very small partnership; no formal scheme confirmed</t>
  </si>
  <si>
    <t>ORG_UK_PEEL</t>
  </si>
  <si>
    <t>Peel Hunt</t>
  </si>
  <si>
    <t>UK mid-market broker / advisory</t>
  </si>
  <si>
    <t>Graduate / internship</t>
  </si>
  <si>
    <t>ORG_UK_NUMIS</t>
  </si>
  <si>
    <t>Deutsche Numis</t>
  </si>
  <si>
    <t>UK broker / advisory (Deutsche Bank)</t>
  </si>
  <si>
    <t>ORG_UK_XTX</t>
  </si>
  <si>
    <t>XTX Markets</t>
  </si>
  <si>
    <t>Quant market maker</t>
  </si>
  <si>
    <t>Graduate / intern roles</t>
  </si>
  <si>
    <t>ORG_UK_MAN</t>
  </si>
  <si>
    <t>Man Group</t>
  </si>
  <si>
    <t>Systematic hedge fund</t>
  </si>
  <si>
    <t>ORG_UK_MARSHALL</t>
  </si>
  <si>
    <t>Marshall Wace</t>
  </si>
  <si>
    <t>Hedge fund</t>
  </si>
  <si>
    <t>ORG_UK_BREVAN</t>
  </si>
  <si>
    <t>Brevan Howard</t>
  </si>
  <si>
    <t>Macro hedge fund</t>
  </si>
  <si>
    <t>ORG_UK_WINTON</t>
  </si>
  <si>
    <t>Winton</t>
  </si>
  <si>
    <t>ORG_UK_QRT</t>
  </si>
  <si>
    <t>Qube Research &amp; Technologies</t>
  </si>
  <si>
    <t>Quant fund</t>
  </si>
  <si>
    <t>ORG_UK_SCHRODERS</t>
  </si>
  <si>
    <t>Schroders</t>
  </si>
  <si>
    <t>UK asset manager</t>
  </si>
  <si>
    <t>ORG_UK_ABRDN</t>
  </si>
  <si>
    <t>abrdn</t>
  </si>
  <si>
    <t>ORG_UK_MG</t>
  </si>
  <si>
    <t>M&amp;G</t>
  </si>
  <si>
    <t>ORG_UK_LG</t>
  </si>
  <si>
    <t>Legal &amp; General</t>
  </si>
  <si>
    <t>Insurer / asset manager</t>
  </si>
  <si>
    <t>Graduate + actuarial programmes</t>
  </si>
  <si>
    <t>ORG_UK_BAILLIE</t>
  </si>
  <si>
    <t>Baillie Gifford</t>
  </si>
  <si>
    <t>Investment partnership</t>
  </si>
  <si>
    <t>ORG_UK_JUPITER</t>
  </si>
  <si>
    <t>Jupiter Asset Management</t>
  </si>
  <si>
    <t>ORG_UK_ROYALLONDON</t>
  </si>
  <si>
    <t>Royal London</t>
  </si>
  <si>
    <t>Mutual insurer / asset manager</t>
  </si>
  <si>
    <t>ORG_UK_HL</t>
  </si>
  <si>
    <t>Hargreaves Lansdown</t>
  </si>
  <si>
    <t>Investment platform</t>
  </si>
  <si>
    <t>ORG_UK_LLOYDSMKT</t>
  </si>
  <si>
    <t>Lloyd's of London</t>
  </si>
  <si>
    <t>Specialist insurance market</t>
  </si>
  <si>
    <t>Six core two-year graduate programmes: Business, Tax, Internal Audit, Insurance, Actuarial, Technology &amp; Data</t>
  </si>
  <si>
    <t>Each programme is composed of four six-month placements.</t>
  </si>
  <si>
    <t>ORG_UK_AVIVA</t>
  </si>
  <si>
    <t>Aviva</t>
  </si>
  <si>
    <t>Composite insurer</t>
  </si>
  <si>
    <t>ORG_UK_PRUPLC</t>
  </si>
  <si>
    <t>Prudential plc</t>
  </si>
  <si>
    <t>Life insurer</t>
  </si>
  <si>
    <t>Graduate / actuarial</t>
  </si>
  <si>
    <t>Distinct from Prudential Financial in the USA</t>
  </si>
  <si>
    <t>ORG_UK_ADMIRAL</t>
  </si>
  <si>
    <t>Admiral Group</t>
  </si>
  <si>
    <t>Motor insurer</t>
  </si>
  <si>
    <t>ORG_UK_DLG</t>
  </si>
  <si>
    <t>Direct Line Group</t>
  </si>
  <si>
    <t>General insurer</t>
  </si>
  <si>
    <t>ORG_UK_BEAZLEY</t>
  </si>
  <si>
    <t>Beazley</t>
  </si>
  <si>
    <t>Lloyd's market insurer</t>
  </si>
  <si>
    <t>Graduate / underwriting</t>
  </si>
  <si>
    <t>ORG_UK_HISCOX</t>
  </si>
  <si>
    <t>Hiscox</t>
  </si>
  <si>
    <t>ORG_UK_AON</t>
  </si>
  <si>
    <t>Aon UK</t>
  </si>
  <si>
    <t>Insurance broking / risk</t>
  </si>
  <si>
    <t>ORG_UK_WTW</t>
  </si>
  <si>
    <t>WTW</t>
  </si>
  <si>
    <t>Insurance broking / actuarial</t>
  </si>
  <si>
    <t>ORG_UK_MARSH</t>
  </si>
  <si>
    <t>Marsh McLennan UK</t>
  </si>
  <si>
    <t>Insurance broking / consulting</t>
  </si>
  <si>
    <t>ORG_UK_LSEG</t>
  </si>
  <si>
    <t>London Stock Exchange Group</t>
  </si>
  <si>
    <t>Exchange / data (incl. Refinitiv)</t>
  </si>
  <si>
    <t>ORG_UK_BIG4</t>
  </si>
  <si>
    <t>Deloitte / PwC / EY / KPMG (UK firms)</t>
  </si>
  <si>
    <t>Big 4 UK</t>
  </si>
  <si>
    <t>Graduate schemes (audit, tax, consulting, deals) + spring insight weeks</t>
  </si>
  <si>
    <t>Grouped as in the source document; UK firms are among the largest single graduate recruiters in the country</t>
  </si>
  <si>
    <t>ORG_UK_MBB</t>
  </si>
  <si>
    <t>McKinsey / BCG / Bain (London)</t>
  </si>
  <si>
    <t>MBB London</t>
  </si>
  <si>
    <t>Graduate business analyst / associate intake</t>
  </si>
  <si>
    <t>Grouped as in the source document</t>
  </si>
  <si>
    <t>ORG_UK_MIDTIER</t>
  </si>
  <si>
    <t>Grant Thornton / BDO / RSM (UK)</t>
  </si>
  <si>
    <t>Mid-tier accountancy</t>
  </si>
  <si>
    <t>Graduate schemes</t>
  </si>
  <si>
    <t>Grouped</t>
  </si>
  <si>
    <t>E0794</t>
  </si>
  <si>
    <t>E0795</t>
  </si>
  <si>
    <t>E0796</t>
  </si>
  <si>
    <t>E0797</t>
  </si>
  <si>
    <t>E0798</t>
  </si>
  <si>
    <t>E0799</t>
  </si>
  <si>
    <t>E0800</t>
  </si>
  <si>
    <t>E0801</t>
  </si>
  <si>
    <t>E0804</t>
  </si>
  <si>
    <t>E0805</t>
  </si>
  <si>
    <t>E0807</t>
  </si>
  <si>
    <t>Additional UK site for this programme</t>
  </si>
  <si>
    <t>E0808</t>
  </si>
  <si>
    <t>E0809</t>
  </si>
  <si>
    <t>E0811</t>
  </si>
  <si>
    <t>E0812</t>
  </si>
  <si>
    <t>E0813</t>
  </si>
  <si>
    <t>E0814</t>
  </si>
  <si>
    <t>E0816</t>
  </si>
  <si>
    <t>E0817</t>
  </si>
  <si>
    <t>E0819</t>
  </si>
  <si>
    <t>E0820</t>
  </si>
  <si>
    <t>E0821</t>
  </si>
  <si>
    <t>E0822</t>
  </si>
  <si>
    <t>E0823</t>
  </si>
  <si>
    <t>E0824</t>
  </si>
  <si>
    <t>E0826</t>
  </si>
  <si>
    <t>E0827</t>
  </si>
  <si>
    <t>E0828</t>
  </si>
  <si>
    <t>E0829</t>
  </si>
  <si>
    <t>E0831</t>
  </si>
  <si>
    <t>E0832</t>
  </si>
  <si>
    <t>E0834</t>
  </si>
  <si>
    <t>E0835</t>
  </si>
  <si>
    <t>E0837</t>
  </si>
  <si>
    <t>E0838</t>
  </si>
  <si>
    <t>E0840</t>
  </si>
  <si>
    <t>E0841</t>
  </si>
  <si>
    <t>E0843</t>
  </si>
  <si>
    <t>E0844</t>
  </si>
  <si>
    <t>E0846</t>
  </si>
  <si>
    <t>E0847</t>
  </si>
  <si>
    <t>E0849</t>
  </si>
  <si>
    <t>E0850</t>
  </si>
  <si>
    <t>E0852</t>
  </si>
  <si>
    <t>E0853</t>
  </si>
  <si>
    <t>E0855</t>
  </si>
  <si>
    <t>E0856</t>
  </si>
  <si>
    <t>E0858</t>
  </si>
  <si>
    <t>E0859</t>
  </si>
  <si>
    <t>E0861</t>
  </si>
  <si>
    <t>E0862</t>
  </si>
  <si>
    <t>E0864</t>
  </si>
  <si>
    <t>E0865</t>
  </si>
  <si>
    <t>E0867</t>
  </si>
  <si>
    <t>E0868</t>
  </si>
  <si>
    <t>E0870</t>
  </si>
  <si>
    <t>E0871</t>
  </si>
  <si>
    <t>E0873</t>
  </si>
  <si>
    <t>E0874</t>
  </si>
  <si>
    <t>E0876</t>
  </si>
  <si>
    <t>E0877</t>
  </si>
  <si>
    <t>E0879</t>
  </si>
  <si>
    <t>E0880</t>
  </si>
  <si>
    <t>E0882</t>
  </si>
  <si>
    <t>E0883</t>
  </si>
  <si>
    <t>E0885</t>
  </si>
  <si>
    <t>E0886</t>
  </si>
  <si>
    <t>E0888</t>
  </si>
  <si>
    <t>E0889</t>
  </si>
  <si>
    <t>E0891</t>
  </si>
  <si>
    <t>E0892</t>
  </si>
  <si>
    <t>E0894</t>
  </si>
  <si>
    <t>E0895</t>
  </si>
  <si>
    <t>E0897</t>
  </si>
  <si>
    <t>E0898</t>
  </si>
  <si>
    <t>E0900</t>
  </si>
  <si>
    <t>E0901</t>
  </si>
  <si>
    <t>E0903</t>
  </si>
  <si>
    <t>E0904</t>
  </si>
  <si>
    <t>E0906</t>
  </si>
  <si>
    <t>E0907</t>
  </si>
  <si>
    <t>E0909</t>
  </si>
  <si>
    <t>E0910</t>
  </si>
  <si>
    <t>E0912</t>
  </si>
  <si>
    <t>E0913</t>
  </si>
  <si>
    <t>E0915</t>
  </si>
  <si>
    <t>E0916</t>
  </si>
  <si>
    <t>E0918</t>
  </si>
  <si>
    <t>E0919</t>
  </si>
  <si>
    <t>E0921</t>
  </si>
  <si>
    <t>E0922</t>
  </si>
  <si>
    <t>E0924</t>
  </si>
  <si>
    <t>E0925</t>
  </si>
  <si>
    <t>E0927</t>
  </si>
  <si>
    <t>E0928</t>
  </si>
  <si>
    <t>E0930</t>
  </si>
  <si>
    <t>E0931</t>
  </si>
  <si>
    <t>E0933</t>
  </si>
  <si>
    <t>E0934</t>
  </si>
  <si>
    <t>E0936</t>
  </si>
  <si>
    <t>E0937</t>
  </si>
  <si>
    <t>E0939</t>
  </si>
  <si>
    <t>E0940</t>
  </si>
  <si>
    <t>E0942</t>
  </si>
  <si>
    <t>E0943</t>
  </si>
  <si>
    <t>E0945</t>
  </si>
  <si>
    <t>E0946</t>
  </si>
  <si>
    <t>E0948</t>
  </si>
  <si>
    <t>E0949</t>
  </si>
  <si>
    <t>E0951</t>
  </si>
  <si>
    <t>E0952</t>
  </si>
  <si>
    <t>E0954</t>
  </si>
  <si>
    <t>E0955</t>
  </si>
  <si>
    <t>E0956</t>
  </si>
  <si>
    <t>E0957</t>
  </si>
  <si>
    <t>E0958</t>
  </si>
  <si>
    <t>E0959</t>
  </si>
  <si>
    <t>E0961</t>
  </si>
  <si>
    <t>E0962</t>
  </si>
  <si>
    <t>E0964</t>
  </si>
  <si>
    <t>London office - UK graduate/analyst intake</t>
  </si>
  <si>
    <t>E0966</t>
  </si>
  <si>
    <t>E0968</t>
  </si>
  <si>
    <t>E0970</t>
  </si>
  <si>
    <t>E0972</t>
  </si>
  <si>
    <t>E0974</t>
  </si>
  <si>
    <t>E0976</t>
  </si>
  <si>
    <t>E0978</t>
  </si>
  <si>
    <t>E0980</t>
  </si>
  <si>
    <t>E0982</t>
  </si>
  <si>
    <t>E0984</t>
  </si>
  <si>
    <t>E0986</t>
  </si>
  <si>
    <t>E0988</t>
  </si>
  <si>
    <t>E0990</t>
  </si>
  <si>
    <t>E0992</t>
  </si>
  <si>
    <t>E0994</t>
  </si>
  <si>
    <t>E0996</t>
  </si>
  <si>
    <t>E0998</t>
  </si>
  <si>
    <t>E1000</t>
  </si>
  <si>
    <t>E1002</t>
  </si>
  <si>
    <t>E1004</t>
  </si>
  <si>
    <t>E1006</t>
  </si>
  <si>
    <t>E1008</t>
  </si>
  <si>
    <t>E1010</t>
  </si>
  <si>
    <t>E1012</t>
  </si>
  <si>
    <t>E1014</t>
  </si>
  <si>
    <t>E1016</t>
  </si>
  <si>
    <t>E1018</t>
  </si>
  <si>
    <t>E1020</t>
  </si>
  <si>
    <t>E1022</t>
  </si>
  <si>
    <t>London office - UK graduate intake</t>
  </si>
  <si>
    <t>E1024</t>
  </si>
  <si>
    <t>E1026</t>
  </si>
  <si>
    <t>E1028</t>
  </si>
  <si>
    <t>E1030</t>
  </si>
  <si>
    <t>E1032</t>
  </si>
  <si>
    <t>E1034</t>
  </si>
  <si>
    <t>E1036</t>
  </si>
  <si>
    <t>E1038</t>
  </si>
  <si>
    <t>E1040</t>
  </si>
  <si>
    <t>E1042</t>
  </si>
  <si>
    <t>E1044</t>
  </si>
  <si>
    <t>E1046</t>
  </si>
  <si>
    <t>E1048</t>
  </si>
  <si>
    <t>E1050</t>
  </si>
  <si>
    <t>E1055</t>
  </si>
  <si>
    <t>UK group parent of the US entity</t>
  </si>
  <si>
    <t>E1056</t>
  </si>
  <si>
    <t>Deutsche Numis is Deutsche Bank's UK broker/advisory arm</t>
  </si>
  <si>
    <t>E1057</t>
  </si>
  <si>
    <t>E1058</t>
  </si>
  <si>
    <t>Distinct institutions with confusingly similar names - Lloyds Banking Group is a retail bank, Lloyd's of London is an insurance market</t>
  </si>
  <si>
    <t>UK / LONDON DIAGNOSTICS</t>
  </si>
  <si>
    <t>Organisations with a London presence</t>
  </si>
  <si>
    <t>Bank of England opened its 2026 graduate round for Leeds-based roles only. Source: Bank of England Careers, https://www.bankofengland.co.uk/careers/future-talent/graduate-programme</t>
  </si>
  <si>
    <t>REGION 6 — UNITED KINGDOM (added by research, not in the source file)</t>
  </si>
  <si>
    <t>Why it exists</t>
  </si>
  <si>
    <t>The source document treats the UK list as its structural template and excludes it from the five regions it covers. The UK was originally a three-organisation placeholder (GEO_R_OTHER) so that HSBC, Barclays and Standard Chartered had a home base. It is now a full region, GEO_R_UK.</t>
  </si>
  <si>
    <t>Provenance</t>
  </si>
  <si>
    <t>Every UK organisation row carries geo_source = 'research'. Programme detail confirmed on a first-party careers site is marked [C-Official] and the exact URL is attached as a cell note on the programme_name, program_length_months and notes cells. Everything else is [Note] — a plausible UK graduate recruiter whose scheme was not verified in this pass.</t>
  </si>
  <si>
    <t>Confirmed to first-party sources</t>
  </si>
  <si>
    <t>Bank of England (Graduate Development Programme, 24 months to a permanent role, GBP 33,525, 2026 round opened for Leeds only), FCA (two-year rotational scheme with an external secondment, ~10 programme areas), Lloyds Banking Group (schemes across Data Science, Technology Engineering, Finance, Risk, Commercial Banking, Consumer Banking, Actuarial), NatWest Group (Engineering, Finance, Digital Transformation, NatWest Markets), Lloyd's of London (six two-year programmes, four six-month placements).</t>
  </si>
  <si>
    <t>Two UK mechanisms</t>
  </si>
  <si>
    <t>MECH_UK_SPRING is the Spring Week to summer internship to graduate scheme funnel the source contrasts the US against; its lead_time_months of 30 is the longest in the dataset. MECH_UK_SCHEME is direct autumn-to-September entry, used by retail banks, insurers, regulators and professional-services firms.</t>
  </si>
  <si>
    <t>London as a hub</t>
  </si>
  <si>
    <t>GEO_H_LON now carries 87 LOCATED_IN edges — every global bank, quant firm, custodian and data vendor already in the dataset that runs a London graduate intake, plus the UK-domiciled institutions. It is the densest node in the graph and will dominate any force-directed layout; consider collapsing it or weighting it down when rendering.</t>
  </si>
  <si>
    <t>Beware the name collision</t>
  </si>
  <si>
    <t>ORG_UK_LLOYDSBG (Lloyds Banking Group, a retail bank) and ORG_UK_LLOYDSMKT (Lloyd's of London, a specialist insurance market) are unrelated institutions.</t>
  </si>
  <si>
    <t>Intake is still unknown</t>
  </si>
  <si>
    <t>No UK organisation has a published cohort size in this pass, so annual_intake_low/high remain blank for all of them. The Bank of England salary figure is the only hard number the research produced.</t>
  </si>
  <si>
    <t>Grouped UK rows</t>
  </si>
  <si>
    <t>ORG_UK_BIG4, ORG_UK_MBB and ORG_UK_MIDTIER each bundle several firms, matching how the source groups them.</t>
  </si>
  <si>
    <t/>
  </si>
  <si>
    <t>36</t>
  </si>
  <si>
    <t>24</t>
  </si>
  <si>
    <t>12-27</t>
  </si>
  <si>
    <t>12</t>
  </si>
  <si>
    <t>18</t>
  </si>
  <si>
    <t>8-9</t>
  </si>
  <si>
    <t>23</t>
  </si>
  <si>
    <t>12-24</t>
  </si>
  <si>
    <t>Intake estimation assumptions</t>
  </si>
  <si>
    <t>The intake_estimate_central column on Nodes is a FORMULA, not typed numbers. Where the source document gives a cohort size, the documented figure wins. Otherwise the estimate is: size-band base x sector factor x mechanism factor. Retune any cell below and every estimate updates.</t>
  </si>
  <si>
    <t>These are order-of-magnitude judgements, not sourced figures. Treat them as a starting point for weighting the graph, not as data.</t>
  </si>
  <si>
    <t>1. Size-band base (graduates per year)</t>
  </si>
  <si>
    <t>Base</t>
  </si>
  <si>
    <t>2. Sector factor</t>
  </si>
  <si>
    <t>Factor</t>
  </si>
  <si>
    <t>3. Mechanism factor</t>
  </si>
  <si>
    <t>Rationale</t>
  </si>
  <si>
    <t>Internship-to-full-time conversion; cohort sized to the bank</t>
  </si>
  <si>
    <t>Narrow technical track</t>
  </si>
  <si>
    <t>Centralised mass exam - hundreds of seats per bank per year</t>
  </si>
  <si>
    <t>Hire-and-train diplomas run large cohorts</t>
  </si>
  <si>
    <t>Elite-campus analyst intake</t>
  </si>
  <si>
    <t>Quota-influenced autumn cycle; the source notes thousands hired per cycle</t>
  </si>
  <si>
    <t>A single annual trainee cohort is small and highly selective</t>
  </si>
  <si>
    <t>Multiple internship cycles per year</t>
  </si>
  <si>
    <t>Public exam, irregular and not graduate-specific</t>
  </si>
  <si>
    <t>National-hub rotational schemes are mid-sized</t>
  </si>
  <si>
    <t>Spring Week funnel feeding a September analyst class</t>
  </si>
  <si>
    <t>Direct autumn-to-September entry</t>
  </si>
  <si>
    <t>(no mechanism)</t>
  </si>
  <si>
    <t>No confirmed programme - modelled as zero intake</t>
  </si>
  <si>
    <t>intake_estimate_central</t>
  </si>
  <si>
    <t>intake_estimate_basis</t>
  </si>
  <si>
    <t>Est. annual intake</t>
  </si>
  <si>
    <t>Total</t>
  </si>
  <si>
    <t>ESTIMATED ANNUAL INTAKE — HOW IT IS BUILT</t>
  </si>
  <si>
    <t>Column</t>
  </si>
  <si>
    <t>Nodes!intake_estimate_central (S) and intake_estimate_basis (T)</t>
  </si>
  <si>
    <t>Documented rows</t>
  </si>
  <si>
    <t>Where the source gives a cohort size, the estimate is the midpoint of annual_intake_low/high. Five organisations qualify.</t>
  </si>
  <si>
    <t>Modelled rows</t>
  </si>
  <si>
    <t>Everything else = size-band base x sector factor x mechanism factor, all three retunable on the Assumptions sheet.</t>
  </si>
  <si>
    <t>Zero rows</t>
  </si>
  <si>
    <t>Five organisations have no confirmed programme (Inbursa, Grupo Aval, Davivienda, BCI) or have been absorbed (Credit Suisse) and are modelled as zero intake.</t>
  </si>
  <si>
    <t>Health warning</t>
  </si>
  <si>
    <t>Only 5 of 246 figures are sourced. The other 241 are order-of-magnitude judgements. They are fit for sizing nodes in a visualisation; they are NOT fit for quoting as intake statistics.</t>
  </si>
  <si>
    <t>Retuning</t>
  </si>
  <si>
    <t>Change any factor on Assumptions and every estimate plus these totals recalculate.</t>
  </si>
  <si>
    <t>INTAKE ESTIMATE (columns S and T on Nodes)</t>
  </si>
  <si>
    <t>The source document supplies a cohort size for only five organisations, which makes the graph impossible to size by intake. Column S gives every organisation a central estimate so nodes can be scaled; column T records how each figure was arrived at.</t>
  </si>
  <si>
    <t>It is a formula, not typed numbers</t>
  </si>
  <si>
    <t>Every cell in S is a formula. Documented rows take the midpoint of annual_intake_low/high. Everything else is size-band base x sector factor x mechanism factor, with all three grids on the Assumptions sheet. Change a factor there and the whole column plus the Summary totals recalculate.</t>
  </si>
  <si>
    <t>Confidence</t>
  </si>
  <si>
    <t>5 of 246 figures are sourced. The other 241 are order-of-magnitude judgements by Claude and carry no external authority. Use them to size nodes; do not quote them as intake statistics or aggregate them into a headline number you would defend.</t>
  </si>
  <si>
    <t>Zeros are meaningful here</t>
  </si>
  <si>
    <t>Unlike annual_intake_low/high, where blank means unknown, a zero in column S means 'no confirmed programme' or 'absorbed' - five organisations. Blank in column S means the row is not an organisation.</t>
  </si>
  <si>
    <t>Current shape</t>
  </si>
  <si>
    <t>Total modelled intake is about 52,500 a year: China 17,460, USA 10,579, Continental Europe 8,187, United Kingdom 7,268, India 5,837, Latin America 3,183. China dominates because the source describes its Big Four bank intake as quota-driven and in the thousands.</t>
  </si>
  <si>
    <t>First thing to retune</t>
  </si>
  <si>
    <t>The mechanism factors. MECH_CN_CYCLE at 3.0 and MECH_BR_TRAINEE at 0.25 are doing most of the work in the regional spread, and both are judgement calls rather than sourced ratios.</t>
  </si>
  <si>
    <t>Documented in source - midpoint of annual_intake_low/high</t>
  </si>
  <si>
    <t>Only where the source gives a cohort size (5 organisations)</t>
  </si>
  <si>
    <t>No confirmed programme - modelled as zero</t>
  </si>
  <si>
    <t>Organisation has no confirmed graduate scheme, or has been absorbed</t>
  </si>
  <si>
    <t>&lt;band&gt; base x &lt;n&gt; sector x &lt;n&gt; mechanism</t>
  </si>
  <si>
    <t>Modelled estimate; the three factors are retunable on the Assumptions sheet</t>
  </si>
  <si>
    <t>Whole number, or blank for non-organisation rows</t>
  </si>
  <si>
    <t>Zero means no programme, NOT unknown</t>
  </si>
  <si>
    <t>Mechanism (removed at user request)</t>
  </si>
  <si>
    <t>RECRUITS_VIA (removed with mechanism nodes)</t>
  </si>
  <si>
    <t>MECHANISM_OF (removed with mechanism nodes)</t>
  </si>
  <si>
    <t>UK-domiciled orgs whose primary mechanism is the Spring Week pipeline</t>
  </si>
  <si>
    <t>UK-domiciled orgs whose primary mechanism is direct autumn entry</t>
  </si>
  <si>
    <t>CHANGE LOG — MECHANISM NODES REMOVED</t>
  </si>
  <si>
    <t>What was removed</t>
  </si>
  <si>
    <t>The 12 Mechanism nodes and the 324 edges that pointed at them (312 RECRUITS_VIA, 12 MECHANISM_OF), at the user's request. Node count 354 to 342; edge count 1,058 to 734.</t>
  </si>
  <si>
    <t>What survives</t>
  </si>
  <si>
    <t>Each organisation still names its channel in entry_mechanism_id (column I) as a plain text label, e.g. MECH_UK_SPRING. The intake estimate is unaffected: it looks the mechanism factor up on the Assumptions sheet by that text, not via the graph.</t>
  </si>
  <si>
    <t>What was lost</t>
  </si>
  <si>
    <t>cycle_timing (column L) and lead_time_months (column M) existed only on the mechanism rows and are now empty for every row. The source document's Stage 3 recommendation - model entry mechanism as an edge property with a lead-time parameter - can no longer be satisfied from this workbook. The reference values were: UK Spring Week 30 months, USA internship conversion 24, actuarial 24, India PGDBF 12, LatAm concurso 12, UK direct entry 12, India GCC 9, China cycle 9, Europe rotational 9, India exam 6, Brazil trainee 6, LatAm estagio 6.</t>
  </si>
  <si>
    <t>Also changed</t>
  </si>
  <si>
    <t>Summary rows 67 and 68 previously counted London RECRUITS_VIA edges, which included multinationals' London intakes (45 and 51). They now count UK-domiciled organisations by their primary mechanism (16 and 36). The multinational London-pipeline counts are no longer derivable.</t>
  </si>
  <si>
    <t>TalentPool (removed at user request)</t>
  </si>
  <si>
    <t>RECRUITS_FROM (removed with talent pools)</t>
  </si>
  <si>
    <t>PARTNERS_WITH (removed with talent pools)</t>
  </si>
  <si>
    <t>RECRUITS_VIA_INTERMEDIARY (removed with talent pools)</t>
  </si>
  <si>
    <t>CHANGE LOG — TALENT POOL NODES REMOVED</t>
  </si>
  <si>
    <t>The 5 TalentPool nodes and the 55 edges attached to them (46 RECRUITS_FROM, 5 PART_OF, 3 PARTNERS_WITH, 1 RECRUITS_VIA_INTERMEDIARY), at the user's request. Node count 342 to 337; edge count 734 to 679.</t>
  </si>
  <si>
    <t>The supply side of the graph. The workbook no longer records where graduates are sourced from: the IIM/IIT elite-campus channel feeding 12 India GCCs, the Chinese-language 校园招聘 portal channel feeding 34 Chinese firms, Manipal Global / NIIT University as the hire-train academy partner behind the HDFC and Axis PGDBF diplomas, Cia de Talentos as BBVA Mexico's recruitment intermediary, and SENA as the training system behind Davivienda's Nativos scheme. Three edge types (RECRUITS_FROM, PARTNERS_WITH, RECRUITS_VIA_INTERMEDIARY) no longer occur anywhere.</t>
  </si>
  <si>
    <t>Nothing depends on these nodes computationally - intake estimates, integrity checks and all remaining counts are unaffected. The graph is now purely organisations, geography and sectors.</t>
  </si>
  <si>
    <t>ABSORBED_BY (removed with Credit Suisse)</t>
  </si>
  <si>
    <t>CHANGE LOG — CREDIT SUISSE REMOVED</t>
  </si>
  <si>
    <t>ORG_CS and its 3 edges (LOCATED_IN Zurich, IN_SECTOR bulge bracket, ABSORBED_BY ORG_UBS), at the user's request. Node count 337 to 336; edge count 679 to 676. ABSORBED_BY was the only edge of its type, so that edge type no longer occurs.</t>
  </si>
  <si>
    <t>This departs from the source document, which recommended keeping the node and redirecting its edges to UBS so knowledge-transfer continuity was preserved. The 2023 acquisition is now recorded nowhere in the graph. Documented-intake coverage drops from 5 organisations to 4, since Credit Suisse carried an explicit zero.</t>
  </si>
  <si>
    <t>{</t>
  </si>
  <si>
    <t xml:space="preserve">  "nodes": [</t>
  </si>
  <si>
    <t xml:space="preserve">  ],</t>
  </si>
  <si>
    <t xml:space="preserve">  "edges": [</t>
  </si>
  <si>
    <t xml:space="preserve">  ]</t>
  </si>
  <si>
    <t>}</t>
  </si>
  <si>
    <t xml:space="preserve">    {"node_id":"GEO_R_USA","label":"USA","node_type":"Region","region":"USA","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Source region"},</t>
  </si>
  <si>
    <t xml:space="preserve">    {"node_id":"GEO_R_INDIA","label":"India","node_type":"Region","region":"India","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Source region"},</t>
  </si>
  <si>
    <t xml:space="preserve">    {"node_id":"GEO_R_CHINA","label":"China","node_type":"Region","region":"China","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Source region"},</t>
  </si>
  <si>
    <t xml:space="preserve">    {"node_id":"GEO_R_LATAM","label":"Latin America","node_type":"Region","region":"Latin America","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Source region"},</t>
  </si>
  <si>
    <t xml:space="preserve">    {"node_id":"GEO_R_EUROPE","label":"Continental Europe","node_type":"Region","region":"Continental Europe","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Source region"},</t>
  </si>
  <si>
    <t xml:space="preserve">    {"node_id":"GEO_R_UK","label":"United Kingdom","node_type":"Region","region":"United Kingdom","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Source region 6 - added by research, not present in the source document (the source covers five regions and treats the UK list as its structural template only)"},</t>
  </si>
  <si>
    <t xml:space="preserve">    {"node_id":"GEO_C_US","label":"United States","node_type":"Country","region":"USA","country":"United States","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</si>
  <si>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IN","label":"India","node_type":"Country","region":"India","country":"India","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</si>
  <si>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CN","label":"China","node_type":"Country","region":"China","country":"China","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</si>
  <si>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{"node_id":"GEO_C_BR","label":"Brazil","node_type":"Country","region":"Latin America","country":"Brazi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</si>
  <si>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{"node_id":"GEO_C_MX","label":"Mexico","node_type":"Country","region":"Latin America","country":"Mexico","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</si>
  <si>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{"node_id":"GEO_C_CO","label":"Colombia","node_type":"Country","region":"Latin America","country":"Colombia","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</si>
  <si>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{"node_id":"GEO_C_CL","label":"Chile","node_type":"Country","region":"Latin America","country":"Chile","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</si>
  <si>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{"node_id":"GEO_C_PE","label":"Peru","node_type":"Country","region":"Latin America","country":"Peru","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</si>
  <si>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{"node_id":"GEO_C_AR","label":"Argentina","node_type":"Country","region":"Latin America","country":"Argentina","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</si>
  <si>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{"node_id":"GEO_C_DE","label":"Germany","node_type":"Country","region":"Continental Europe","country":"Germany","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</si>
  <si>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{"node_id":"GEO_C_FR","label":"France","node_type":"Country","region":"Continental Europe","country":"France","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</si>
  <si>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{"node_id":"GEO_C_CH","label":"Switzerland","node_type":"Country","region":"Continental Europe","country":"Switzerland","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</si>
  <si>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{"node_id":"GEO_C_NL","label":"Netherlands","node_type":"Country","region":"Continental Europe","country":"Netherlands","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</si>
  <si>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{"node_id":"GEO_C_ES","label":"Spain","node_type":"Country","region":"Continental Europe","country":"Spain","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</si>
  <si>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{"node_id":"GEO_C_IT","label":"Italy","node_type":"Country","region":"Continental Europe","country":"Italy","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</si>
  <si>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{"node_id":"GEO_C_SE","label":"Sweden","node_type":"Country","region":"Continental Europe","country":"Sweden","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</si>
  <si>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{"node_id":"GEO_C_DK","label":"Denmark","node_type":"Country","region":"Continental Europe","country":"Denmark","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</si>
  <si>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{"node_id":"GEO_C_NO","label":"Norway","node_type":"Country","region":"Continental Europe","country":"Norway","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</si>
  <si>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{"node_id":"GEO_C_FI","label":"Finland","node_type":"Country","region":"Continental Europe","country":"Finland","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</si>
  <si>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{"node_id":"GEO_C_IE","label":"Ireland","node_type":"Country","region":"Continental Europe","country":"Ireland","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</si>
  <si>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{"node_id":"GEO_C_LU","label":"Luxembourg","node_type":"Country","region":"Continental Europe","country":"Luxembourg","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</si>
  <si>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{"node_id":"GEO_C_UK","label":"United Kingdom","node_type":"Country","region":"United Kingdom","country":"United Kingdom","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Promoted from out-of-scope placeholder to a full region"},</t>
  </si>
  <si>
    <t xml:space="preserve">    {"node_id":"GEO_H_NYC","label":"New York","node_type":"Hub","region":"USA","country":"United States","hub_city":"New York","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</si>
  <si>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{"node_id":"GEO_H_CHI","label":"Chicago","node_type":"Hub","region":"USA","country":"United States","hub_city":"Chicago","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</si>
  <si>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{"node_id":"GEO_H_BOS","label":"Boston","node_type":"Hub","region":"USA","country":"United States","hub_city":"Boston","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</si>
  <si>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{"node_id":"GEO_H_CLT","label":"Charlotte","node_type":"Hub","region":"USA","country":"United States","hub_city":"Charlotte","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</si>
  <si>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{"node_id":"GEO_H_SFO","label":"San Francisco Bay Area","node_type":"Hub","region":"USA","country":"United States","hub_city":"San Francisco Bay Area","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</si>
  <si>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{"node_id":"GEO_H_MIA","label":"Miami","node_type":"Hub","region":"USA","country":"United States","hub_city":"Miami","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</si>
  <si>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{"node_id":"GEO_H_LAX","label":"Los Angeles","node_type":"Hub","region":"USA","country":"United States","hub_city":"Los Angeles","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</si>
  <si>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{"node_id":"GEO_H_PHL","label":"Philadelphia area","node_type":"Hub","region":"USA","country":"United States","hub_city":"Philadelphia area","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</si>
  <si>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{"node_id":"GEO_H_USOTH","label":"Other US metro","node_type":"Hub","region":"USA","country":"United States","hub_city":"Other US metro","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</si>
  <si>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MUM","label":"Mumbai","node_type":"Hub","region":"India","country":"India","hub_city":"Mumbai","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</si>
  <si>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BLR","label":"Bengaluru","node_type":"Hub","region":"India","country":"India","hub_city":"Bengaluru","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</si>
  <si>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HYD","label":"Hyderabad","node_type":"Hub","region":"India","country":"India","hub_city":"Hyderabad","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</si>
  <si>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{"node_id":"GEO_H_INOTH","label":"Other India","node_type":"Hub","region":"India","country":"India","hub_city":"Other India","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</si>
  <si>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BEI","label":"Beijing","node_type":"Hub","region":"China","country":"China","hub_city":"Beijing","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</si>
  <si>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SHA","label":"Shanghai","node_type":"Hub","region":"China","country":"China","hub_city":"Shanghai","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</si>
  <si>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SZX","label":"Shenzhen","node_type":"Hub","region":"China","country":"China","hub_city":"Shenzhen","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</si>
  <si>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HGH","label":"Hangzhou","node_type":"Hub","region":"China","country":"China","hub_city":"Hangzhou","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</si>
  <si>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{"node_id":"GEO_H_CNOTH","label":"Other China","node_type":"Hub","region":"China","country":"China","hub_city":"Other China","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</si>
  <si>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{"node_id":"GEO_H_SAO","label":"São Paulo","node_type":"Hub","region":"Latin America","country":"Brazil","hub_city":"São Paulo","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</si>
  <si>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{"node_id":"GEO_H_MEX","label":"Mexico City","node_type":"Hub","region":"Latin America","country":"Mexico","hub_city":"Mexico City","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</si>
  <si>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{"node_id":"GEO_H_BOG","label":"Bogotá","node_type":"Hub","region":"Latin America","country":"Colombia","hub_city":"Bogotá","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</si>
  <si>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{"node_id":"GEO_H_MDE","label":"Medellín","node_type":"Hub","region":"Latin America","country":"Colombia","hub_city":"Medellín","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</si>
  <si>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{"node_id":"GEO_H_SCL","label":"Santiago","node_type":"Hub","region":"Latin America","country":"Chile","hub_city":"Santiago","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</si>
  <si>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{"node_id":"GEO_H_LIM","label":"Lima","node_type":"Hub","region":"Latin America","country":"Peru","hub_city":"Lima","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</si>
  <si>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{"node_id":"GEO_H_BUE","label":"Buenos Aires","node_type":"Hub","region":"Latin America","country":"Argentina","hub_city":"Buenos Aires","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</si>
  <si>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{"node_id":"GEO_H_FRA","label":"Frankfurt","node_type":"Hub","region":"Continental Europe","country":"Germany","hub_city":"Frankfurt","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</si>
  <si>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{"node_id":"GEO_H_MUC","label":"Munich","node_type":"Hub","region":"Continental Europe","country":"Germany","hub_city":"Munich","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</si>
  <si>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{"node_id":"GEO_H_PAR","label":"Paris","node_type":"Hub","region":"Continental Europe","country":"France","hub_city":"Paris","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</si>
  <si>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{"node_id":"GEO_H_ZRH","label":"Zurich","node_type":"Hub","region":"Continental Europe","country":"Switzerland","hub_city":"Zurich","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</si>
  <si>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{"node_id":"GEO_H_GVA","label":"Geneva","node_type":"Hub","region":"Continental Europe","country":"Switzerland","hub_city":"Geneva","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</si>
  <si>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{"node_id":"GEO_H_AMS","label":"Amsterdam","node_type":"Hub","region":"Continental Europe","country":"Netherlands","hub_city":"Amsterdam","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</si>
  <si>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{"node_id":"GEO_H_MAD","label":"Madrid","node_type":"Hub","region":"Continental Europe","country":"Spain","hub_city":"Madrid","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</si>
  <si>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{"node_id":"GEO_H_MIL","label":"Milan","node_type":"Hub","region":"Continental Europe","country":"Italy","hub_city":"Milan","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</si>
  <si>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{"node_id":"GEO_H_TRS","label":"Trieste","node_type":"Hub","region":"Continental Europe","country":"Italy","hub_city":"Trieste","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</si>
  <si>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{"node_id":"GEO_H_STO","label":"Stockholm","node_type":"Hub","region":"Continental Europe","country":"Sweden","hub_city":"Stockholm","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</si>
  <si>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{"node_id":"GEO_H_CPH","label":"Copenhagen","node_type":"Hub","region":"Continental Europe","country":"Denmark","hub_city":"Copenhagen","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</si>
  <si>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{"node_id":"GEO_H_OSL","label":"Oslo","node_type":"Hub","region":"Continental Europe","country":"Norway","hub_city":"Oslo","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</si>
  <si>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{"node_id":"GEO_H_HEL","label":"Helsinki","node_type":"Hub","region":"Continental Europe","country":"Finland","hub_city":"Helsinki","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</si>
  <si>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{"node_id":"GEO_H_DUB","label":"Dublin","node_type":"Hub","region":"Continental Europe","country":"Ireland","hub_city":"Dublin","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</si>
  <si>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{"node_id":"GEO_H_LUX","label":"Luxembourg City","node_type":"Hub","region":"Continental Europe","country":"Luxembourg","hub_city":"Luxembourg City","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</si>
  <si>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{"node_id":"GEO_H_LON","label":"London","node_type":"Hub","region":"United Kingdom","country":"United Kingdom","hub_city":"London","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null},</t>
  </si>
  <si>
    <t xml:space="preserve">    {"node_id":"SEC_IB_BB","label":"Investment Banking - Bulge Bracket","node_type":"Sector","region":null,"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</si>
  <si>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{"node_id":"SEC_IB_EB","label":"Investment Banking - Elite Boutique / Independent Advisory","node_type":"Sector","region":null,"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</si>
  <si>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{"node_id":"SEC_QUANT","label":"Proprietary Trading / Quant","node_type":"Sector","region":null,"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</si>
  <si>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{"node_id":"SEC_COMM","label":"Commercial / Retail Banking","node_type":"Sector","region":null,"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</si>
  <si>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{"node_id":"SEC_CUST","label":"Custodian / Asset Servicing / Fund Administration","node_type":"Sector","region":null,"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</si>
  <si>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{"node_id":"SEC_AM","label":"Investment / Asset Management","node_type":"Sector","region":null,"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</si>
  <si>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SEC_INS","label":"Insurance","node_type":"Sector","region":null,"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</si>
  <si>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{"node_id":"SEC_DATA","label":"Ratings Agencies &amp; Financial Data","node_type":"Sector","region":null,"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</si>
  <si>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{"node_id":"SEC_CONS","label":"Consulting / Professional Services","node_type":"Sector","region":null,"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</si>
  <si>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{"node_id":"SEC_FINTECH","label":"Fintech / Tech-Finance","node_type":"Sector","region":null,"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</si>
  <si>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{"node_id":"SEC_POLICY","label":"Policy / Development Bank","node_type":"Sector","region":null,"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</si>
  <si>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{"node_id":"SEC_CB","label":"Central Bank / Supervisor","node_type":"Sector","region":null,"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</si>
  <si>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{"node_id":"SEC_SEC","label":"Securities / Brokerage","node_type":"Sector","region":null,"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</si>
  <si>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{"node_id":"SEC_NBFC","label":"NBFC / Diversified Financial","node_type":"Sector","region":null,"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</si>
  <si>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{"node_id":"ORG_GS","label":"Goldman Sachs","node_type":"Organisation","region":"USA","country":"United States","hub_city":"New York","sector":"Investment Banking - Bulge Bracket","subsector_tier":"Tier 1 Bulge Bracket","entry_mechanism_id":"MECH_US_CONV","program_name":"Summer Analyst / New Analyst","program_length_months":null,"org_size_band":"Large","size_basis":"inferred - coarse band, verify","annual_intake_low":null,"annual_intake_high":null,"applications_per_cycle":null,"intake_estimate_central":240,"intake_estimate_basis":"Large base x 2.0 sector x 1.0 mechanism","confirmation_status":"[C-Official]","data_confidence":"High","geo_source":"inferred","notes":null},</t>
  </si>
  <si>
    <t xml:space="preserve">    {"node_id":"ORG_MS","label":"Morgan Stanley","node_type":"Organisation","region":"USA","country":"United States","hub_city":"New York","sector":"Investment Banking - Bulge Bracket","subsector_tier":"Tier 1 Bulge Bracket","entry_mechanism_id":"MECH_US_CONV","program_name":"Summer Analyst","program_length_months":null,"org_size_band":"Large","size_basis":"inferred - coarse band, verify","annual_intake_low":null,"annual_intake_high":null,"applications_per_cycle":null,"intake_estimate_central":240,"intake_estimate_basis":"Large base x 2.0 sector x 1.0 mechanism","confirmation_status":"[C-Official]","data_confidence":"High","geo_source":"inferred","notes":null},</t>
  </si>
  <si>
    <t xml:space="preserve">    {"node_id":"ORG_JPM","label":"JPMorgan","node_type":"Organisation","region":"USA","country":"United States","hub_city":"New York","sector":"Investment Banking - Bulge Bracket","subsector_tier":"Tier 1 Bulge Bracket","entry_mechanism_id":"MECH_US_CONV","program_name":"Corporate &amp; Investment Bank Analyst","program_length_months":null,"org_size_band":"Mega","size_basis":"inferred - coarse band, verify","annual_intake_low":null,"annual_intake_high":null,"applications_per_cycle":null,"intake_estimate_central":800,"intake_estimate_basis":"Mega base x 2.0 sector x 1.0 mechanism","confirmation_status":"[C-Official]","data_confidence":"High","geo_source":"inferred","notes":null},</t>
  </si>
  <si>
    <t xml:space="preserve">    {"node_id":"ORG_BAC","label":"Bank of America","node_type":"Organisation","region":"USA","country":"United States","hub_city":"Charlotte","sector":"Investment Banking - Bulge Bracket","subsector_tier":"Tier 1 Bulge Bracket","entry_mechanism_id":"MECH_US_CONV","program_name":"Global Banking &amp; Markets Analyst","program_length_months":null,"org_size_band":"Mega","size_basis":"inferred - coarse band, verify","annual_intake_low":null,"annual_intake_high":null,"applications_per_cycle":null,"intake_estimate_central":800,"intake_estimate_basis":"Mega base x 2.0 sector x 1.0 mechanism","confirmation_status":"[C-Press]","data_confidence":"Medium","geo_source":"inferred","notes":null},</t>
  </si>
  <si>
    <t xml:space="preserve">    {"node_id":"ORG_CITI","label":"Citigroup","node_type":"Organisation","region":"USA","country":"United States","hub_city":"New York","sector":"Investment Banking - Bulge Bracket","subsector_tier":"Tier 1 Bulge Bracket","entry_mechanism_id":"MECH_US_CONV","program_name":"Markets / Banking Full-Time Analyst","program_length_months":null,"org_size_band":"Mega","size_basis":"inferred - coarse band, verify","annual_intake_low":null,"annual_intake_high":null,"applications_per_cycle":null,"intake_estimate_central":800,"intake_estimate_basis":"Mega base x 2.0 sector x 1.0 mechanism","confirmation_status":"[C-Official]","data_confidence":"High","geo_source":"inferred","notes":null},</t>
  </si>
  <si>
    <t xml:space="preserve">    {"node_id":"ORG_WFC","label":"Wells Fargo","node_type":"Organisation","region":"USA","country":"United States","hub_city":"San Francisco Bay Area","sector":"Investment Banking - Bulge Bracket","subsector_tier":"Tier 1 Bulge Bracket","entry_mechanism_id":"MECH_US_CONV","program_name":"Analyst Program","program_length_months":null,"org_size_band":"Mega","size_basis":"inferred - coarse band, verify","annual_intake_low":null,"annual_intake_high":null,"applications_per_cycle":null,"intake_estimate_central":800,"intake_estimate_basis":"Mega base x 2.0 sector x 1.0 mechanism","confirmation_status":"[Note]","data_confidence":"Low","geo_source":"inferred","notes":null},</t>
  </si>
  <si>
    <t xml:space="preserve">    {"node_id":"ORG_EVR","label":"Evercore","node_type":"Organisation","region":"USA","country":"United States","hub_city":"New York","sector":"Investment Banking - Elite Boutique / Independent Advisory","subsector_tier":"Tier 1 prestige boutique","entry_mechanism_id":"MECH_US_CONV","program_name":"Analyst (First Round + Superday)","program_length_months":null,"org_size_band":"Boutique","size_basis":"inferred - coarse band, verify","annual_intake_low":80,"annual_intake_high":100,"applications_per_cycle":null,"intake_estimate_central":90,"intake_estimate_basis":"Documented in source - midpoint of annual_intake_low/high","confirmation_status":"[C-Press]","data_confidence":"Medium","geo_source":"inferred","notes":"Largest independent IB by revenue; acceptance rate cited below 1%. Cohort size from career-advice sources - indicative only."},</t>
  </si>
  <si>
    <t xml:space="preserve">    {"node_id":"ORG_CVP","label":"Centerview Partners","node_type":"Organisation","region":"USA","country":"United States","hub_city":"New York","sector":"Investment Banking - Elite Boutique / Independent Advisory","subsector_tier":"Tier 1 prestige boutique","entry_mechanism_id":"MECH_US_CONV","program_name":"3-year Analyst track","program_length_months":"36","org_size_band":"Boutique","size_basis":"inferred - coarse band, verify","annual_intake_low":null,"annual_intake_high":null,"applications_per_cycle":null,"intake_estimate_central":6,"intake_estimate_basis":"Boutique base x 0.8 sector x 1.0 mechanism","confirmation_status":"[C-Press]","data_confidence":"Medium","geo_source":"inferred","notes":null},</t>
  </si>
  <si>
    <t xml:space="preserve">    {"node_id":"ORG_LAZ","label":"Lazard","node_type":"Organisation","region":"USA","country":"United States","hub_city":"New York","sector":"Investment Banking - Elite Boutique / Independent Advisory","subsector_tier":"Tier 1 prestige boutique","entry_mechanism_id":"MECH_US_CONV","program_name":"Analyst","program_length_months":null,"org_size_band":"Mid","size_basis":"inferred - coarse band, verify","annual_intake_low":null,"annual_intake_high":null,"applications_per_cycle":null,"intake_estimate_central":24,"intake_estimate_basis":"Mid base x 0.8 sector x 1.0 mechanism","confirmation_status":"[C-Press]","data_confidence":"Medium","geo_source":"inferred","notes":null},</t>
  </si>
  <si>
    <t xml:space="preserve">    {"node_id":"ORG_MC","label":"Moelis &amp; Company","node_type":"Organisation","region":"USA","country":"United States","hub_city":"New York","sector":"Investment Banking - Elite Boutique / Independent Advisory","subsector_tier":"Tier 1 prestige boutique","entry_mechanism_id":"MECH_US_CONV","program_name":"Analyst","program_length_months":null,"org_size_band":"Boutique","size_basis":"inferred - coarse band, verify","annual_intake_low":null,"annual_intake_high":null,"applications_per_cycle":null,"intake_estimate_central":6,"intake_estimate_basis":"Boutique base x 0.8 sector x 1.0 mechanism","confirmation_status":"[C-Press]","data_confidence":"Medium","geo_source":"inferred","notes":null},</t>
  </si>
  <si>
    <t xml:space="preserve">    {"node_id":"ORG_PJT","label":"PJT Partners","node_type":"Organisation","region":"USA","country":"United States","hub_city":"New York","sector":"Investment Banking - Elite Boutique / Independent Advisory","subsector_tier":"Tier 1 prestige boutique","entry_mechanism_id":"MECH_US_CONV","program_name":"Summer Internship Program","program_length_months":null,"org_size_band":"Boutique","size_basis":"inferred - coarse band, verify","annual_intake_low":null,"annual_intake_high":null,"applications_per_cycle":null,"intake_estimate_central":6,"intake_estimate_basis":"Boutique base x 0.8 sector x 1.0 mechanism","confirmation_status":"[C-Official]","data_confidence":"High","geo_source":"inferred","notes":null},</t>
  </si>
  <si>
    <t xml:space="preserve">    {"node_id":"ORG_PWP","label":"Perella Weinberg Partners","node_type":"Organisation","region":"USA","country":"United States","hub_city":"New York","sector":"Investment Banking - Elite Boutique / Independent Advisory","subsector_tier":"Tier 1 prestige boutique","entry_mechanism_id":"MECH_US_CONV","program_name":"Analyst","program_length_months":null,"org_size_band":"Boutique","size_basis":"inferred - coarse band, verify","annual_intake_low":null,"annual_intake_high":null,"applications_per_cycle":null,"intake_estimate_central":6,"intake_estimate_basis":"Boutique base x 0.8 sector x 1.0 mechanism","confirmation_status":"[C-Press]","data_confidence":"Medium","geo_source":"inferred","notes":null},</t>
  </si>
  <si>
    <t xml:space="preserve">    {"node_id":"ORG_HLI","label":"Houlihan Lokey","node_type":"Organisation","region":"USA","country":"United States","hub_city":"Los Angeles","sector":"Investment Banking - Elite Boutique / Independent Advisory","subsector_tier":"Restructuring leader","entry_mechanism_id":"MECH_US_CONV","program_name":"Early Careers / Financial Analyst","program_length_months":null,"org_size_band":"Mid","size_basis":"inferred - coarse band, verify","annual_intake_low":null,"annual_intake_high":null,"applications_per_cycle":null,"intake_estimate_central":24,"intake_estimate_basis":"Mid base x 0.8 sector x 1.0 mechanism","confirmation_status":"[C-Official]","data_confidence":"High","geo_source":"inferred","notes":null},</t>
  </si>
  <si>
    <t xml:space="preserve">    {"node_id":"ORG_GUGG","label":"Guggenheim Securities","node_type":"Organisation","region":"USA","country":"United States","hub_city":"New York","sector":"Investment Banking - Elite Boutique / Independent Advisory","subsector_tier":"Boutique","entry_mechanism_id":"MECH_US_CONV","program_name":"Analyst","program_length_months":null,"org_size_band":"Boutique","size_basis":"inferred - coarse band, verify","annual_intake_low":null,"annual_intake_high":null,"applications_per_cycle":null,"intake_estimate_central":6,"intake_estimate_basis":"Boutique base x 0.8 sector x 1.0 mechanism","confirmation_status":"[C-Press]","data_confidence":"Medium","geo_source":"inferred","notes":null},</t>
  </si>
  <si>
    <t xml:space="preserve">    {"node_id":"ORG_QTLY","label":"Qatalyst Partners","node_type":"Organisation","region":"USA","country":"United States","hub_city":"San Francisco Bay Area","sector":"Investment Banking - Elite Boutique / Independent Advisory","subsector_tier":"Tech M&amp;A micro-boutique","entry_mechanism_id":"MECH_US_CONV","program_name":"Analyst","program_length_months":null,"org_size_band":"Boutique","size_basis":"inferred - coarse band, verify","annual_intake_low":null,"annual_intake_high":null,"applications_per_cycle":null,"intake_estimate_central":6,"intake_estimate_basis":"Boutique base x 0.8 sector x 1.0 mechanism","confirmation_status":"[Note]","data_confidence":"Low","geo_source":"inferred","notes":null},</t>
  </si>
  <si>
    <t xml:space="preserve">    {"node_id":"ORG_ROTH_US","label":"Rothschild &amp; Co (US)","node_type":"Organisation","region":"USA","country":"United States","hub_city":"New York","sector":"Investment Banking - Elite Boutique / Independent Advisory","subsector_tier":"Boutique","entry_mechanism_id":"MECH_US_CONV","program_name":"Analyst","program_length_months":null,"org_size_band":"Mid","size_basis":"inferred - coarse band, verify","annual_intake_low":null,"annual_intake_high":null,"applications_per_cycle":null,"intake_estimate_central":24,"intake_estimate_basis":"Mid base x 0.8 sector x 1.0 mechanism","confirmation_status":"[C-Press]","data_confidence":"Medium","geo_source":"inferred","notes":null},</t>
  </si>
  <si>
    <t xml:space="preserve">    {"node_id":"ORG_WB","label":"William Blair","node_type":"Organisation","region":"USA","country":"United States","hub_city":"Chicago","sector":"Investment Banking - Elite Boutique / Independent Advisory","subsector_tier":"Middle-market","entry_mechanism_id":"MECH_US_CONV","program_name":"Analyst","program_length_months":null,"org_size_band":"Mid","size_basis":"inferred - coarse band, verify","annual_intake_low":null,"annual_intake_high":null,"applications_per_cycle":null,"intake_estimate_central":24,"intake_estimate_basis":"Mid base x 0.8 sector x 1.0 mechanism","confirmation_status":"[C-Press]","data_confidence":"Medium","geo_source":"inferred","notes":null},</t>
  </si>
  <si>
    <t xml:space="preserve">    {"node_id":"ORG_RWB","label":"Robert W. Baird","node_type":"Organisation","region":"USA","country":"United States","hub_city":"Other US metro","sector":"Investment Banking - Elite Boutique / Independent Advisory","subsector_tier":"Middle-market","entry_mechanism_id":"MECH_US_CONV","program_name":"Analyst","program_length_months":null,"org_size_band":"Mid","size_basis":"inferred - coarse band, verify","annual_intake_low":null,"annual_intake_high":null,"applications_per_cycle":null,"intake_estimate_central":24,"intake_estimate_basis":"Mid base x 0.8 sector x 1.0 mechanism","confirmation_status":"[C-Press]","data_confidence":"Medium","geo_source":"inferred","notes":null},</t>
  </si>
  <si>
    <t xml:space="preserve">    {"node_id":"ORG_JEF","label":"Jefferies","node_type":"Organisation","region":"USA","country":"United States","hub_city":"New York","sector":"Investment Banking - Elite Boutique / Independent Advisory","subsector_tier":"Middle-market / full-service","entry_mechanism_id":"MECH_US_CONV","program_name":"Analyst","program_length_months":null,"org_size_band":"Mid","size_basis":"inferred - coarse band, verify","annual_intake_low":null,"annual_intake_high":null,"applications_per_cycle":null,"intake_estimate_central":24,"intake_estimate_basis":"Mid base x 0.8 sector x 1.0 mechanism","confirmation_status":"[C-Press]","data_confidence":"Medium","geo_source":"inferred","notes":null},</t>
  </si>
  <si>
    <t xml:space="preserve">    {"node_id":"ORG_JS","label":"Jane Street","node_type":"Organisation","region":"USA","country":"United States","hub_city":"New York","sector":"Proprietary Trading / Quant","subsector_tier":"Quant / prop","entry_mechanism_id":"MECH_US_CONV","program_name":"New-grad + intern roles","program_length_months":null,"org_size_band":"Mid","size_basis":"inferred - coarse band, verify","annual_intake_low":null,"annual_intake_high":null,"applications_per_cycle":null,"intake_estimate_central":60,"intake_estimate_basis":"Mid base x 2.0 sector x 1.0 mechanism","confirmation_status":"[C-Official]","data_confidence":"High","geo_source":"inferred","notes":null},</t>
  </si>
  <si>
    <t xml:space="preserve">    {"node_id":"ORG_CITSEC","label":"Citadel Securities","node_type":"Organisation","region":"USA","country":"United States","hub_city":"Miami","sector":"Proprietary Trading / Quant","subsector_tier":"Quant / prop","entry_mechanism_id":"MECH_US_CONV","program_name":"Intern / new-grad","program_length_months":null,"org_size_band":"Mid","size_basis":"inferred - coarse band, verify","annual_intake_low":null,"annual_intake_high":300,"applications_per_cycle":108000,"intake_estimate_central":300,"intake_estimate_basis":"Documented in source - midpoint of annual_intake_low/high","confirmation_status":"[C-Press]","data_confidence":"Medium","geo_source":"inferred","notes":"~0.4% intern acceptance (2025 cycle): &gt;108,000 applications, fewer than 300 interns. Secondary sourcing."},</t>
  </si>
  <si>
    <t xml:space="preserve">    {"node_id":"ORG_2SIG","label":"Two Sigma","node_type":"Organisation","region":"USA","country":"United States","hub_city":"New York","sector":"Proprietary Trading / Quant","subsector_tier":"Quant / prop","entry_mechanism_id":"MECH_US_CONV","program_name":"Intern / new-grad","program_length_months":null,"org_size_band":"Mid","size_basis":"inferred - coarse band, verify","annual_intake_low":null,"annual_intake_high":null,"applications_per_cycle":null,"intake_estimate_central":60,"intake_estimate_basis":"Mid base x 2.0 sector x 1.0 mechanism","confirmation_status":"[C-Press]","data_confidence":"Medium","geo_source":"inferred","notes":null},</t>
  </si>
  <si>
    <t xml:space="preserve">    {"node_id":"ORG_JUMP","label":"Jump Trading","node_type":"Organisation","region":"USA","country":"United States","hub_city":"Chicago","sector":"Proprietary Trading / Quant","subsector_tier":"Quant / prop","entry_mechanism_id":"MECH_US_CONV","program_name":"Intern / new-grad","program_length_months":null,"org_size_band":"Boutique","size_basis":"inferred - coarse band, verify","annual_intake_low":null,"annual_intake_high":null,"applications_per_cycle":null,"intake_estimate_central":16,"intake_estimate_basis":"Boutique base x 2.0 sector x 1.0 mechanism","confirmation_status":"[C-Press]","data_confidence":"Medium","geo_source":"inferred","notes":null},</t>
  </si>
  <si>
    <t xml:space="preserve">    {"node_id":"ORG_DES","label":"D. E. Shaw","node_type":"Organisation","region":"USA","country":"United States","hub_city":"New York","sector":"Proprietary Trading / Quant","subsector_tier":"Quant / prop","entry_mechanism_id":"MECH_US_CONV","program_name":"Intern / new-grad","program_length_months":null,"org_size_band":"Mid","size_basis":"inferred - coarse band, verify","annual_intake_low":null,"annual_intake_high":null,"applications_per_cycle":null,"intake_estimate_central":60,"intake_estimate_basis":"Mid base x 2.0 sector x 1.0 mechanism","confirmation_status":"[C-Press]","data_confidence":"Medium","geo_source":"inferred","notes":null},</t>
  </si>
  <si>
    <t xml:space="preserve">    {"node_id":"ORG_SIG","label":"Susquehanna (SIG)","node_type":"Organisation","region":"USA","country":"United States","hub_city":"Philadelphia area","sector":"Proprietary Trading / Quant","subsector_tier":"Quant / prop","entry_mechanism_id":"MECH_US_CONV","program_name":"Intern / new-grad","program_length_months":null,"org_size_band":"Mid","size_basis":"inferred - coarse band, verify","annual_intake_low":null,"annual_intake_high":null,"applications_per_cycle":null,"intake_estimate_central":60,"intake_estimate_basis":"Mid base x 2.0 sector x 1.0 mechanism","confirmation_status":"[C-Press]","data_confidence":"Medium","geo_source":"inferred","notes":null},</t>
  </si>
  <si>
    <t xml:space="preserve">    {"node_id":"ORG_USB","label":"US Bancorp","node_type":"Organisation","region":"USA","country":"United States","hub_city":"Other US metro","sector":"Commercial / Retail Banking","subsector_tier":"Regional / super-regional","entry_mechanism_id":"MECH_US_CONV","program_name":null,"program_length_months":null,"org_size_band":"Large","size_basis":"inferred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mechanism","confirmation_status":"[Note]","data_confidence":"Low","geo_source":"inferred","notes":null},</t>
  </si>
  <si>
    <t xml:space="preserve">    {"node_id":"ORG_PNC","label":"PNC","node_type":"Organisation","region":"USA","country":"United States","hub_city":"Other US metro","sector":"Commercial / Retail Banking","subsector_tier":"Regional / super-regional","entry_mechanism_id":"MECH_US_CONV","program_name":"Development Program","program_length_months":null,"org_size_band":"Large","size_basis":"inferred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mechanism","confirmation_status":"[Note]","data_confidence":"Low","geo_source":"inferred","notes":null},</t>
  </si>
  <si>
    <t xml:space="preserve">    {"node_id":"ORG_TFC","label":"Truist","node_type":"Organisation","region":"USA","country":"United States","hub_city":"Charlotte","sector":"Commercial / Retail Banking","subsector_tier":"Regional / super-regional","entry_mechanism_id":"MECH_US_CONV","program_name":"Leadership Development Program","program_length_months":null,"org_size_band":"Large","size_basis":"inferred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mechanism","confirmation_status":"[Note]","data_confidence":"Low","geo_source":"inferred","notes":null},</t>
  </si>
  <si>
    <t xml:space="preserve">    {"node_id":"ORG_COF","label":"Capital One","node_type":"Organisation","region":"USA","country":"United States","hub_city":"Other US metro","sector":"Commercial / Retail Banking","subsector_tier":"Regional / super-regional","entry_mechanism_id":"MECH_US_CONV","program_name":"Analyst / rotational","program_length_months":null,"org_size_band":"Large","size_basis":"inferred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mechanism","confirmation_status":"[Note]","data_confidence":"Low","geo_source":"inferred","notes":null},</t>
  </si>
  <si>
    <t xml:space="preserve">    {"node_id":"ORG_FITB","label":"Fifth Third","node_type":"Organisation","region":"USA","country":"United States","hub_city":"Other US metro","sector":"Commercial / Retail Banking","subsector_tier":"Regional / super-regional","entry_mechanism_id":"MECH_US_CONV","program_name":null,"program_length_months":null,"org_size_band":"Mid","size_basis":"inferred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mechanism","confirmation_status":"[Note]","data_confidence":"Low","geo_source":"inferred","notes":null},</t>
  </si>
  <si>
    <t xml:space="preserve">    {"node_id":"ORG_MTB","label":"M&amp;T Bank","node_type":"Organisation","region":"USA","country":"United States","hub_city":"Other US metro","sector":"Commercial / Retail Banking","subsector_tier":"Regional / super-regional","entry_mechanism_id":"MECH_US_CONV","program_name":null,"program_length_months":null,"org_size_band":"Mid","size_basis":"inferred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mechanism","confirmation_status":"[Note]","data_confidence":"Low","geo_source":"inferred","notes":null},</t>
  </si>
  <si>
    <t xml:space="preserve">    {"node_id":"ORG_RF","label":"Regions Financial","node_type":"Organisation","region":"USA","country":"United States","hub_city":"Other US metro","sector":"Commercial / Retail Banking","subsector_tier":"Regional / super-regional","entry_mechanism_id":"MECH_US_CONV","program_name":null,"program_length_months":null,"org_size_band":"Mid","size_basis":"inferred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mechanism","confirmation_status":"[Note]","data_confidence":"Low","geo_source":"inferred","notes":null},</t>
  </si>
  <si>
    <t xml:space="preserve">    {"node_id":"ORG_KEY","label":"KeyCorp","node_type":"Organisation","region":"USA","country":"United States","hub_city":"Other US metro","sector":"Commercial / Retail Banking","subsector_tier":"Regional / super-regional","entry_mechanism_id":"MECH_US_CONV","program_name":null,"program_length_months":null,"org_size_band":"Mid","size_basis":"inferred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mechanism","confirmation_status":"[Note]","data_confidence":"Low","geo_source":"inferred","notes":null},</t>
  </si>
  <si>
    <t xml:space="preserve">    {"node_id":"ORG_CFG","label":"Citizens Financial","node_type":"Organisation","region":"USA","country":"United States","hub_city":"Other US metro","sector":"Commercial / Retail Banking","subsector_tier":"Regional / super-regional","entry_mechanism_id":"MECH_US_CONV","program_name":null,"program_length_months":null,"org_size_band":"Mid","size_basis":"inferred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mechanism","confirmation_status":"[Note]","data_confidence":"Low","geo_source":"inferred","notes":null},</t>
  </si>
  <si>
    <t xml:space="preserve">    {"node_id":"ORG_BNY","label":"BNY","node_type":"Organisation","region":"USA","country":"United States","hub_city":"New York","sector":"Custodian / Asset Servicing / Fund Administration","subsector_tier":"Custodian","entry_mechanism_id":"MECH_US_CONV","program_name":"24-month Analyst Program","program_length_months":"24","org_size_band":"Large","size_basis":"inferred - coarse band, verify","annual_intake_low":null,"annual_intake_high":null,"applications_per_cycle":null,"intake_estimate_central":180,"intake_estimate_basis":"Large base x 1.5 sector x 1.0 mechanism","confirmation_status":"[C-Official]","data_confidence":"High","geo_source":"inferred","notes":null},</t>
  </si>
  <si>
    <t xml:space="preserve">    {"node_id":"ORG_STT","label":"State Street","node_type":"Organisation","region":"USA","country":"United States","hub_city":"Boston","sector":"Custodian / Asset Servicing / Fund Administration","subsector_tier":"Custodian","entry_mechanism_id":"MECH_US_CONV","program_name":"Professional Development Program (PDP) + Summer Analyst","program_length_months":null,"org_size_band":"Large","size_basis":"inferred - coarse band, verify","annual_intake_low":null,"annual_intake_high":null,"applications_per_cycle":null,"intake_estimate_central":180,"intake_estimate_basis":"Large base x 1.5 sector x 1.0 mechanism","confirmation_status":"[C-Official]","data_confidence":"High","geo_source":"inferred","notes":null},</t>
  </si>
  <si>
    <t xml:space="preserve">    {"node_id":"ORG_NTRS","label":"Northern Trust","node_type":"Organisation","region":"USA","country":"United States","hub_city":"Chicago","sector":"Custodian / Asset Servicing / Fund Administration","subsector_tier":"Custodian","entry_mechanism_id":"MECH_US_CONV","program_name":"Analyst Development Program","program_length_months":"12-27","org_size_band":"Large","size_basis":"inferred - coarse band, verify","annual_intake_low":null,"annual_intake_high":null,"applications_per_cycle":null,"intake_estimate_central":180,"intake_estimate_basis":"Large base x 1.5 sector x 1.0 mechanism","confirmation_status":"[C-Official]","data_confidence":"High","geo_source":"inferred","notes":null},</t>
  </si>
  <si>
    <t xml:space="preserve">    {"node_id":"ORG_BLK","label":"BlackRock","node_type":"Organisation","region":"USA","country":"United States","hub_city":"New York","sector":"Investment / Asset Management","subsector_tier":"Tier 1","entry_mechanism_id":"MECH_US_CONV","program_name":"2-year Analyst / Rotational","program_length_months":"24","org_size_band":"Large","size_basis":"inferred - coarse band, verify","annual_intake_low":null,"annual_intake_high":null,"applications_per_cycle":null,"intake_estimate_central":96,"intake_estimate_basis":"Large base x 0.8 sector x 1.0 mechanism","confirmation_status":"[C-Official]","data_confidence":"High","geo_source":"inferred","notes":null},</t>
  </si>
  <si>
    <t xml:space="preserve">    {"node_id":"ORG_VAN","label":"Vanguard","node_type":"Organisation","region":"USA","country":"United States","hub_city":"Philadelphia area","sector":"Investment / Asset Management","subsector_tier":"Tier 1","entry_mechanism_id":"MECH_US_CONV","program_name":"College to Corporate Internship / development programs","program_length_months":null,"org_size_band":"Large","size_basis":"inferred - coarse band, verify","annual_intake_low":null,"annual_intake_high":null,"applications_per_cycle":null,"intake_estimate_central":96,"intake_estimate_basis":"Large base x 0.8 sector x 1.0 mechanism","confirmation_status":"[C-Press]","data_confidence":"Medium","geo_source":"inferred","notes":null},</t>
  </si>
  <si>
    <t xml:space="preserve">    {"node_id":"ORG_FID","label":"Fidelity Investments","node_type":"Organisation","region":"USA","country":"United States","hub_city":"Boston","sector":"Investment / Asset Management","subsector_tier":"Tier 1","entry_mechanism_id":"MECH_US_CONV","program_name":"Summer Analyst","program_length_months":null,"org_size_band":"Large","size_basis":"inferred - coarse band, verify","annual_intake_low":null,"annual_intake_high":null,"applications_per_cycle":null,"intake_estimate_central":96,"intake_estimate_basis":"Large base x 0.8 sector x 1.0 mechanism","confirmation_status":"[C-Press]","data_confidence":"Medium","geo_source":"inferred","notes":null},</t>
  </si>
  <si>
    <t xml:space="preserve">    {"node_id":"ORG_TROW","label":"T. Rowe Price","node_type":"Organisation","region":"USA","country":"United States","hub_city":"Other US metro","sector":"Investment / Asset Management","subsector_tier":"Tier 1","entry_mechanism_id":"MECH_US_CONV","program_name":"Summer Analyst; INPAC Rotational","program_length_months":null,"org_size_band":"Large","size_basis":"inferred - coarse band, verify","annual_intake_low":null,"annual_intake_high":null,"applications_per_cycle":null,"intake_estimate_central":96,"intake_estimate_basis":"Large base x 0.8 sector x 1.0 mechanism","confirmation_status":"[C-Official]","data_confidence":"High","geo_source":"inferred","notes":null},</t>
  </si>
  <si>
    <t xml:space="preserve">    {"node_id":"ORG_PIMCO","label":"PIMCO","node_type":"Organisation","region":"USA","country":"United States","hub_city":"Los Angeles","sector":"Investment / Asset Management","subsector_tier":"Tier 2","entry_mechanism_id":"MECH_US_CONV","program_name":"Analyst","program_length_months":null,"org_size_band":"Mid","size_basis":"inferred - coarse band, verify","annual_intake_low":null,"annual_intake_high":null,"applications_per_cycle":null,"intake_estimate_central":24,"intake_estimate_basis":"Mid base x 0.8 sector x 1.0 mechanism","confirmation_status":"[Note]","data_confidence":"Low","geo_source":"inferred","notes":null},</t>
  </si>
  <si>
    <t xml:space="preserve">    {"node_id":"ORG_CG","label":"Capital Group","node_type":"Organisation","region":"USA","country":"United States","hub_city":"Los Angeles","sector":"Investment / Asset Management","subsector_tier":"Tier 2","entry_mechanism_id":"MECH_US_CONV","program_name":"Associate program","program_length_months":null,"org_size_band":"Mid","size_basis":"inferred - coarse band, verify","annual_intake_low":null,"annual_intake_high":null,"applications_per_cycle":null,"intake_estimate_central":24,"intake_estimate_basis":"Mid base x 0.8 sector x 1.0 mechanism","confirmation_status":"[Note]","data_confidence":"Low","geo_source":"inferred","notes":null},</t>
  </si>
  <si>
    <t xml:space="preserve">    {"node_id":"ORG_WELL","label":"Wellington Management","node_type":"Organisation","region":"USA","country":"United States","hub_city":"Boston","sector":"Investment / Asset Management","subsector_tier":"Tier 2","entry_mechanism_id":"MECH_US_CONV","program_name":null,"program_length_months":null,"org_size_band":"Mid","size_basis":"inferred - coarse band, verify","annual_intake_low":null,"annual_intake_high":null,"applications_per_cycle":null,"intake_estimate_central":24,"intake_estimate_basis":"Mid base x 0.8 sector x 1.0 mechanism","confirmation_status":"[Note]","data_confidence":"Low","geo_source":"inferred","notes":null},</t>
  </si>
  <si>
    <t xml:space="preserve">    {"node_id":"ORG_IVZ","label":"Invesco","node_type":"Organisation","region":"USA","country":"United States","hub_city":"Other US metro","sector":"Investment / Asset Management","subsector_tier":"Tier 2","entry_mechanism_id":"MECH_US_CONV","program_name":null,"program_length_months":null,"org_size_band":"Mid","size_basis":"inferred - coarse band, verify","annual_intake_low":null,"annual_intake_high":null,"applications_per_cycle":null,"intake_estimate_central":24,"intake_estimate_basis":"Mid base x 0.8 sector x 1.0 mechanism","confirmation_status":"[Note]","data_confidence":"Low","geo_source":"inferred","notes":null},</t>
  </si>
  <si>
    <t xml:space="preserve">    {"node_id":"ORG_BEN","label":"Franklin Templeton","node_type":"Organisation","region":"USA","country":"United States","hub_city":"San Francisco Bay Area","sector":"Investment / Asset Management","subsector_tier":"Tier 2","entry_mechanism_id":"MECH_US_CONV","program_name":null,"program_length_months":null,"org_size_band":"Mid","size_basis":"inferred - coarse band, verify","annual_intake_low":null,"annual_intake_high":null,"applications_per_cycle":null,"intake_estimate_central":24,"intake_estimate_basis":"Mid base x 0.8 sector x 1.0 mechanism","confirmation_status":"[Note]","data_confidence":"Low","geo_source":"inferred","notes":null},</t>
  </si>
  <si>
    <t xml:space="preserve">    {"node_id":"ORG_JHG","label":"Janus Henderson","node_type":"Organisation","region":"USA","country":"United States","hub_city":"Other US metro","sector":"Investment / Asset Management","subsector_tier":"Tier 3","entry_mechanism_id":"MECH_US_CONV","program_name":null,"program_length_months":null,"org_size_band":"Mid","size_basis":"inferred - coarse band, verify","annual_intake_low":null,"annual_intake_high":null,"applications_per_cycle":null,"intake_estimate_central":24,"intake_estimate_basis":"Mid base x 0.8 sector x 1.0 mechanism","confirmation_status":"[Note]","data_confidence":"Low","geo_source":"inferred","notes":null},</t>
  </si>
  <si>
    <t xml:space="preserve">    {"node_id":"ORG_MET","label":"MetLife","node_type":"Organisation","region":"USA","country":"United States","hub_city":"New York","sector":"Insurance","subsector_tier":"Insurance - actuarial/finance track","entry_mechanism_id":"MECH_ACTUARIAL","program_name":"US Actuarial Development Program (ADP); early-career internships","program_length_months":null,"org_size_band":"Large","size_basis":"inferred - coarse band, verify","annual_intake_low":null,"annual_intake_high":null,"applications_per_cycle":null,"intake_estimate_central":60,"intake_estimate_basis":"Large base x 1.0 sector x 0.5 mechanism","confirmation_status":"[C-Official]","data_confidence":"High","geo_source":"inferred","notes":null},</t>
  </si>
  <si>
    <t xml:space="preserve">    {"node_id":"ORG_PRU","label":"Prudential Financial","node_type":"Organisation","region":"USA","country":"United States","hub_city":"Other US metro","sector":"Insurance","subsector_tier":"Insurance - actuarial/finance track","entry_mechanism_id":"MECH_ACTUARIAL","program_name":"Actuarial / finance programs","program_length_months":null,"org_size_band":"Large","size_basis":"inferred - coarse band, verify","annual_intake_low":null,"annual_intake_high":null,"applications_per_cycle":null,"intake_estimate_central":60,"intake_estimate_basis":"Large base x 1.0 sector x 0.5 mechanism","confirmation_status":"[C-Press]","data_confidence":"Medium","geo_source":"inferred","notes":null},</t>
  </si>
  <si>
    <t xml:space="preserve">    {"node_id":"ORG_AIG","label":"AIG","node_type":"Organisation","region":"USA","country":"United States","hub_city":"New York","sector":"Insurance","subsector_tier":"Insurance - actuarial/finance track","entry_mechanism_id":"MECH_ACTUARIAL","program_name":"Early Career Analyst / actuarial","program_length_months":null,"org_size_band":"Large","size_basis":"inferred - coarse band, verify","annual_intake_low":null,"annual_intake_high":null,"applications_per_cycle":null,"intake_estimate_central":60,"intake_estimate_basis":"Large base x 1.0 sector x 0.5 mechanism","confirmation_status":"[C-Official]","data_confidence":"High","geo_source":"inferred","notes":null},</t>
  </si>
  <si>
    <t xml:space="preserve">    {"node_id":"ORG_CB","label":"Chubb","node_type":"Organisation","region":"USA","country":"United States","hub_city":"Philadelphia area","sector":"Insurance","subsector_tier":"Insurance - actuarial/finance track","entry_mechanism_id":"MECH_ACTUARIAL","program_name":"Actuarial / underwriting","program_length_months":null,"org_size_band":"Large","size_basis":"inferred - coarse band, verify","annual_intake_low":null,"annual_intake_high":null,"applications_per_cycle":null,"intake_estimate_central":60,"intake_estimate_basis":"Large base x 1.0 sector x 0.5 mechanism","confirmation_status":"[C-Press]","data_confidence":"Medium","geo_source":"inferred","notes":null},</t>
  </si>
  <si>
    <t xml:space="preserve">    {"node_id":"ORG_TRV","label":"Travelers","node_type":"Organisation","region":"USA","country":"United States","hub_city":"Other US metro","sector":"Insurance","subsector_tier":"Insurance - actuarial/finance track","entry_mechanism_id":"MECH_ACTUARIAL","program_name":"Actuarial / analyst","program_length_months":null,"org_size_band":"Large","size_basis":"inferred - coarse band, verify","annual_intake_low":null,"annual_intake_high":null,"applications_per_cycle":null,"intake_estimate_central":60,"intake_estimate_basis":"Large base x 1.0 sector x 0.5 mechanism","confirmation_status":"[C-Press]","data_confidence":"Medium","geo_source":"inferred","notes":null},</t>
  </si>
  <si>
    <t xml:space="preserve">    {"node_id":"ORG_LMUT","label":"Liberty Mutual","node_type":"Organisation","region":"USA","country":"United States","hub_city":"Boston","sector":"Insurance","subsector_tier":"Insurance - actuarial/finance track","entry_mechanism_id":"MECH_ACTUARIAL","program_name":"Actuarial / finance","program_length_months":null,"org_size_band":"Large","size_basis":"inferred - coarse band, verify","annual_intake_low":null,"annual_intake_high":null,"applications_per_cycle":null,"intake_estimate_central":60,"intake_estimate_basis":"Large base x 1.0 sector x 0.5 mechanism","confirmation_status":"[C-Press]","data_confidence":"Medium","geo_source":"inferred","notes":null},</t>
  </si>
  <si>
    <t xml:space="preserve">    {"node_id":"ORG_CI","label":"Cigna","node_type":"Organisation","region":"USA","country":"United States","hub_city":"Other US metro","sector":"Insurance","subsector_tier":"Insurance - actuarial/finance track","entry_mechanism_id":"MECH_ACTUARIAL","program_name":"Actuarial / health","program_length_months":null,"org_size_band":"Mega","size_basis":"inferred - coarse band, verify","annual_intake_low":null,"annual_intake_high":null,"applications_per_cycle":null,"intake_estimate_central":200,"intake_estimate_basis":"Mega base x 1.0 sector x 0.5 mechanism","confirmation_status":"[C-Press]","data_confidence":"Medium","geo_source":"inferred","notes":null},</t>
  </si>
  <si>
    <t xml:space="preserve">    {"node_id":"ORG_UNH","label":"UnitedHealth Group","node_type":"Organisation","region":"USA","country":"United States","hub_city":"Other US metro","sector":"Insurance","subsector_tier":"Insurance - actuarial/finance track","entry_mechanism_id":"MECH_ACTUARIAL","program_name":"Actuarial / finance","program_length_months":null,"org_size_band":"Mega","size_basis":"inferred - coarse band, verify","annual_intake_low":null,"annual_intake_high":null,"applications_per_cycle":null,"intake_estimate_central":200,"intake_estimate_basis":"Mega base x 1.0 sector x 0.5 mechanism","confirmation_status":"[C-Press]","data_confidence":"Medium","geo_source":"inferred","notes":null},</t>
  </si>
  <si>
    <t xml:space="preserve">    {"node_id":"ORG_SPGI","label":"S&amp;P Global","node_type":"Organisation","region":"USA","country":"United States","hub_city":"New York","sector":"Ratings Agencies &amp; Financial Data","subsector_tier":"Ratings / data vendor","entry_mechanism_id":"MECH_US_CONV","program_name":"Graduate Program / Early Career","program_length_months":null,"org_size_band":"Large","size_basis":"inferred - coarse band, verify","annual_intake_low":null,"annual_intake_high":null,"applications_per_cycle":null,"intake_estimate_central":180,"intake_estimate_basis":"Large base x 1.5 sector x 1.0 mechanism","confirmation_status":"[C-Official]","data_confidence":"High","geo_source":"inferred","notes":null},</t>
  </si>
  <si>
    <t xml:space="preserve">    {"node_id":"ORG_MCO","label":"Moody's","node_type":"Organisation","region":"USA","country":"United States","hub_city":"New York","sector":"Ratings Agencies &amp; Financial Data","subsector_tier":"Ratings / data vendor","entry_mechanism_id":"MECH_US_CONV","program_name":"Analyst / early career","program_length_months":null,"org_size_band":"Large","size_basis":"inferred - coarse band, verify","annual_intake_low":null,"annual_intake_high":null,"applications_per_cycle":null,"intake_estimate_central":180,"intake_estimate_basis":"Large base x 1.5 sector x 1.0 mechanism","confirmation_status":"[C-Press]","data_confidence":"Medium","geo_source":"inferred","notes":null},</t>
  </si>
  <si>
    <t xml:space="preserve">    {"node_id":"ORG_FITCH","label":"Fitch Ratings","node_type":"Organisation","region":"USA","country":"United States","hub_city":"New York","sector":"Ratings Agencies &amp; Financial Data","subsector_tier":"Ratings / data vendor","entry_mechanism_id":"MECH_US_CONV","program_name":"Analyst","program_length_months":null,"org_size_band":"Mid","size_basis":"inferred - coarse band, verify","annual_intake_low":null,"annual_intake_high":null,"applications_per_cycle":null,"intake_estimate_central":45,"intake_estimate_basis":"Mid base x 1.5 sector x 1.0 mechanism","confirmation_status":"[Note]","data_confidence":"Low","geo_source":"inferred","notes":null},</t>
  </si>
  <si>
    <t xml:space="preserve">    {"node_id":"ORG_MSCI","label":"MSCI","node_type":"Organisation","region":"USA","country":"United States","hub_city":"New York","sector":"Ratings Agencies &amp; Financial Data","subsector_tier":"Ratings / data vendor","entry_mechanism_id":"MECH_US_CONV","program_name":"Analyst","program_length_months":null,"org_size_band":"Mid","size_basis":"inferred - coarse band, verify","annual_intake_low":null,"annual_intake_high":null,"applications_per_cycle":null,"intake_estimate_central":45,"intake_estimate_basis":"Mid base x 1.5 sector x 1.0 mechanism","confirmation_status":"[Note]","data_confidence":"Low","geo_source":"inferred","notes":null},</t>
  </si>
  <si>
    <t xml:space="preserve">    {"node_id":"ORG_BBG","label":"Bloomberg LP","node_type":"Organisation","region":"USA","country":"United States","hub_city":"New York","sector":"Ratings Agencies &amp; Financial Data","subsector_tier":"Ratings / data vendor","entry_mechanism_id":"MECH_US_CONV","program_name":"Analytics / Financial Solutions","program_length_months":null,"org_size_band":"Large","size_basis":"inferred - coarse band, verify","annual_intake_low":null,"annual_intake_high":null,"applications_per_cycle":null,"intake_estimate_central":180,"intake_estimate_basis":"Large base x 1.5 sector x 1.0 mechanism","confirmation_status":"[C-Press]","data_confidence":"Medium","geo_source":"inferred","notes":null},</t>
  </si>
  <si>
    <t xml:space="preserve">    {"node_id":"ORG_FDS","label":"FactSet","node_type":"Organisation","region":"USA","country":"United States","hub_city":"Other US metro","sector":"Ratings Agencies &amp; Financial Data","subsector_tier":"Ratings / data vendor","entry_mechanism_id":"MECH_US_CONV","program_name":"Early career","program_length_months":null,"org_size_band":"Mid","size_basis":"inferred - coarse band, verify","annual_intake_low":null,"annual_intake_high":null,"applications_per_cycle":null,"intake_estimate_central":45,"intake_estimate_basis":"Mid base x 1.5 sector x 1.0 mechanism","confirmation_status":"[Note]","data_confidence":"Low","geo_source":"inferred","notes":null},</t>
  </si>
  <si>
    <t xml:space="preserve">    {"node_id":"ORG_ICE","label":"ICE (Intercontinental Exchange)","node_type":"Organisation","region":"USA","country":"United States","hub_city":"Other US metro","sector":"Ratings Agencies &amp; Financial Data","subsector_tier":"Ratings / data vendor","entry_mechanism_id":"MECH_US_CONV","program_name":"Analyst","program_length_months":null,"org_size_band":"Mid","size_basis":"inferred - coarse band, verify","annual_intake_low":null,"annual_intake_high":null,"applications_per_cycle":null,"intake_estimate_central":45,"intake_estimate_basis":"Mid base x 1.5 sector x 1.0 mechanism","confirmation_status":"[Note]","data_confidence":"Low","geo_source":"inferred","notes":null},</t>
  </si>
  <si>
    <t xml:space="preserve">    {"node_id":"ORG_NDAQ","label":"Nasdaq","node_type":"Organisation","region":"USA","country":"United States","hub_city":"New York","sector":"Ratings Agencies &amp; Financial Data","subsector_tier":"Ratings / data vendor","entry_mechanism_id":"MECH_US_CONV","program_name":"Analyst","program_length_months":null,"org_size_band":"Mid","size_basis":"inferred - coarse band, verify","annual_intake_low":null,"annual_intake_high":null,"applications_per_cycle":null,"intake_estimate_central":45,"intake_estimate_basis":"Mid base x 1.5 sector x 1.0 mechanism","confirmation_status":"[Note]","data_confidence":"Low","geo_source":"inferred","notes":null},</t>
  </si>
  <si>
    <t xml:space="preserve">    {"node_id":"ORG_MBB","label":"McKinsey / BCG / Bain","node_type":"Organisation","region":"USA","country":"United States","hub_city":"New York","sector":"Consulting / Professional Services","subsector_tier":"MBB strategy","entry_mechanism_id":"MECH_US_CONV","program_name":"Graduate / analyst","program_length_months":null,"org_size_band":"Large","size_basis":"inferred - coarse band, verify","annual_intake_low":null,"annual_intake_high":null,"applications_per_cycle":null,"intake_estimate_central":360,"intake_estimate_basis":"Large base x 3.0 sector x 1.0 mechanism","confirmation_status":"[C-Press]","data_confidence":"Medium","geo_source":"inferred","notes":null},</t>
  </si>
  <si>
    <t xml:space="preserve">    {"node_id":"ORG_BIG4","label":"Deloitte / PwC / EY / KPMG (Big 4)","node_type":"Organisation","region":"USA","country":"United States","hub_city":"New York","sector":"Consulting / Professional Services","subsector_tier":"Big 4","entry_mechanism_id":"MECH_US_CONV","program_name":"Graduate / analyst","program_length_months":null,"org_size_band":"Mega","size_basis":"inferred - coarse band, verify","annual_intake_low":null,"annual_intake_high":null,"applications_per_cycle":null,"intake_estimate_central":1200,"intake_estimate_basis":"Mega base x 3.0 sector x 1.0 mechanism","confirmation_status":"[C-Press]","data_confidence":"Medium","geo_source":"inferred","notes":null},</t>
  </si>
  <si>
    <t xml:space="preserve">    {"node_id":"ORG_OW","label":"Oliver Wyman","node_type":"Organisation","region":"USA","country":"United States","hub_city":"New York","sector":"Consulting / Professional Services","subsector_tier":"Financial-services strategy","entry_mechanism_id":"MECH_US_CONV","program_name":"Graduate / analyst","program_length_months":null,"org_size_band":"Mid","size_basis":"inferred - coarse band, verify","annual_intake_low":null,"annual_intake_high":null,"applications_per_cycle":null,"intake_estimate_central":90,"intake_estimate_basis":"Mid base x 3.0 sector x 1.0 mechanism","confirmation_status":"[C-Press]","data_confidence":"Medium","geo_source":"inferred","notes":null},</t>
  </si>
  <si>
    <t xml:space="preserve">    {"node_id":"ORG_ACN","label":"Accenture Strategy","node_type":"Organisation","region":"USA","country":"United States","hub_city":"New York","sector":"Consulting / Professional Services","subsector_tier":"Technology / strategy","entry_mechanism_id":"MECH_US_CONV","program_name":"Graduate / analyst","program_length_months":null,"org_size_band":"Mega","size_basis":"inferred - coarse band, verify","annual_intake_low":null,"annual_intake_high":null,"applications_per_cycle":null,"intake_estimate_central":1200,"intake_estimate_basis":"Mega base x 3.0 sector x 1.0 mechanism","confirmation_status":"[Note]","data_confidence":"Low","geo_source":"inferred","notes":null},</t>
  </si>
  <si>
    <t xml:space="preserve">    {"node_id":"ORG_SBI","label":"State Bank of India","node_type":"Organisation","region":"India","country":"India","hub_city":"Mumbai","sector":"Commercial / Retail Banking","subsector_tier":"Channel (a) - PSU / public-sector bank","entry_mechanism_id":"MECH_IN_EXAM","program_name":"SBI PO (Probationary Officer exam)","program_length_months":null,"org_size_band":"Mega","size_basis":"inferred - coarse band, verify","annual_intake_low":541,"annual_intake_high":541,"applications_per_cycle":650000,"intake_estimate_central":541,"intake_estimate_basis":"Documented in source - midpoint of annual_intake_low/high","confirmation_status":"[C-Official]","data_confidence":"High","geo_source":"source","notes":"~541 vacancies in 2025 drawing 650,000+ applications; annual; 3 stages (Prelims / Mains / Interview &amp; Group Exercise)"},</t>
  </si>
  <si>
    <t xml:space="preserve">    {"node_id":"ORG_BOB","label":"Bank of Baroda","node_type":"Organisation","region":"India","country":"India","hub_city":"Mumbai","sector":"Commercial / Retail Banking","subsector_tier":"Channel (a) - PSU / public-sector bank","entry_mechanism_id":"MECH_IN_EXAM","program_name":"IBPS PO","program_length_months":null,"org_size_band":"Mega","size_basis":"inferred - coarse band, verify","annual_intake_low":null,"annual_intake_high":null,"applications_per_cycle":null,"intake_estimate_central":560,"intake_estimate_basis":"Mega base x 1.0 sector x 1.4 mechanism","confirmation_status":"[C-Official]","data_confidence":"High","geo_source":"source","notes":null},</t>
  </si>
  <si>
    <t xml:space="preserve">    {"node_id":"ORG_PNB","label":"Punjab National Bank","node_type":"Organisation","region":"India","country":"India","hub_city":"Mumbai","sector":"Commercial / Retail Banking","subsector_tier":"Channel (a) - PSU / public-sector bank","entry_mechanism_id":"MECH_IN_EXAM","program_name":"IBPS PO","program_length_months":null,"org_size_band":"Mega","size_basis":"inferred - coarse band, verify","annual_intake_low":null,"annual_intake_high":null,"applications_per_cycle":null,"intake_estimate_central":560,"intake_estimate_basis":"Mega base x 1.0 sector x 1.4 mechanism","confirmation_status":"[C-Official]","data_confidence":"High","geo_source":"source","notes":null},</t>
  </si>
  <si>
    <t xml:space="preserve">    {"node_id":"ORG_CANARA","label":"Canara Bank","node_type":"Organisation","region":"India","country":"India","hub_city":"Mumbai","sector":"Commercial / Retail Banking","subsector_tier":"Channel (a) - PSU / public-sector bank","entry_mechanism_id":"MECH_IN_EXAM","program_name":"IBPS PO","program_length_months":null,"org_size_band":"Mega","size_basis":"inferred - coarse band, verify","annual_intake_low":null,"annual_intake_high":null,"applications_per_cycle":null,"intake_estimate_central":560,"intake_estimate_basis":"Mega base x 1.0 sector x 1.4 mechanism","confirmation_status":"[C-Official]","data_confidence":"High","geo_source":"source","notes":null},</t>
  </si>
  <si>
    <t xml:space="preserve">    {"node_id":"ORG_UBI","label":"Union Bank of India","node_type":"Organisation","region":"India","country":"India","hub_city":"Mumbai","sector":"Commercial / Retail Banking","subsector_tier":"Channel (a) - PSU / public-sector bank","entry_mechanism_id":"MECH_IN_EXAM","program_name":"IBPS PO","program_length_months":null,"org_size_band":"Mega","size_basis":"inferred - coarse band, verify","annual_intake_low":null,"annual_intake_high":null,"applications_per_cycle":null,"intake_estimate_central":560,"intake_estimate_basis":"Mega base x 1.0 sector x 1.4 mechanism","confirmation_status":"[C-Official]","data_confidence":"High","geo_source":"source","notes":null},</t>
  </si>
  <si>
    <t xml:space="preserve">    {"node_id":"ORG_INDIANBK","label":"Indian Bank","node_type":"Organisation","region":"India","country":"India","hub_city":"Mumbai","sector":"Commercial / Retail Banking","subsector_tier":"Channel (a) - PSU / public-sector bank","entry_mechanism_id":"MECH_IN_EXAM","program_name":"IBPS PO","program_length_months":null,"org_size_band":"Large","size_basis":"inferred - coarse band, verify","annual_intake_low":null,"annual_intake_high":null,"applications_per_cycle":null,"intake_estimate_central":168,"intake_estimate_basis":"Large base x 1.0 sector x 1.4 mechanism","confirmation_status":"[C-Official]","data_confidence":"High","geo_source":"source","notes":null},</t>
  </si>
  <si>
    <t xml:space="preserve">    {"node_id":"ORG_BOI","label":"Bank of India","node_type":"Organisation","region":"India","country":"India","hub_city":"Mumbai","sector":"Commercial / Retail Banking","subsector_tier":"Channel (a) - PSU / public-sector bank","entry_mechanism_id":"MECH_IN_EXAM","program_name":"IBPS PO","program_length_months":null,"org_size_band":"Large","size_basis":"inferred - coarse band, verify","annual_intake_low":null,"annual_intake_high":null,"applications_per_cycle":null,"intake_estimate_central":168,"intake_estimate_basis":"Large base x 1.0 sector x 1.4 mechanism","confirmation_status":"[C-Official]","data_confidence":"High","geo_source":"source","notes":null},</t>
  </si>
  <si>
    <t xml:space="preserve">    {"node_id":"ORG_HDFC","label":"HDFC Bank","node_type":"Organisation","region":"India","country":"India","hub_city":"Mumbai","sector":"Commercial / Retail Banking","subsector_tier":"Channel (b) - Retail bank","entry_mechanism_id":"MECH_IN_PGDBF","program_name":"Future Bankers Program 2.0 (PGDBF via Manipal)","program_length_months":"12","org_size_band":"Mega","size_basis":"inferred - coarse band, verify","annual_intake_low":null,"annual_intake_high":null,"applications_per_cycle":null,"intake_estimate_central":480,"intake_estimate_basis":"Mega base x 1.0 sector x 1.2 mechanism","confirmation_status":"[C-Official]","data_confidence":"High","geo_source":"source","notes":null},</t>
  </si>
  <si>
    <t xml:space="preserve">    {"node_id":"ORG_ICICI","label":"ICICI Bank","node_type":"Organisation","region":"India","country":"India","hub_city":"Mumbai","sector":"Commercial / Retail Banking","subsector_tier":"Channel (b) - Retail bank","entry_mechanism_id":"MECH_IN_PGDBF","program_name":"PGDFB / ICICI Business Leadership Program","program_length_months":null,"org_size_band":"Mega","size_basis":"inferred - coarse band, verify","annual_intake_low":null,"annual_intake_high":null,"applications_per_cycle":null,"intake_estimate_central":480,"intake_estimate_basis":"Mega base x 1.0 sector x 1.2 mechanism","confirmation_status":"[C-Press]","data_confidence":"Medium","geo_source":"source","notes":null},</t>
  </si>
  <si>
    <t xml:space="preserve">    {"node_id":"ORG_AXIS","label":"Axis Bank","node_type":"Organisation","region":"India","country":"India","hub_city":"Mumbai","sector":"Commercial / Retail Banking","subsector_tier":"Channel (b) - Retail bank","entry_mechanism_id":"MECH_IN_PGDBF","program_name":"Young Bankers Program (PGDBS, ~1-yr residential)","program_length_months":"12","org_size_band":"Mega","size_basis":"inferred - coarse band, verify","annual_intake_low":null,"annual_intake_high":null,"applications_per_cycle":null,"intake_estimate_central":480,"intake_estimate_basis":"Mega base x 1.0 sector x 1.2 mechanism","confirmation_status":"[C-Official]","data_confidence":"High","geo_source":"source","notes":null},</t>
  </si>
  <si>
    <t xml:space="preserve">    {"node_id":"ORG_KOTAK","label":"Kotak Mahindra Bank","node_type":"Organisation","region":"India","country":"India","hub_city":"Mumbai","sector":"Commercial / Retail Banking","subsector_tier":"Channel (b) - Retail bank","entry_mechanism_id":"MECH_IN_GCC","program_name":"Campus placement","program_length_months":null,"org_size_band":"Large","size_basis":"inferred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mechanism","confirmation_status":"[Note]","data_confidence":"Low","geo_source":"source","notes":null},</t>
  </si>
  <si>
    <t xml:space="preserve">    {"node_id":"ORG_INDUSIND","label":"IndusInd Bank","node_type":"Organisation","region":"India","country":"India","hub_city":"Mumbai","sector":"Commercial / Retail Banking","subsector_tier":"Channel (b) - Retail bank","entry_mechanism_id":"MECH_IN_GCC","program_name":null,"program_length_months":null,"org_size_band":"Large","size_basis":"inferred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mechanism","confirmation_status":"[Note]","data_confidence":"Low","geo_source":"source","notes":null},</t>
  </si>
  <si>
    <t xml:space="preserve">    {"node_id":"ORG_YES","label":"Yes Bank","node_type":"Organisation","region":"India","country":"India","hub_city":"Mumbai","sector":"Commercial / Retail Banking","subsector_tier":"Channel (b) - Retail bank","entry_mechanism_id":"MECH_IN_GCC","program_name":null,"program_length_months":null,"org_size_band":"Large","size_basis":"inferred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mechanism","confirmation_status":"[Note]","data_confidence":"Low","geo_source":"source","notes":null},</t>
  </si>
  <si>
    <t xml:space="preserve">    {"node_id":"ORG_KOTAKIB","label":"Kotak Investment Banking","node_type":"Organisation","region":"India","country":"India","hub_city":"Mumbai","sector":"Investment Banking - Elite Boutique / Independent Advisory","subsector_tier":"Channel (b) - Domestic IB","entry_mechanism_id":"MECH_IN_GCC","program_name":"Campus (IIM/IIT)","program_length_months":null,"org_size_band":"Boutique","size_basis":"inferred - coarse band, verify","annual_intake_low":null,"annual_intake_high":null,"applications_per_cycle":null,"intake_estimate_central":6,"intake_estimate_basis":"Boutique base x 0.8 sector x 1.0 mechanism","confirmation_status":"[Note]","data_confidence":"Low","geo_source":"source","notes":null},</t>
  </si>
  <si>
    <t xml:space="preserve">    {"node_id":"ORG_ISEC","label":"ICICI Securities","node_type":"Organisation","region":"India","country":"India","hub_city":"Mumbai","sector":"Securities / Brokerage","subsector_tier":"Channel (b) - Broking / IB","entry_mechanism_id":"MECH_IN_GCC","program_name":"Campus","program_length_months":null,"org_size_band":"Mid","size_basis":"inferred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mechanism","confirmation_status":"[Note]","data_confidence":"Low","geo_source":"source","notes":null},</t>
  </si>
  <si>
    <t xml:space="preserve">    {"node_id":"ORG_AXISCAP","label":"Axis Capital","node_type":"Organisation","region":"India","country":"India","hub_city":"Mumbai","sector":"Investment Banking - Elite Boutique / Independent Advisory","subsector_tier":"Channel (b) - Domestic IB","entry_mechanism_id":"MECH_IN_GCC","program_name":"Campus","program_length_months":null,"org_size_band":"Boutique","size_basis":"inferred - coarse band, verify","annual_intake_low":null,"annual_intake_high":null,"applications_per_cycle":null,"intake_estimate_central":6,"intake_estimate_basis":"Boutique base x 0.8 sector x 1.0 mechanism","confirmation_status":"[Note]","data_confidence":"Low","geo_source":"source","notes":null},</t>
  </si>
  <si>
    <t xml:space="preserve">    {"node_id":"ORG_JMFIN","label":"JM Financial","node_type":"Organisation","region":"India","country":"India","hub_city":"Mumbai","sector":"Investment Banking - Elite Boutique / Independent Advisory","subsector_tier":"Channel (b) - Domestic IB","entry_mechanism_id":"MECH_IN_GCC","program_name":"Campus","program_length_months":null,"org_size_band":"Mid","size_basis":"inferred - coarse band, verify","annual_intake_low":null,"annual_intake_high":null,"applications_per_cycle":null,"intake_estimate_central":24,"intake_estimate_basis":"Mid base x 0.8 sector x 1.0 mechanism","confirmation_status":"[Note]","data_confidence":"Low","geo_source":"source","notes":null},</t>
  </si>
  <si>
    <t xml:space="preserve">    {"node_id":"ORG_EDEL","label":"Edelweiss","node_type":"Organisation","region":"India","country":"India","hub_city":"Mumbai","sector":"NBFC / Diversified Financial","subsector_tier":"Channel (b) - IB / NBFC","entry_mechanism_id":"MECH_IN_GCC","program_name":"Campus","program_length_months":null,"org_size_band":"Mid","size_basis":"inferred - coarse band, verify","annual_intake_low":null,"annual_intake_high":null,"applications_per_cycle":null,"intake_estimate_central":24,"intake_estimate_basis":"Mid base x 0.8 sector x 1.0 mechanism","confirmation_status":"[Note]","data_confidence":"Low","geo_source":"source","notes":null},</t>
  </si>
  <si>
    <t xml:space="preserve">    {"node_id":"ORG_MOSL","label":"Motilal Oswal","node_type":"Organisation","region":"India","country":"India","hub_city":"Mumbai","sector":"Securities / Brokerage","subsector_tier":"Channel (b) - Broking","entry_mechanism_id":"MECH_IN_GCC","program_name":"Campus","program_length_months":null,"org_size_band":"Mid","size_basis":"inferred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mechanism","confirmation_status":"[Note]","data_confidence":"Low","geo_source":"source","notes":null},</t>
  </si>
  <si>
    <t xml:space="preserve">    {"node_id":"ORG_LIC","label":"LIC","node_type":"Organisation","region":"India","country":"India","hub_city":"Mumbai","sector":"Insurance","subsector_tier":"Channel (b) - State insurer","entry_mechanism_id":"MECH_IN_EXAM","program_name":"AAO exam","program_length_months":null,"org_size_band":"Mega","size_basis":"inferred - coarse band, verify","annual_intake_low":null,"annual_intake_high":null,"applications_per_cycle":null,"intake_estimate_central":560,"intake_estimate_basis":"Mega base x 1.0 sector x 1.4 mechanism","confirmation_status":"[Note]","data_confidence":"Low","geo_source":"source","notes":null},</t>
  </si>
  <si>
    <t xml:space="preserve">    {"node_id":"ORG_IN_LIFEINS","label":"HDFC Life / ICICI Prudential Life / SBI Life / Max Life","node_type":"Organisation","region":"India","country":"India","hub_city":"Mumbai","sector":"Insurance","subsector_tier":"Channel (b) - Private life insurers (grouped)","entry_mechanism_id":"MECH_IN_GCC","program_name":"Campus / management trainee","program_length_months":null,"org_size_band":"Large","size_basis":"inferred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mechanism","confirmation_status":"[Note]","data_confidence":"Low","geo_source":"source","notes":null},</t>
  </si>
  <si>
    <t xml:space="preserve">    {"node_id":"ORG_IN_AMC","label":"HDFC AMC / SBI MF / ICICI Prudential AMC / Aditya Birla Sun Life AMC","node_type":"Organisation","region":"India","country":"India","hub_city":"Mumbai","sector":"Investment / Asset Management","subsector_tier":"Channel (b) - Asset managers (grouped)","entry_mechanism_id":"MECH_IN_GCC","program_name":"Campus","program_length_months":null,"org_size_band":"Mid","size_basis":"inferred - coarse band, verify","annual_intake_low":null,"annual_intake_high":null,"applications_per_cycle":null,"intake_estimate_central":24,"intake_estimate_basis":"Mid base x 0.8 sector x 1.0 mechanism","confirmation_status":"[Note]","data_confidence":"Low","geo_source":"source","notes":null},</t>
  </si>
  <si>
    <t xml:space="preserve">    {"node_id":"ORG_BAJAJ","label":"Bajaj Finserv / Bajaj Finance","node_type":"Organisation","region":"India","country":"India","hub_city":"Other India","sector":"NBFC / Diversified Financial","subsector_tier":"Channel (b) - NBFC","entry_mechanism_id":"MECH_IN_GCC","program_name":"Campus / management trainee","program_length_months":null,"org_size_band":"Large","size_basis":"inferred - coarse band, verify","annual_intake_low":null,"annual_intake_high":null,"applications_per_cycle":null,"intake_estimate_central":96,"intake_estimate_basis":"Large base x 0.8 sector x 1.0 mechanism","confirmation_status":"[Note]","data_confidence":"Low","geo_source":"inferred","notes":null},</t>
  </si>
  <si>
    <t xml:space="preserve">    {"node_id":"ORG_HSBC","label":"HSBC","node_type":"Organisation","region":"United Kingdom","country":"United Kingdom","hub_city":"London","sector":"Commercial / Retail Banking","subsector_tier":"Global multinational","entry_mechanism_id":"MECH_UK_SPRING","program_name":"Graduate / analyst programmes","program_length_months":null,"org_size_band":"Mega","size_basis":"inferred - coarse band, verify","annual_intake_low":null,"annual_intake_high":null,"applications_per_cycle":null,"intake_estimate_central":400,"intake_estimate_basis":"Mega base x 1.0 sector x 1.0 mechanism","confirmation_status":"[Note]","data_confidence":"Low","geo_source":"inferred","notes":"UK-domiciled global bank; also recruits into its India GCC and China operations"},</t>
  </si>
  <si>
    <t xml:space="preserve">    {"node_id":"ORG_BARC","label":"Barclays","node_type":"Organisation","region":"United Kingdom","country":"United Kingdom","hub_city":"London","sector":"Investment Banking - Bulge Bracket","subsector_tier":"Global multinational","entry_mechanism_id":"MECH_UK_SPRING","program_name":"Graduate / analyst programmes","program_length_months":null,"org_size_band":"Mega","size_basis":"inferred - coarse band, verify","annual_intake_low":null,"annual_intake_high":null,"applications_per_cycle":null,"intake_estimate_central":800,"intake_estimate_basis":"Mega base x 2.0 sector x 1.0 mechanism","confirmation_status":"[Note]","data_confidence":"Low","geo_source":"inferred","notes":"UK-domiciled global bank; also recruits into its India GCC and China operations"},</t>
  </si>
  <si>
    <t xml:space="preserve">    {"node_id":"ORG_STAN","label":"Standard Chartered","node_type":"Organisation","region":"United Kingdom","country":"United Kingdom","hub_city":"London","sector":"Commercial / Retail Banking","subsector_tier":"Global multinational","entry_mechanism_id":"MECH_UK_SPRING","program_name":"Graduate / analyst programmes","program_length_months":null,"org_size_band":"Large","size_basis":"inferred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mechanism","confirmation_status":"[Note]","data_confidence":"Low","geo_source":"inferred","notes":"UK-domiciled global bank; also recruits into its India GCC and China operations"},</t>
  </si>
  <si>
    <t xml:space="preserve">    {"node_id":"ORG_ICBC","label":"ICBC 中国工商银行","node_type":"Organisation","region":"China","country":"China","hub_city":"Beijing","sector":"Commercial / Retail Banking","subsector_tier":"Big Four state-owned","entry_mechanism_id":"MECH_CN_CYCLE","program_name":"星辰 (Xingchen) management trainee + general 校园招聘","program_length_months":null,"org_size_band":"Mega","size_basis":"inferred - coarse band, verify","annual_intake_low":null,"annual_intake_high":null,"applications_per_cycle":null,"intake_estimate_central":1200,"intake_estimate_basis":"Mega base x 1.0 sector x 3.0 mechanism","confirmation_status":"[C-Official, Chinese]","data_confidence":"High","geo_source":"inferred","notes":null},</t>
  </si>
  <si>
    <t xml:space="preserve">    {"node_id":"ORG_CCB","label":"China Construction Bank 中国建设银行","node_type":"Organisation","region":"China","country":"China","hub_city":"Beijing","sector":"Commercial / Retail Banking","subsector_tier":"Big Four state-owned","entry_mechanism_id":"MECH_CN_CYCLE","program_name":"校园招聘","program_length_months":null,"org_size_band":"Mega","size_basis":"inferred - coarse band, verify","annual_intake_low":null,"annual_intake_high":null,"applications_per_cycle":null,"intake_estimate_central":1200,"intake_estimate_basis":"Mega base x 1.0 sector x 3.0 mechanism","confirmation_status":"[C-Press]","data_confidence":"Medium","geo_source":"inferred","notes":null},</t>
  </si>
  <si>
    <t xml:space="preserve">    {"node_id":"ORG_ABC","label":"Agricultural Bank of China 农业银行","node_type":"Organisation","region":"China","country":"China","hub_city":"Beijing","sector":"Commercial / Retail Banking","subsector_tier":"Big Four state-owned","entry_mechanism_id":"MECH_CN_CYCLE","program_name":"校园招聘 (spring round noted)","program_length_months":null,"org_size_band":"Mega","size_basis":"inferred - coarse band, verify","annual_intake_low":null,"annual_intake_high":null,"applications_per_cycle":null,"intake_estimate_central":1200,"intake_estimate_basis":"Mega base x 1.0 sector x 3.0 mechanism","confirmation_status":"[C-Press, Chinese]","data_confidence":"Medium","geo_source":"inferred","notes":null},</t>
  </si>
  <si>
    <t xml:space="preserve">    {"node_id":"ORG_BOC","label":"Bank of China 中国银行","node_type":"Organisation","region":"China","country":"China","hub_city":"Beijing","sector":"Commercial / Retail Banking","subsector_tier":"Big Four state-owned","entry_mechanism_id":"MECH_CN_CYCLE","program_name":"校园招聘","program_length_months":null,"org_size_band":"Mega","size_basis":"inferred - coarse band, verify","annual_intake_low":null,"annual_intake_high":null,"applications_per_cycle":null,"intake_estimate_central":1200,"intake_estimate_basis":"Mega base x 1.0 sector x 3.0 mechanism","confirmation_status":"[C-Press]","data_confidence":"Medium","geo_source":"inferred","notes":null},</t>
  </si>
  <si>
    <t xml:space="preserve">    {"node_id":"ORG_CDB","label":"China Development Bank 国家开发银行","node_type":"Organisation","region":"China","country":"China","hub_city":"Beijing","sector":"Policy / Development Bank","subsector_tier":"Policy bank","entry_mechanism_id":"MECH_CN_CYCLE","program_name":null,"program_length_months":null,"org_size_band":"Large","size_basis":"inferred - coarse band, verify","annual_intake_low":null,"annual_intake_high":null,"applications_per_cycle":null,"intake_estimate_central":144,"intake_estimate_basis":"Large base x 0.4 sector x 3.0 mechanism","confirmation_status":"[Note]","data_confidence":"Low","geo_source":"inferred","notes":null},</t>
  </si>
  <si>
    <t xml:space="preserve">    {"node_id":"ORG_EXIM","label":"Export-Import Bank of China 中国进出口银行","node_type":"Organisation","region":"China","country":"China","hub_city":"Beijing","sector":"Policy / Development Bank","subsector_tier":"Policy bank","entry_mechanism_id":"MECH_CN_CYCLE","program_name":null,"program_length_months":null,"org_size_band":"Large","size_basis":"inferred - coarse band, verify","annual_intake_low":null,"annual_intake_high":null,"applications_per_cycle":null,"intake_estimate_central":144,"intake_estimate_basis":"Large base x 0.4 sector x 3.0 mechanism","confirmation_status":"[Note]","data_confidence":"Low","geo_source":"inferred","notes":null},</t>
  </si>
  <si>
    <t xml:space="preserve">    {"node_id":"ORG_ADBC","label":"Agricultural Development Bank of China 中国农业发展银行","node_type":"Organisation","region":"China","country":"China","hub_city":"Beijing","sector":"Policy / Development Bank","subsector_tier":"Policy bank","entry_mechanism_id":"MECH_CN_CYCLE","program_name":null,"program_length_months":null,"org_size_band":"Large","size_basis":"inferred - coarse band, verify","annual_intake_low":null,"annual_intake_high":null,"applications_per_cycle":null,"intake_estimate_central":144,"intake_estimate_basis":"Large base x 0.4 sector x 3.0 mechanism","confirmation_status":"[Note]","data_confidence":"Low","geo_source":"inferred","notes":null},</t>
  </si>
  <si>
    <t xml:space="preserve">    {"node_id":"ORG_CMB","label":"China Merchants Bank 招商银行","node_type":"Organisation","region":"China","country":"China","hub_city":"Shenzhen","sector":"Commercial / Retail Banking","subsector_tier":"Joint-stock commercial","entry_mechanism_id":"MECH_CN_CYCLE","program_name":"校园招聘","program_length_months":null,"org_size_band":"Mega","size_basis":"inferred - coarse band, verify","annual_intake_low":null,"annual_intake_high":null,"applications_per_cycle":null,"intake_estimate_central":1200,"intake_estimate_basis":"Mega base x 1.0 sector x 3.0 mechanism","confirmation_status":"[C-Press, Chinese]","data_confidence":"Medium","geo_source":"inferred","notes":null},</t>
  </si>
  <si>
    <t xml:space="preserve">    {"node_id":"ORG_CITICBK","label":"China CITIC Bank 中信银行","node_type":"Organisation","region":"China","country":"China","hub_city":"Beijing","sector":"Commercial / Retail Banking","subsector_tier":"Joint-stock commercial","entry_mechanism_id":"MECH_CN_CYCLE","program_name":"校园招聘","program_length_months":null,"org_size_band":"Large","size_basis":"inferred - coarse band, verify","annual_intake_low":null,"annual_intake_high":null,"applications_per_cycle":null,"intake_estimate_central":360,"intake_estimate_basis":"Large base x 1.0 sector x 3.0 mechanism","confirmation_status":"[Note]","data_confidence":"Low","geo_source":"inferred","notes":null},</t>
  </si>
  <si>
    <t xml:space="preserve">    {"node_id":"ORG_PABANK","label":"Ping An Bank 平安银行","node_type":"Organisation","region":"China","country":"China","hub_city":"Shenzhen","sector":"Commercial / Retail Banking","subsector_tier":"Joint-stock commercial","entry_mechanism_id":"MECH_CN_CYCLE","program_name":"校园招聘","program_length_months":null,"org_size_band":"Large","size_basis":"inferred - coarse band, verify","annual_intake_low":null,"annual_intake_high":null,"applications_per_cycle":null,"intake_estimate_central":360,"intake_estimate_basis":"Large base x 1.0 sector x 3.0 mechanism","confirmation_status":"[Note]","data_confidence":"Low","geo_source":"inferred","notes":null},</t>
  </si>
  <si>
    <t xml:space="preserve">    {"node_id":"ORG_SPDB","label":"Shanghai Pudong Development Bank 浦发银行","node_type":"Organisation","region":"China","country":"China","hub_city":"Shanghai","sector":"Commercial / Retail Banking","subsector_tier":"Joint-stock commercial","entry_mechanism_id":"MECH_CN_CYCLE","program_name":"校园招聘","program_length_months":null,"org_size_band":"Large","size_basis":"inferred - coarse band, verify","annual_intake_low":null,"annual_intake_high":null,"applications_per_cycle":null,"intake_estimate_central":360,"intake_estimate_basis":"Large base x 1.0 sector x 3.0 mechanism","confirmation_status":"[Note]","data_confidence":"Low","geo_source":"inferred","notes":null},</t>
  </si>
  <si>
    <t xml:space="preserve">    {"node_id":"ORG_CMBC","label":"China Minsheng Bank 民生银行","node_type":"Organisation","region":"China","country":"China","hub_city":"Beijing","sector":"Commercial / Retail Banking","subsector_tier":"Joint-stock commercial","entry_mechanism_id":"MECH_CN_CYCLE","program_name":"校园招聘","program_length_months":null,"org_size_band":"Large","size_basis":"inferred - coarse band, verify","annual_intake_low":null,"annual_intake_high":null,"applications_per_cycle":null,"intake_estimate_central":360,"intake_estimate_basis":"Large base x 1.0 sector x 3.0 mechanism","confirmation_status":"[Note]","data_confidence":"Low","geo_source":"inferred","notes":null},</t>
  </si>
  <si>
    <t xml:space="preserve">    {"node_id":"ORG_CEB","label":"China Everbright Bank 光大银行","node_type":"Organisation","region":"China","country":"China","hub_city":"Beijing","sector":"Commercial / Retail Banking","subsector_tier":"Joint-stock commercial","entry_mechanism_id":"MECH_CN_CYCLE","program_name":"校园招聘","program_length_months":null,"org_size_band":"Large","size_basis":"inferred - coarse band, verify","annual_intake_low":null,"annual_intake_high":null,"applications_per_cycle":null,"intake_estimate_central":360,"intake_estimate_basis":"Large base x 1.0 sector x 3.0 mechanism","confirmation_status":"[Note]","data_confidence":"Low","geo_source":"inferred","notes":null},</t>
  </si>
  <si>
    <t xml:space="preserve">    {"node_id":"ORG_CIB","label":"Industrial Bank 兴业银行","node_type":"Organisation","region":"China","country":"China","hub_city":"Other China","sector":"Commercial / Retail Banking","subsector_tier":"Joint-stock commercial","entry_mechanism_id":"MECH_CN_CYCLE","program_name":"校园招聘","program_length_months":null,"org_size_band":"Large","size_basis":"inferred - coarse band, verify","annual_intake_low":null,"annual_intake_high":null,"applications_per_cycle":null,"intake_estimate_central":360,"intake_estimate_basis":"Large base x 1.0 sector x 3.0 mechanism","confirmation_status":"[Note]","data_confidence":"Low","geo_source":"inferred","notes":null},</t>
  </si>
  <si>
    <t xml:space="preserve">    {"node_id":"ORG_CITICS","label":"CITIC Securities 中信证券","node_type":"Organisation","region":"China","country":"China","hub_city":"Beijing","sector":"Securities / Brokerage","subsector_tier":"Securities / IB","entry_mechanism_id":"MECH_CN_CYCLE","program_name":"2026 校园招聘","program_length_months":null,"org_size_band":"Large","size_basis":"inferred - coarse band, verify","annual_intake_low":null,"annual_intake_high":null,"applications_per_cycle":null,"intake_estimate_central":360,"intake_estimate_basis":"Large base x 1.0 sector x 3.0 mechanism","confirmation_status":"[C-Official, Chinese]","data_confidence":"High","geo_source":"inferred","notes":null},</t>
  </si>
  <si>
    <t xml:space="preserve">    {"node_id":"ORG_CICC","label":"CICC 中国国际金融","node_type":"Organisation","region":"China","country":"China","hub_city":"Beijing","sector":"Securities / Brokerage","subsector_tier":"Securities / IB","entry_mechanism_id":"MECH_CN_CYCLE","program_name":"2026 Campus Recruitment (IB, Equities, FICC, PE, AM, WM, Research, IT, Back Office)","program_length_months":null,"org_size_band":"Large","size_basis":"inferred - coarse band, verify","annual_intake_low":null,"annual_intake_high":null,"applications_per_cycle":null,"intake_estimate_central":360,"intake_estimate_basis":"Large base x 1.0 sector x 3.0 mechanism","confirmation_status":"[C-Official]","data_confidence":"High","geo_source":"inferred","notes":null},</t>
  </si>
  <si>
    <t xml:space="preserve">    {"node_id":"ORG_HAITONG","label":"Haitong Securities 海通证券","node_type":"Organisation","region":"China","country":"China","hub_city":"Shanghai","sector":"Securities / Brokerage","subsector_tier":"Securities / IB","entry_mechanism_id":"MECH_CN_CYCLE","program_name":"校园招聘","program_length_months":null,"org_size_band":"Large","size_basis":"inferred - coarse band, verify","annual_intake_low":null,"annual_intake_high":null,"applications_per_cycle":null,"intake_estimate_central":360,"intake_estimate_basis":"Large base x 1.0 sector x 3.0 mechanism","confirmation_status":"[Note]","data_confidence":"Low","geo_source":"inferred","notes":null},</t>
  </si>
  <si>
    <t xml:space="preserve">    {"node_id":"ORG_GTJA","label":"Guotai Junan Securities 国泰君安","node_type":"Organisation","region":"China","country":"China","hub_city":"Shanghai","sector":"Securities / Brokerage","subsector_tier":"Securities / IB","entry_mechanism_id":"MECH_CN_CYCLE","program_name":"校园招聘","program_length_months":null,"org_size_band":"Large","size_basis":"inferred - coarse band, verify","annual_intake_low":null,"annual_intake_high":null,"applications_per_cycle":null,"intake_estimate_central":360,"intake_estimate_basis":"Large base x 1.0 sector x 3.0 mechanism","confirmation_status":"[Note]","data_confidence":"Low","geo_source":"inferred","notes":null},</t>
  </si>
  <si>
    <t xml:space="preserve">    {"node_id":"ORG_GF","label":"GF Securities 广发证券","node_type":"Organisation","region":"China","country":"China","hub_city":"Other China","sector":"Securities / Brokerage","subsector_tier":"Securities / IB","entry_mechanism_id":"MECH_CN_CYCLE","program_name":"校园招聘","program_length_months":null,"org_size_band":"Large","size_basis":"inferred - coarse band, verify","annual_intake_low":null,"annual_intake_high":null,"applications_per_cycle":null,"intake_estimate_central":360,"intake_estimate_basis":"Large base x 1.0 sector x 3.0 mechanism","confirmation_status":"[Note]","data_confidence":"Low","geo_source":"inferred","notes":null},</t>
  </si>
  <si>
    <t xml:space="preserve">    {"node_id":"ORG_CMS","label":"China Merchants Securities 招商证券","node_type":"Organisation","region":"China","country":"China","hub_city":"Shenzhen","sector":"Securities / Brokerage","subsector_tier":"Securities / IB","entry_mechanism_id":"MECH_CN_CYCLE","program_name":"校园招聘","program_length_months":null,"org_size_band":"Large","size_basis":"inferred - coarse band, verify","annual_intake_low":null,"annual_intake_high":null,"applications_per_cycle":null,"intake_estimate_central":360,"intake_estimate_basis":"Large base x 1.0 sector x 3.0 mechanism","confirmation_status":"[Note]","data_confidence":"Low","geo_source":"inferred","notes":null},</t>
  </si>
  <si>
    <t xml:space="preserve">    {"node_id":"ORG_PINGAN","label":"Ping An Insurance 中国平安","node_type":"Organisation","region":"China","country":"China","hub_city":"Shenzhen","sector":"Insurance","subsector_tier":"Insurer","entry_mechanism_id":"MECH_CN_CYCLE","program_name":"文臣武将 management-trainee talent plan","program_length_months":null,"org_size_band":"Mega","size_basis":"inferred - coarse band, verify","annual_intake_low":null,"annual_intake_high":null,"applications_per_cycle":null,"intake_estimate_central":1200,"intake_estimate_basis":"Mega base x 1.0 sector x 3.0 mechanism","confirmation_status":"[C-Official, Chinese]","data_confidence":"High","geo_source":"inferred","notes":null},</t>
  </si>
  <si>
    <t xml:space="preserve">    {"node_id":"ORG_CHINALIFE","label":"China Life 中国人寿","node_type":"Organisation","region":"China","country":"China","hub_city":"Beijing","sector":"Insurance","subsector_tier":"Insurer","entry_mechanism_id":"MECH_CN_CYCLE","program_name":"校园招聘","program_length_months":null,"org_size_band":"Mega","size_basis":"inferred - coarse band, verify","annual_intake_low":null,"annual_intake_high":null,"applications_per_cycle":null,"intake_estimate_central":1200,"intake_estimate_basis":"Mega base x 1.0 sector x 3.0 mechanism","confirmation_status":"[C-Official, Chinese]","data_confidence":"High","geo_source":"inferred","notes":null},</t>
  </si>
  <si>
    <t xml:space="preserve">    {"node_id":"ORG_CPIC","label":"China Pacific Insurance (CPIC) 中国太保","node_type":"Organisation","region":"China","country":"China","hub_city":"Shanghai","sector":"Insurance","subsector_tier":"Insurer","entry_mechanism_id":"MECH_CN_CYCLE","program_name":"校园招聘","program_length_months":null,"org_size_band":"Large","size_basis":"inferred - coarse band, verify","annual_intake_low":null,"annual_intake_high":null,"applications_per_cycle":null,"intake_estimate_central":360,"intake_estimate_basis":"Large base x 1.0 sector x 3.0 mechanism","confirmation_status":"[Note]","data_confidence":"Low","geo_source":"inferred","notes":null},</t>
  </si>
  <si>
    <t xml:space="preserve">    {"node_id":"ORG_PICC","label":"PICC 中国人保","node_type":"Organisation","region":"China","country":"China","hub_city":"Beijing","sector":"Insurance","subsector_tier":"Insurer","entry_mechanism_id":"MECH_CN_CYCLE","program_name":"校园招聘","program_length_months":null,"org_size_band":"Mega","size_basis":"inferred - coarse band, verify","annual_intake_low":null,"annual_intake_high":null,"applications_per_cycle":null,"intake_estimate_central":1200,"intake_estimate_basis":"Mega base x 1.0 sector x 3.0 mechanism","confirmation_status":"[Note]","data_confidence":"Low","geo_source":"inferred","notes":null},</t>
  </si>
  <si>
    <t xml:space="preserve">    {"node_id":"ORG_NCI","label":"New China Life 新华保险","node_type":"Organisation","region":"China","country":"China","hub_city":"Beijing","sector":"Insurance","subsector_tier":"Insurer","entry_mechanism_id":"MECH_CN_CYCLE","program_name":"校园招聘","program_length_months":null,"org_size_band":"Large","size_basis":"inferred - coarse band, verify","annual_intake_low":null,"annual_intake_high":null,"applications_per_cycle":null,"intake_estimate_central":360,"intake_estimate_basis":"Large base x 1.0 sector x 3.0 mechanism","confirmation_status":"[Note]","data_confidence":"Low","geo_source":"inferred","notes":null},</t>
  </si>
  <si>
    <t xml:space="preserve">    {"node_id":"ORG_SUNSHINE","label":"Sunshine Insurance 阳光保险","node_type":"Organisation","region":"China","country":"China","hub_city":"Other China","sector":"Insurance","subsector_tier":"Insurer","entry_mechanism_id":"MECH_CN_CYCLE","program_name":"校园招聘","program_length_months":null,"org_size_band":"Mid","size_basis":"inferred - coarse band, verify","annual_intake_low":null,"annual_intake_high":null,"applications_per_cycle":null,"intake_estimate_central":90,"intake_estimate_basis":"Mid base x 1.0 sector x 3.0 mechanism","confirmation_status":"[Note]","data_confidence":"Low","geo_source":"inferred","notes":null},</t>
  </si>
  <si>
    <t xml:space="preserve">    {"node_id":"ORG_EFUND","label":"E Fund Management 易方达","node_type":"Organisation","region":"China","country":"China","hub_city":"Other China","sector":"Investment / Asset Management","subsector_tier":"Asset manager","entry_mechanism_id":"MECH_CN_CYCLE","program_name":null,"program_length_months":null,"org_size_band":"Mid","size_basis":"inferred - coarse band, verify","annual_intake_low":null,"annual_intake_high":null,"applications_per_cycle":null,"intake_estimate_central":72,"intake_estimate_basis":"Mid base x 0.8 sector x 3.0 mechanism","confirmation_status":"[Note]","data_confidence":"Low","geo_source":"inferred","notes":null},</t>
  </si>
  <si>
    <t xml:space="preserve">    {"node_id":"ORG_CHINAAMC","label":"China AMC 华夏基金","node_type":"Organisation","region":"China","country":"China","hub_city":"Beijing","sector":"Investment / Asset Management","subsector_tier":"Asset manager","entry_mechanism_id":"MECH_CN_CYCLE","program_name":null,"program_length_months":null,"org_size_band":"Mid","size_basis":"inferred - coarse band, verify","annual_intake_low":null,"annual_intake_high":null,"applications_per_cycle":null,"intake_estimate_central":72,"intake_estimate_basis":"Mid base x 0.8 sector x 3.0 mechanism","confirmation_status":"[Note]","data_confidence":"Low","geo_source":"inferred","notes":null},</t>
  </si>
  <si>
    <t xml:space="preserve">    {"node_id":"ORG_HARVEST","label":"Harvest Fund Management 嘉实基金","node_type":"Organisation","region":"China","country":"China","hub_city":"Beijing","sector":"Investment / Asset Management","subsector_tier":"Asset manager","entry_mechanism_id":"MECH_CN_CYCLE","program_name":null,"program_length_months":null,"org_size_band":"Mid","size_basis":"inferred - coarse band, verify","annual_intake_low":null,"annual_intake_high":null,"applications_per_cycle":null,"intake_estimate_central":72,"intake_estimate_basis":"Mid base x 0.8 sector x 3.0 mechanism","confirmation_status":"[Note]","data_confidence":"Low","geo_source":"inferred","notes":null},</t>
  </si>
  <si>
    <t xml:space="preserve">    {"node_id":"ORG_GFFUND","label":"GF Fund Management 广发基金","node_type":"Organisation","region":"China","country":"China","hub_city":"Other China","sector":"Investment / Asset Management","subsector_tier":"Asset manager","entry_mechanism_id":"MECH_CN_CYCLE","program_name":null,"program_length_months":null,"org_size_band":"Mid","size_basis":"inferred - coarse band, verify","annual_intake_low":null,"annual_intake_high":null,"applications_per_cycle":null,"intake_estimate_central":72,"intake_estimate_basis":"Mid base x 0.8 sector x 3.0 mechanism","confirmation_status":"[Note]","data_confidence":"Low","geo_source":"inferred","notes":null},</t>
  </si>
  <si>
    <t xml:space="preserve">    {"node_id":"ORG_ANT","label":"Ant Group 蚂蚁集团","node_type":"Organisation","region":"China","country":"China","hub_city":"Hangzhou","sector":"Fintech / Tech-Finance","subsector_tier":"Fintech giant","entry_mechanism_id":"MECH_CN_CYCLE","program_name":"Ant Star / 星阵 + Fresh Graduates Program","program_length_months":null,"org_size_band":"Large","size_basis":"inferred - coarse band, verify","annual_intake_low":null,"annual_intake_high":null,"applications_per_cycle":null,"intake_estimate_central":360,"intake_estimate_basis":"Large base x 1.0 sector x 3.0 mechanism","confirmation_status":"[C-Official]","data_confidence":"High","geo_source":"inferred","notes":null},</t>
  </si>
  <si>
    <t xml:space="preserve">    {"node_id":"ORG_TENCENTFIT","label":"Tencent FiT / WeBank 腾讯金融科技 / 微众银行","node_type":"Organisation","region":"China","country":"China","hub_city":"Shenzhen","sector":"Fintech / Tech-Finance","subsector_tier":"Fintech giant","entry_mechanism_id":"MECH_CN_CYCLE","program_name":"校园招聘","program_length_months":null,"org_size_band":"Mega","size_basis":"inferred - coarse band, verify","annual_intake_low":null,"annual_intake_high":null,"applications_per_cycle":null,"intake_estimate_central":1200,"intake_estimate_basis":"Mega base x 1.0 sector x 3.0 mechanism","confirmation_status":"[Note]","data_confidence":"Low","geo_source":"inferred","notes":null},</t>
  </si>
  <si>
    <t xml:space="preserve">    {"node_id":"ORG_JDTECH","label":"JD Technology / JD Digits 京东科技","node_type":"Organisation","region":"China","country":"China","hub_city":"Beijing","sector":"Fintech / Tech-Finance","subsector_tier":"Fintech giant","entry_mechanism_id":"MECH_CN_CYCLE","program_name":"校园招聘","program_length_months":null,"org_size_band":"Large","size_basis":"inferred - coarse band, verify","annual_intake_low":null,"annual_intake_high":null,"applications_per_cycle":null,"intake_estimate_central":360,"intake_estimate_basis":"Large base x 1.0 sector x 3.0 mechanism","confirmation_status":"[Note]","data_confidence":"Low","geo_source":"inferred","notes":null},</t>
  </si>
  <si>
    <t xml:space="preserve">    {"node_id":"ORG_LUFAX","label":"Lufax 陆金所","node_type":"Organisation","region":"China","country":"China","hub_city":"Shanghai","sector":"Fintech / Tech-Finance","subsector_tier":"Fintech","entry_mechanism_id":"MECH_CN_CYCLE","program_name":"校园招聘","program_length_months":null,"org_size_band":"Mid","size_basis":"inferred - coarse band, verify","annual_intake_low":null,"annual_intake_high":null,"applications_per_cycle":null,"intake_estimate_central":90,"intake_estimate_basis":"Mid base x 1.0 sector x 3.0 mechanism","confirmation_status":"[Note]","data_confidence":"Low","geo_source":"inferred","notes":null},</t>
  </si>
  <si>
    <t xml:space="preserve">    {"node_id":"ORG_ITAU","label":"Itaú Unibanco","node_type":"Organisation","region":"Latin America","country":"Brazil","hub_city":"São Paulo","sector":"Commercial / Retail Banking","subsector_tier":"Brazil domestic","entry_mechanism_id":"MECH_BR_TRAINEE","program_name":"Programa Trainee Itaú Unibanco (tracks Negócios Varejo + Finanças)","program_length_months":"18","org_size_band":"Mega","size_basis":"inferred - coarse band, verify","annual_intake_low":null,"annual_intake_high":null,"applications_per_cycle":null,"intake_estimate_central":100,"intake_estimate_basis":"Mega base x 1.0 sector x 0.25 mechanism","confirmation_status":"[C-Official]","data_confidence":"High","geo_source":"source","notes":null},</t>
  </si>
  <si>
    <t xml:space="preserve">    {"node_id":"ORG_BRADESCO","label":"Banco Bradesco","node_type":"Organisation","region":"Latin America","country":"Brazil","hub_city":"São Paulo","sector":"Commercial / Retail Banking","subsector_tier":"Brazil domestic","entry_mechanism_id":"MECH_LATAM_ESTAGIO","program_name":"Programa de Estágio Bradesco (2026 cycles, multiple tracks)","program_length_months":null,"org_size_band":"Mega","size_basis":"inferred - coarse band, verify","annual_intake_low":null,"annual_intake_high":null,"applications_per_cycle":null,"intake_estimate_central":320,"intake_estimate_basis":"Mega base x 1.0 sector x 0.8 mechanism","confirmation_status":"[C-Official]","data_confidence":"High","geo_source":"source","notes":null},</t>
  </si>
  <si>
    <t xml:space="preserve">    {"node_id":"ORG_BB","label":"Banco do Brasil","node_type":"Organisation","region":"Latin America","country":"Brazil","hub_city":"São Paulo","sector":"Commercial / Retail Banking","subsector_tier":"Brazil state-owned","entry_mechanism_id":"MECH_LATAM_CONCURSO","program_name":"No formal trainee - career staff via concurso público; Jovem Aprendiz + estágio only","program_length_months":null,"org_size_band":"Mega","size_basis":"inferred - coarse band, verify","annual_intake_low":null,"annual_intake_high":null,"applications_per_cycle":null,"intake_estimate_central":240,"intake_estimate_basis":"Mega base x 1.0 sector x 0.6 mechanism","confirmation_status":"[C-Press]","data_confidence":"Medium","geo_source":"source","notes":null},</t>
  </si>
  <si>
    <t xml:space="preserve">    {"node_id":"ORG_SANBR","label":"Santander Brasil","node_type":"Organisation","region":"Latin America","country":"Brazil","hub_city":"São Paulo","sector":"Commercial / Retail Banking","subsector_tier":"Brazil (Santander group)","entry_mechanism_id":"MECH_BR_TRAINEE","program_name":"Programa de Trainee Santander (international experience; CIB intakes)","program_length_months":"18","org_size_band":"Mega","size_basis":"inferred - coarse band, verify","annual_intake_low":null,"annual_intake_high":null,"applications_per_cycle":null,"intake_estimate_central":100,"intake_estimate_basis":"Mega base x 1.0 sector x 0.25 mechanism","confirmation_status":"[C-Official]","data_confidence":"High","geo_source":"source","notes":null},</t>
  </si>
  <si>
    <t xml:space="preserve">    {"node_id":"ORG_BTG","label":"BTG Pactual","node_type":"Organisation","region":"Latin America","country":"Brazil","hub_city":"São Paulo","sector":"Investment Banking - Elite Boutique / Independent Advisory","subsector_tier":"Brazil IB","entry_mechanism_id":"MECH_LATAM_ESTAGIO","program_name":"Inside (women-in-finance internship), Estágio de Férias, Geração BTG","program_length_months":null,"org_size_band":"Large","size_basis":"inferred - coarse band, verify","annual_intake_low":null,"annual_intake_high":null,"applications_per_cycle":null,"intake_estimate_central":77,"intake_estimate_basis":"Large base x 0.8 sector x 0.8 mechanism","confirmation_status":"[C-Official]","data_confidence":"High","geo_source":"source","notes":null},</t>
  </si>
  <si>
    <t xml:space="preserve">    {"node_id":"ORG_ENFORCE","label":"Enforce BTG Pactual","node_type":"Organisation","region":"Latin America","country":"Brazil","hub_city":"São Paulo","sector":"NBFC / Diversified Financial","subsector_tier":"Brazil (BTG subsidiary)","entry_mechanism_id":"MECH_BR_TRAINEE","program_name":"Programa de Trainee 2026","program_length_months":null,"org_size_band":"Mid","size_basis":"inferred - coarse band, verify","annual_intake_low":null,"annual_intake_high":null,"applications_per_cycle":null,"intake_estimate_central":6,"intake_estimate_basis":"Mid base x 0.8 sector x 0.25 mechanism","confirmation_status":"[C-Official]","data_confidence":"High","geo_source":"source","notes":null},</t>
  </si>
  <si>
    <t xml:space="preserve">    {"node_id":"ORG_XP","label":"XP Inc.","node_type":"Organisation","region":"Latin America","country":"Brazil","hub_city":"São Paulo","sector":"Securities / Brokerage","subsector_tier":"Brazil broker / platform","entry_mechanism_id":"MECH_LATAM_ESTAGIO","program_name":"XTAG Programa de Estágio (IB, Asset Mgmt, Research, Sales Trader, Trading, Corporate)","program_length_months":null,"org_size_band":"Large","size_basis":"inferred - coarse band, verify","annual_intake_low":null,"annual_intake_high":null,"applications_per_cycle":null,"intake_estimate_central":96,"intake_estimate_basis":"Large base x 1.0 sector x 0.8 mechanism","confirmation_status":"[C-Official]","data_confidence":"High","geo_source":"source","notes":null},</t>
  </si>
  <si>
    <t xml:space="preserve">    {"node_id":"ORG_CAIXA","label":"Caixa Econômica Federal","node_type":"Organisation","region":"Latin America","country":"Brazil","hub_city":"São Paulo","sector":"Commercial / Retail Banking","subsector_tier":"Brazil state-owned","entry_mechanism_id":"MECH_LATAM_CONCURSO","program_name":"No confirmed trainee - concurso / Jovem Aprendiz based","program_length_months":null,"org_size_band":"Mega","size_basis":"inferred - coarse band, verify","annual_intake_low":null,"annual_intake_high":null,"applications_per_cycle":null,"intake_estimate_central":240,"intake_estimate_basis":"Mega base x 1.0 sector x 0.6 mechanism","confirmation_status":"[C-Press]","data_confidence":"Medium","geo_source":"source","notes":null},</t>
  </si>
  <si>
    <t xml:space="preserve">    {"node_id":"ORG_BBVAMX","label":"BBVA México","node_type":"Organisation","region":"Latin America","country":"Mexico","hub_city":"Mexico City","sector":"Commercial / Retail Banking","subsector_tier":"Mexico","entry_mechanism_id":"MECH_BR_TRAINEE","program_name":"Programa Trainees / Graduates (12-month trainee + becarios)","program_length_months":"12","org_size_band":"Mega","size_basis":"inferred - coarse band, verify","annual_intake_low":null,"annual_intake_high":null,"applications_per_cycle":null,"intake_estimate_central":100,"intake_estimate_basis":"Mega base x 1.0 sector x 0.25 mechanism","confirmation_status":"[C-Official]","data_confidence":"High","geo_source":"source","notes":null},</t>
  </si>
  <si>
    <t xml:space="preserve">    {"node_id":"ORG_BANORTE","label":"Grupo Financiero Banorte","node_type":"Organisation","region":"Latin America","country":"Mexico","hub_city":"Mexico City","sector":"Commercial / Retail Banking","subsector_tier":"Mexico","entry_mechanism_id":"MECH_BR_TRAINEE","program_name":"Talento Banorte / Programa Talento Joven","program_length_months":null,"org_size_band":"Large","size_basis":"inferred - coarse band, verify","annual_intake_low":null,"annual_intake_high":null,"applications_per_cycle":null,"intake_estimate_central":30,"intake_estimate_basis":"Large base x 1.0 sector x 0.25 mechanism","confirmation_status":"[C-Official]","data_confidence":"High","geo_source":"source","notes":null},</t>
  </si>
  <si>
    <t xml:space="preserve">    {"node_id":"ORG_INBURSA","label":"Grupo Financiero Inbursa","node_type":"Organisation","region":"Latin America","country":"Mexico","hub_city":"Mexico City","sector":"Commercial / Retail Banking","subsector_tier":"Mexico","entry_mechanism_id":null,"program_name":null,"program_length_months":null,"org_size_band":"Large","size_basis":"inferred - coarse band, verify","annual_intake_low":null,"annual_intake_high":null,"applications_per_cycle":null,"intake_estimate_central":0,"intake_estimate_basis":"No confirmed programme - modelled as zero","confirmation_status":"[Note]","data_confidence":"Low","geo_source":"source","notes":null},</t>
  </si>
  <si>
    <t xml:space="preserve">    {"node_id":"ORG_CITIBANAMEX","label":"Citibanamex","node_type":"Organisation","region":"Latin America","country":"Mexico","hub_city":"Mexico City","sector":"Commercial / Retail Banking","subsector_tier":"Mexico (Citi group)","entry_mechanism_id":"MECH_LATAM_ESTAGIO","program_name":"Analyst / Programa de Estágio","program_length_months":null,"org_size_band":"Mega","size_basis":"inferred - coarse band, verify","annual_intake_low":null,"annual_intake_high":null,"applications_per_cycle":null,"intake_estimate_central":320,"intake_estimate_basis":"Mega base x 1.0 sector x 0.8 mechanism","confirmation_status":"[Note]","data_confidence":"Low","geo_source":"source","notes":null},</t>
  </si>
  <si>
    <t xml:space="preserve">    {"node_id":"ORG_BANCOLOMBIA","label":"Bancolombia","node_type":"Organisation","region":"Latin America","country":"Colombia","hub_city":"Medellín","sector":"Commercial / Retail Banking","subsector_tier":"Colombia","entry_mechanism_id":"MECH_LATAM_ESTAGIO","program_name":"Talento B (aprendices; data science/tech/design/cyber focus) + prácticas","program_length_months":null,"org_size_band":"Large","size_basis":"inferred - coarse band, verify","annual_intake_low":null,"annual_intake_high":null,"applications_per_cycle":null,"intake_estimate_central":96,"intake_estimate_basis":"Large base x 1.0 sector x 0.8 mechanism","confirmation_status":"[C-Official]","data_confidence":"High","geo_source":"inferred","notes":null},</t>
  </si>
  <si>
    <t xml:space="preserve">    {"node_id":"ORG_AVAL","label":"Grupo Aval","node_type":"Organisation","region":"Latin America","country":"Colombia","hub_city":"Bogotá","sector":"Commercial / Retail Banking","subsector_tier":"Colombia","entry_mechanism_id":null,"program_name":"Talento Aval jobs portal","program_length_months":null,"org_size_band":"Large","size_basis":"inferred - coarse band, verify","annual_intake_low":null,"annual_intake_high":null,"applications_per_cycle":null,"intake_estimate_central":0,"intake_estimate_basis":"No confirmed programme - modelled as zero","confirmation_status":"[C-Press]","data_confidence":"Medium","geo_source":"inferred","notes":null},</t>
  </si>
  <si>
    <t xml:space="preserve">    {"node_id":"ORG_DAVIVIENDA","label":"Davivienda","node_type":"Organisation","region":"Latin America","country":"Colombia","hub_city":"Bogotá","sector":"Commercial / Retail Banking","subsector_tier":"Colombia","entry_mechanism_id":null,"program_name":"Nativos (SENA-sponsored technical training-to-hire)","program_length_months":null,"org_size_band":"Large","size_basis":"inferred - coarse band, verify","annual_intake_low":null,"annual_intake_high":null,"applications_per_cycle":null,"intake_estimate_central":0,"intake_estimate_basis":"No confirmed programme - modelled as zero","confirmation_status":"[C-Press]","data_confidence":"Medium","geo_source":"inferred","notes":null},</t>
  </si>
  <si>
    <t xml:space="preserve">    {"node_id":"ORG_BCHILE","label":"Banco de Chile","node_type":"Organisation","region":"Latin America","country":"Chile","hub_city":"Santiago","sector":"Commercial / Retail Banking","subsector_tier":"Chile","entry_mechanism_id":"MECH_BR_TRAINEE","program_name":"Programa Trainee (Banca Empresas + Banca Personas tracks)","program_length_months":null,"org_size_band":"Large","size_basis":"inferred - coarse band, verify","annual_intake_low":null,"annual_intake_high":null,"applications_per_cycle":null,"intake_estimate_central":30,"intake_estimate_basis":"Large base x 1.0 sector x 0.25 mechanism","confirmation_status":"[C-Press]","data_confidence":"Medium","geo_source":"source","notes":null},</t>
  </si>
  <si>
    <t xml:space="preserve">    {"node_id":"ORG_BCI","label":"Banco de Crédito e Inversiones (BCI)","node_type":"Organisation","region":"Latin America","country":"Chile","hub_city":"Santiago","sector":"Commercial / Retail Banking","subsector_tier":"Chile","entry_mechanism_id":null,"program_name":null,"program_length_months":null,"org_size_band":"Large","size_basis":"inferred - coarse band, verify","annual_intake_low":null,"annual_intake_high":null,"applications_per_cycle":null,"intake_estimate_central":0,"intake_estimate_basis":"No confirmed programme - modelled as zero","confirmation_status":"[Note]","data_confidence":"Low","geo_source":"source","notes":null},</t>
  </si>
  <si>
    <t xml:space="preserve">    {"node_id":"ORG_SANCL","label":"Banco Santander Chile","node_type":"Organisation","region":"Latin America","country":"Chile","hub_city":"Santiago","sector":"Commercial / Retail Banking","subsector_tier":"Chile (Santander group)","entry_mechanism_id":"MECH_BR_TRAINEE","program_name":"Santander graduate / trainee","program_length_months":null,"org_size_band":"Large","size_basis":"inferred - coarse band, verify","annual_intake_low":null,"annual_intake_high":null,"applications_per_cycle":null,"intake_estimate_central":30,"intake_estimate_basis":"Large base x 1.0 sector x 0.25 mechanism","confirmation_status":"[Note]","data_confidence":"Low","geo_source":"source","notes":null},</t>
  </si>
  <si>
    <t xml:space="preserve">    {"node_id":"ORG_BCP","label":"Credicorp / Banco de Crédito del Perú (BCP)","node_type":"Organisation","region":"Latin America","country":"Peru","hub_city":"Lima","sector":"Commercial / Retail Banking","subsector_tier":"Peru","entry_mechanism_id":"MECH_BR_TRAINEE","program_name":"Programa Trainee de la Banca de Corporaciones y Empresas (intakes Mar/Jul/Nov)","program_length_months":"8-9","org_size_band":"Large","size_basis":"inferred - coarse band, verify","annual_intake_low":null,"annual_intake_high":null,"applications_per_cycle":null,"intake_estimate_central":30,"intake_estimate_basis":"Large base x 1.0 sector x 0.25 mechanism","confirmation_status":"[C-Official]","data_confidence":"High","geo_source":"inferred","notes":null},</t>
  </si>
  <si>
    <t xml:space="preserve">    {"node_id":"ORG_BBVAPE","label":"BBVA Perú","node_type":"Organisation","region":"Latin America","country":"Peru","hub_city":"Lima","sector":"Commercial / Retail Banking","subsector_tier":"Peru (BBVA group)","entry_mechanism_id":"MECH_BR_TRAINEE","program_name":"Trainee / graduate","program_length_months":null,"org_size_band":"Large","size_basis":"inferred - coarse band, verify","annual_intake_low":null,"annual_intake_high":null,"applications_per_cycle":null,"intake_estimate_central":30,"intake_estimate_basis":"Large base x 1.0 sector x 0.25 mechanism","confirmation_status":"[Note]","data_confidence":"Low","geo_source":"inferred","notes":null},</t>
  </si>
  <si>
    <t xml:space="preserve">    {"node_id":"ORG_GALICIA","label":"Banco Galicia","node_type":"Organisation","region":"Latin America","country":"Argentina","hub_city":"Buenos Aires","sector":"Commercial / Retail Banking","subsector_tier":"Argentina","entry_mechanism_id":"MECH_BR_TRAINEE","program_name":"Programa de Jóvenes Profesionales (rotational)","program_length_months":"18","org_size_band":"Large","size_basis":"inferred - coarse band, verify","annual_intake_low":null,"annual_intake_high":null,"applications_per_cycle":null,"intake_estimate_central":30,"intake_estimate_basis":"Large base x 1.0 sector x 0.25 mechanism","confirmation_status":"[C-Press]","data_confidence":"Medium","geo_source":"inferred","notes":null},</t>
  </si>
  <si>
    <t xml:space="preserve">    {"node_id":"ORG_BBVAAR","label":"BBVA Argentina","node_type":"Organisation","region":"Latin America","country":"Argentina","hub_city":"Buenos Aires","sector":"Commercial / Retail Banking","subsector_tier":"Argentina (BBVA group)","entry_mechanism_id":"MECH_BR_TRAINEE","program_name":"Trainee / graduate","program_length_months":null,"org_size_band":"Large","size_basis":"inferred - coarse band, verify","annual_intake_low":null,"annual_intake_high":null,"applications_per_cycle":null,"intake_estimate_central":30,"intake_estimate_basis":"Large base x 1.0 sector x 0.25 mechanism","confirmation_status":"[Note]","data_confidence":"Low","geo_source":"inferred","notes":null},</t>
  </si>
  <si>
    <t xml:space="preserve">    {"node_id":"ORG_SANAR","label":"Banco Santander Río","node_type":"Organisation","region":"Latin America","country":"Argentina","hub_city":"Buenos Aires","sector":"Commercial / Retail Banking","subsector_tier":"Argentina (Santander group)","entry_mechanism_id":"MECH_BR_TRAINEE","program_name":"Santander graduate / trainee","program_length_months":null,"org_size_band":"Large","size_basis":"inferred - coarse band, verify","annual_intake_low":null,"annual_intake_high":null,"applications_per_cycle":null,"intake_estimate_central":30,"intake_estimate_basis":"Large base x 1.0 sector x 0.25 mechanism","confirmation_status":"[Note]","data_confidence":"Low","geo_source":"inferred","notes":null},</t>
  </si>
  <si>
    <t xml:space="preserve">    {"node_id":"ORG_LATAM_BIG4","label":"Deloitte / PwC / EY / KPMG (LatAm offices)","node_type":"Organisation","region":"Latin America","country":"Brazil","hub_city":"São Paulo","sector":"Consulting / Professional Services","subsector_tier":"Big 4 LatAm practices","entry_mechanism_id":"MECH_LATAM_ESTAGIO","program_name":"Graduate / estágio","program_length_months":null,"org_size_band":"Mega","size_basis":"inferred - coarse band, verify","annual_intake_low":null,"annual_intake_high":null,"applications_per_cycle":null,"intake_estimate_central":960,"intake_estimate_basis":"Mega base x 3.0 sector x 0.8 mechanism","confirmation_status":"[C-Press]","data_confidence":"Medium","geo_source":"source","notes":null},</t>
  </si>
  <si>
    <t xml:space="preserve">    {"node_id":"ORG_LATAM_MBB","label":"McKinsey / BCG / Bain (LatAm practices)","node_type":"Organisation","region":"Latin America","country":"Brazil","hub_city":"São Paulo","sector":"Consulting / Professional Services","subsector_tier":"MBB LatAm practices","entry_mechanism_id":"MECH_LATAM_ESTAGIO","program_name":"Graduate / analyst","program_length_months":null,"org_size_band":"Large","size_basis":"inferred - coarse band, verify","annual_intake_low":null,"annual_intake_high":null,"applications_per_cycle":null,"intake_estimate_central":288,"intake_estimate_basis":"Large base x 3.0 sector x 0.8 mechanism","confirmation_status":"[C-Press]","data_confidence":"Medium","geo_source":"source","notes":null},</t>
  </si>
  <si>
    <t xml:space="preserve">    {"node_id":"ORG_DB","label":"Deutsche Bank","node_type":"Organisation","region":"Continental Europe","country":"Germany","hub_city":"Frankfurt","sector":"Investment Banking - Bulge Bracket","subsector_tier":"Germany (Frankfurt)","entry_mechanism_id":"MECH_EU_ROTATIONAL","program_name":"Graduate / Analyst Program","program_length_months":null,"org_size_band":"Mega","size_basis":"inferred - coarse band, verify","annual_intake_low":null,"annual_intake_high":null,"applications_per_cycle":null,"intake_estimate_central":640,"intake_estimate_basis":"Mega base x 2.0 sector x 0.8 mechanism","confirmation_status":"[C-Press]","data_confidence":"Medium","geo_source":"source","notes":null},</t>
  </si>
  <si>
    <t xml:space="preserve">    {"node_id":"ORG_CBK","label":"Commerzbank","node_type":"Organisation","region":"Continental Europe","country":"Germany","hub_city":"Frankfurt","sector":"Commercial / Retail Banking","subsector_tier":"Germany (Frankfurt)","entry_mechanism_id":"MECH_EU_ROTATIONAL","program_name":"Trainee / graduate","program_length_months":null,"org_size_band":"Large","size_basis":"inferred - coarse band, verify","annual_intake_low":null,"annual_intake_high":null,"applications_per_cycle":null,"intake_estimate_central":96,"intake_estimate_basis":"Large base x 1.0 sector x 0.8 mechanism","confirmation_status":"[Note]","data_confidence":"Low","geo_source":"source","notes":null},</t>
  </si>
  <si>
    <t xml:space="preserve">    {"node_id":"ORG_ALV","label":"Allianz","node_type":"Organisation","region":"Continental Europe","country":"Germany","hub_city":"Munich","sector":"Insurance","subsector_tier":"Germany (Munich)","entry_mechanism_id":"MECH_EU_ROTATIONAL","program_name":"Graduate program","program_length_months":null,"org_size_band":"Mega","size_basis":"inferred - coarse band, verify","annual_intake_low":null,"annual_intake_high":null,"applications_per_cycle":null,"intake_estimate_central":320,"intake_estimate_basis":"Mega base x 1.0 sector x 0.8 mechanism","confirmation_status":"[Note]","data_confidence":"Low","geo_source":"inferred","notes":null},</t>
  </si>
  <si>
    <t xml:space="preserve">    {"node_id":"ORG_MUNRE","label":"Munich Re","node_type":"Organisation","region":"Continental Europe","country":"Germany","hub_city":"Munich","sector":"Insurance","subsector_tier":"Germany (Munich)","entry_mechanism_id":"MECH_EU_ROTATIONAL","program_name":"Trainee / graduate","program_length_months":null,"org_size_band":"Large","size_basis":"inferred - coarse band, verify","annual_intake_low":null,"annual_intake_high":null,"applications_per_cycle":null,"intake_estimate_central":96,"intake_estimate_basis":"Large base x 1.0 sector x 0.8 mechanism","confirmation_status":"[Note]","data_confidence":"Low","geo_source":"inferred","notes":null},</t>
  </si>
  <si>
    <t xml:space="preserve">    {"node_id":"ORG_DZ","label":"DZ Bank","node_type":"Organisation","region":"Continental Europe","country":"Germany","hub_city":"Frankfurt","sector":"Commercial / Retail Banking","subsector_tier":"Germany (Frankfurt)","entry_mechanism_id":"MECH_EU_ROTATIONAL","program_name":"Trainee","program_length_months":null,"org_size_band":"Large","size_basis":"inferred - coarse band, verify","annual_intake_low":null,"annual_intake_high":null,"applications_per_cycle":null,"intake_estimate_central":96,"intake_estimate_basis":"Large base x 1.0 sector x 0.8 mechanism","confirmation_status":"[Note]","data_confidence":"Low","geo_source":"source","notes":null},</t>
  </si>
  <si>
    <t xml:space="preserve">    {"node_id":"ORG_KFW","label":"KfW","node_type":"Organisation","region":"Continental Europe","country":"Germany","hub_city":"Frankfurt","sector":"Policy / Development Bank","subsector_tier":"Germany (Frankfurt)","entry_mechanism_id":"MECH_EU_ROTATIONAL","program_name":"Trainee / graduate","program_length_months":null,"org_size_band":"Mid","size_basis":"inferred - coarse band, verify","annual_intake_low":null,"annual_intake_high":null,"applications_per_cycle":null,"intake_estimate_central":10,"intake_estimate_basis":"Mid base x 0.4 sector x 0.8 mechanism","confirmation_status":"[Note]","data_confidence":"Low","geo_source":"source","notes":null},</t>
  </si>
  <si>
    <t xml:space="preserve">    {"node_id":"ORG_BNP","label":"BNP Paribas","node_type":"Organisation","region":"Continental Europe","country":"France","hub_city":"Paris","sector":"Investment Banking - Bulge Bracket","subsector_tier":"France (Paris)","entry_mechanism_id":"MECH_EU_ROTATIONAL","program_name":"Graduates' Programme (rotational, 5 business areas); Global Banking Graduate Programme","program_length_months":null,"org_size_band":"Mega","size_basis":"inferred - coarse band, verify","annual_intake_low":null,"annual_intake_high":null,"applications_per_cycle":null,"intake_estimate_central":640,"intake_estimate_basis":"Mega base x 2.0 sector x 0.8 mechanism","confirmation_status":"[C-Official]","data_confidence":"High","geo_source":"source","notes":null},</t>
  </si>
  <si>
    <t xml:space="preserve">    {"node_id":"ORG_SG","label":"Société Générale","node_type":"Organisation","region":"Continental Europe","country":"France","hub_city":"Paris","sector":"Investment Banking - Bulge Bracket","subsector_tier":"France (Paris)","entry_mechanism_id":"MECH_EU_ROTATIONAL","program_name":"Graduate program","program_length_months":null,"org_size_band":"Mega","size_basis":"inferred - coarse band, verify","annual_intake_low":null,"annual_intake_high":null,"applications_per_cycle":null,"intake_estimate_central":640,"intake_estimate_basis":"Mega base x 2.0 sector x 0.8 mechanism","confirmation_status":"[Note]","data_confidence":"Low","geo_source":"source","notes":null},</t>
  </si>
  <si>
    <t xml:space="preserve">    {"node_id":"ORG_CA","label":"Crédit Agricole / CACIB","node_type":"Organisation","region":"Continental Europe","country":"France","hub_city":"Paris","sector":"Commercial / Retail Banking","subsector_tier":"France (Paris)","entry_mechanism_id":"MECH_EU_ROTATIONAL","program_name":"Graduate program","program_length_months":null,"org_size_band":"Mega","size_basis":"inferred - coarse band, verify","annual_intake_low":null,"annual_intake_high":null,"applications_per_cycle":null,"intake_estimate_central":320,"intake_estimate_basis":"Mega base x 1.0 sector x 0.8 mechanism","confirmation_status":"[Note]","data_confidence":"Low","geo_source":"source","notes":null},</t>
  </si>
  <si>
    <t xml:space="preserve">    {"node_id":"ORG_AXA","label":"AXA","node_type":"Organisation","region":"Continental Europe","country":"France","hub_city":"Paris","sector":"Insurance","subsector_tier":"France (Paris)","entry_mechanism_id":"MECH_EU_ROTATIONAL","program_name":"Graduate program","program_length_months":null,"org_size_band":"Mega","size_basis":"inferred - coarse band, verify","annual_intake_low":null,"annual_intake_high":null,"applications_per_cycle":null,"intake_estimate_central":320,"intake_estimate_basis":"Mega base x 1.0 sector x 0.8 mechanism","confirmation_status":"[Note]","data_confidence":"Low","geo_source":"source","notes":null},</t>
  </si>
  <si>
    <t xml:space="preserve">    {"node_id":"ORG_AMUNDI","label":"Amundi","node_type":"Organisation","region":"Continental Europe","country":"France","hub_city":"Paris","sector":"Investment / Asset Management","subsector_tier":"France (Paris)","entry_mechanism_id":"MECH_EU_ROTATIONAL","program_name":"Graduate program","program_length_months":null,"org_size_band":"Mid","size_basis":"inferred - coarse band, verify","annual_intake_low":null,"annual_intake_high":null,"applications_per_cycle":null,"intake_estimate_central":19,"intake_estimate_basis":"Mid base x 0.8 sector x 0.8 mechanism","confirmation_status":"[Note]","data_confidence":"Low","geo_source":"source","notes":null},</t>
  </si>
  <si>
    <t xml:space="preserve">    {"node_id":"ORG_NATIXIS","label":"Natixis","node_type":"Organisation","region":"Continental Europe","country":"France","hub_city":"Paris","sector":"Investment Banking - Bulge Bracket","subsector_tier":"France (Paris)","entry_mechanism_id":"MECH_EU_ROTATIONAL","program_name":"Graduate program","program_length_months":null,"org_size_band":"Large","size_basis":"inferred - coarse band, verify","annual_intake_low":null,"annual_intake_high":null,"applications_per_cycle":null,"intake_estimate_central":192,"intake_estimate_basis":"Large base x 2.0 sector x 0.8 mechanism","confirmation_status":"[Note]","data_confidence":"Low","geo_source":"source","notes":null},</t>
  </si>
  <si>
    <t xml:space="preserve">    {"node_id":"ORG_UBS","label":"UBS","node_type":"Organisation","region":"Continental Europe","country":"Switzerland","hub_city":"Zurich","sector":"Investment Banking - Bulge Bracket","subsector_tier":"Switzerland (Zurich)","entry_mechanism_id":"MECH_EU_ROTATIONAL","program_name":"Graduate Talent Program","program_length_months":null,"org_size_band":"Mega","size_basis":"inferred - coarse band, verify","annual_intake_low":null,"annual_intake_high":null,"applications_per_cycle":null,"intake_estimate_central":640,"intake_estimate_basis":"Mega base x 2.0 sector x 0.8 mechanism","confirmation_status":"[C-Press]","data_confidence":"Medium","geo_source":"source","notes":null},</t>
  </si>
  <si>
    <t xml:space="preserve">    {"node_id":"ORG_JULIUS","label":"Julius Baer","node_type":"Organisation","region":"Continental Europe","country":"Switzerland","hub_city":"Zurich","sector":"Investment / Asset Management","subsector_tier":"Switzerland (Zurich)","entry_mechanism_id":"MECH_EU_ROTATIONAL","program_name":"Graduate program","program_length_months":null,"org_size_band":"Mid","size_basis":"inferred - coarse band, verify","annual_intake_low":null,"annual_intake_high":null,"applications_per_cycle":null,"intake_estimate_central":19,"intake_estimate_basis":"Mid base x 0.8 sector x 0.8 mechanism","confirmation_status":"[Note]","data_confidence":"Low","geo_source":"source","notes":null},</t>
  </si>
  <si>
    <t xml:space="preserve">    {"node_id":"ORG_PICTET","label":"Pictet","node_type":"Organisation","region":"Continental Europe","country":"Switzerland","hub_city":"Geneva","sector":"Investment / Asset Management","subsector_tier":"Switzerland (Geneva)","entry_mechanism_id":"MECH_EU_ROTATIONAL","program_name":"Pictet Corporate functions graduate program","program_length_months":null,"org_size_band":"Mid","size_basis":"inferred - coarse band, verify","annual_intake_low":null,"annual_intake_high":null,"applications_per_cycle":null,"intake_estimate_central":19,"intake_estimate_basis":"Mid base x 0.8 sector x 0.8 mechanism","confirmation_status":"[C-Press]","data_confidence":"Medium","geo_source":"source","notes":null},</t>
  </si>
  <si>
    <t xml:space="preserve">    {"node_id":"ORG_LO","label":"Lombard Odier","node_type":"Organisation","region":"Continental Europe","country":"Switzerland","hub_city":"Geneva","sector":"Investment / Asset Management","subsector_tier":"Switzerland (Geneva)","entry_mechanism_id":"MECH_EU_ROTATIONAL","program_name":"Graduate program","program_length_months":null,"org_size_band":"Mid","size_basis":"inferred - coarse band, verify","annual_intake_low":null,"annual_intake_high":null,"applications_per_cycle":null,"intake_estimate_central":19,"intake_estimate_basis":"Mid base x 0.8 sector x 0.8 mechanism","confirmation_status":"[Note]","data_confidence":"Low","geo_source":"source","notes":null},</t>
  </si>
  <si>
    <t xml:space="preserve">    {"node_id":"ORG_ZURICH","label":"Zurich Insurance Group","node_type":"Organisation","region":"Continental Europe","country":"Switzerland","hub_city":"Zurich","sector":"Insurance","subsector_tier":"Switzerland (Zurich)","entry_mechanism_id":"MECH_EU_ROTATIONAL","program_name":"Graduate program","program_length_months":null,"org_size_band":"Mega","size_basis":"inferred - coarse band, verify","annual_intake_low":null,"annual_intake_high":null,"applications_per_cycle":null,"intake_estimate_central":320,"intake_estimate_basis":"Mega base x 1.0 sector x 0.8 mechanism","confirmation_status":"[Note]","data_confidence":"Low","geo_source":"source","notes":null},</t>
  </si>
  <si>
    <t xml:space="preserve">    {"node_id":"ORG_SWISSRE","label":"Swiss Re","node_type":"Organisation","region":"Continental Europe","country":"Switzerland","hub_city":"Zurich","sector":"Insurance","subsector_tier":"Switzerland (Zurich)","entry_mechanism_id":"MECH_EU_ROTATIONAL","program_name":"Graduates@SwissRe","program_length_months":null,"org_size_band":"Large","size_basis":"inferred - coarse band, verify","annual_intake_low":null,"annual_intake_high":null,"applications_per_cycle":null,"intake_estimate_central":96,"intake_estimate_basis":"Large base x 1.0 sector x 0.8 mechanism","confirmation_status":"[Note]","data_confidence":"Low","geo_source":"source","notes":null},</t>
  </si>
  <si>
    <t xml:space="preserve">    {"node_id":"ORG_ING","label":"ING","node_type":"Organisation","region":"Continental Europe","country":"Netherlands","hub_city":"Amsterdam","sector":"Commercial / Retail Banking","subsector_tier":"Netherlands (Amsterdam)","entry_mechanism_id":"MECH_EU_ROTATIONAL","program_name":"Graduate Programme","program_length_months":null,"org_size_band":"Mega","size_basis":"inferred - coarse band, verify","annual_intake_low":null,"annual_intake_high":null,"applications_per_cycle":null,"intake_estimate_central":320,"intake_estimate_basis":"Mega base x 1.0 sector x 0.8 mechanism","confirmation_status":"[C-Press]","data_confidence":"Medium","geo_source":"source","notes":null},</t>
  </si>
  <si>
    <t xml:space="preserve">    {"node_id":"ORG_RABO","label":"Rabobank","node_type":"Organisation","region":"Continental Europe","country":"Netherlands","hub_city":"Amsterdam","sector":"Commercial / Retail Banking","subsector_tier":"Netherlands (Amsterdam)","entry_mechanism_id":"MECH_EU_ROTATIONAL","program_name":"Traineeship","program_length_months":null,"org_size_band":"Large","size_basis":"inferred - coarse band, verify","annual_intake_low":null,"annual_intake_high":null,"applications_per_cycle":null,"intake_estimate_central":96,"intake_estimate_basis":"Large base x 1.0 sector x 0.8 mechanism","confirmation_status":"[Note]","data_confidence":"Low","geo_source":"source","notes":null},</t>
  </si>
  <si>
    <t xml:space="preserve">    {"node_id":"ORG_NN","label":"NN Group","node_type":"Organisation","region":"Continental Europe","country":"Netherlands","hub_city":"Amsterdam","sector":"Insurance","subsector_tier":"Netherlands (Amsterdam)","entry_mechanism_id":"MECH_EU_ROTATIONAL","program_name":"Traineeship","program_length_months":null,"org_size_band":"Large","size_basis":"inferred - coarse band, verify","annual_intake_low":null,"annual_intake_high":null,"applications_per_cycle":null,"intake_estimate_central":96,"intake_estimate_basis":"Large base x 1.0 sector x 0.8 mechanism","confirmation_status":"[Note]","data_confidence":"Low","geo_source":"source","notes":null},</t>
  </si>
  <si>
    <t xml:space="preserve">    {"node_id":"ORG_AEGON","label":"Aegon","node_type":"Organisation","region":"Continental Europe","country":"Netherlands","hub_city":"Amsterdam","sector":"Insurance","subsector_tier":"Netherlands (Amsterdam)","entry_mechanism_id":"MECH_EU_ROTATIONAL","program_name":"Traineeship","program_length_months":null,"org_size_band":"Large","size_basis":"inferred - coarse band, verify","annual_intake_low":null,"annual_intake_high":null,"applications_per_cycle":null,"intake_estimate_central":96,"intake_estimate_basis":"Large base x 1.0 sector x 0.8 mechanism","confirmation_status":"[Note]","data_confidence":"Low","geo_source":"source","notes":null},</t>
  </si>
  <si>
    <t xml:space="preserve">    {"node_id":"ORG_ABN","label":"ABN AMRO","node_type":"Organisation","region":"Continental Europe","country":"Netherlands","hub_city":"Amsterdam","sector":"Commercial / Retail Banking","subsector_tier":"Netherlands (Amsterdam)","entry_mechanism_id":"MECH_EU_ROTATIONAL","program_name":"Traineeship","program_length_months":null,"org_size_band":"Large","size_basis":"inferred - coarse band, verify","annual_intake_low":null,"annual_intake_high":null,"applications_per_cycle":null,"intake_estimate_central":96,"intake_estimate_basis":"Large base x 1.0 sector x 0.8 mechanism","confirmation_status":"[Note]","data_confidence":"Low","geo_source":"source","notes":null},</t>
  </si>
  <si>
    <t xml:space="preserve">    {"node_id":"ORG_SAN","label":"Santander","node_type":"Organisation","region":"Continental Europe","country":"Spain","hub_city":"Madrid","sector":"Commercial / Retail Banking","subsector_tier":"Spain (Madrid)","entry_mechanism_id":"MECH_EU_ROTATIONAL","program_name":"Graduate / CIB programmes; Santander CIB International Graduate Programme","program_length_months":"12","org_size_band":"Mega","size_basis":"inferred - coarse band, verify","annual_intake_low":null,"annual_intake_high":null,"applications_per_cycle":null,"intake_estimate_central":320,"intake_estimate_basis":"Mega base x 1.0 sector x 0.8 mechanism","confirmation_status":"[C-Official]","data_confidence":"High","geo_source":"source","notes":null},</t>
  </si>
  <si>
    <t xml:space="preserve">    {"node_id":"ORG_BBVA","label":"BBVA","node_type":"Organisation","region":"Continental Europe","country":"Spain","hub_city":"Madrid","sector":"Commercial / Retail Banking","subsector_tier":"Spain (Madrid)","entry_mechanism_id":"MECH_EU_ROTATIONAL","program_name":"Graduate program","program_length_months":null,"org_size_band":"Mega","size_basis":"inferred - coarse band, verify","annual_intake_low":null,"annual_intake_high":null,"applications_per_cycle":null,"intake_estimate_central":320,"intake_estimate_basis":"Mega base x 1.0 sector x 0.8 mechanism","confirmation_status":"[Note]","data_confidence":"Low","geo_source":"source","notes":null},</t>
  </si>
  <si>
    <t xml:space="preserve">    {"node_id":"ORG_CAIXABANK","label":"CaixaBank","node_type":"Organisation","region":"Continental Europe","country":"Spain","hub_city":"Madrid","sector":"Commercial / Retail Banking","subsector_tier":"Spain (Madrid)","entry_mechanism_id":"MECH_EU_ROTATIONAL","program_name":"Graduate program","program_length_months":null,"org_size_band":"Mega","size_basis":"inferred - coarse band, verify","annual_intake_low":null,"annual_intake_high":null,"applications_per_cycle":null,"intake_estimate_central":320,"intake_estimate_basis":"Mega base x 1.0 sector x 0.8 mechanism","confirmation_status":"[Note]","data_confidence":"Low","geo_source":"source","notes":null},</t>
  </si>
  <si>
    <t xml:space="preserve">    {"node_id":"ORG_UCG","label":"UniCredit","node_type":"Organisation","region":"Continental Europe","country":"Italy","hub_city":"Milan","sector":"Commercial / Retail Banking","subsector_tier":"Italy (Milan)","entry_mechanism_id":"MECH_EU_ROTATIONAL","program_name":"UniCredit Graduate Program (rotational)","program_length_months":"12","org_size_band":"Mega","size_basis":"inferred - coarse band, verify","annual_intake_low":null,"annual_intake_high":null,"applications_per_cycle":null,"intake_estimate_central":320,"intake_estimate_basis":"Mega base x 1.0 sector x 0.8 mechanism","confirmation_status":"[C-Official]","data_confidence":"High","geo_source":"source","notes":null},</t>
  </si>
  <si>
    <t xml:space="preserve">    {"node_id":"ORG_ISP","label":"Intesa Sanpaolo","node_type":"Organisation","region":"Continental Europe","country":"Italy","hub_city":"Milan","sector":"Commercial / Retail Banking","subsector_tier":"Italy (Milan)","entry_mechanism_id":"MECH_EU_ROTATIONAL","program_name":"I'M IN (IMI CIB International Graduate Program) + SLAM (Tech &amp; Data / Financial Governance / Marketing)","program_length_months":null,"org_size_band":"Mega","size_basis":"inferred - coarse band, verify","annual_intake_low":null,"annual_intake_high":null,"applications_per_cycle":null,"intake_estimate_central":320,"intake_estimate_basis":"Mega base x 1.0 sector x 0.8 mechanism","confirmation_status":"[C-Official]","data_confidence":"High","geo_source":"source","notes":null},</t>
  </si>
  <si>
    <t xml:space="preserve">    {"node_id":"ORG_GENERALI","label":"Assicurazioni Generali","node_type":"Organisation","region":"Continental Europe","country":"Italy","hub_city":"Trieste","sector":"Insurance","subsector_tier":"Italy (Trieste/Milan)","entry_mechanism_id":"MECH_EU_ROTATIONAL","program_name":"Graduate program","program_length_months":null,"org_size_band":"Mega","size_basis":"inferred - coarse band, verify","annual_intake_low":null,"annual_intake_high":null,"applications_per_cycle":null,"intake_estimate_central":320,"intake_estimate_basis":"Mega base x 1.0 sector x 0.8 mechanism","confirmation_status":"[Note]","data_confidence":"Low","geo_source":"inferred","notes":null},</t>
  </si>
  <si>
    <t xml:space="preserve">    {"node_id":"ORG_NORDEA","label":"Nordea","node_type":"Organisation","region":"Continental Europe","country":"Sweden","hub_city":"Stockholm","sector":"Commercial / Retail Banking","subsector_tier":"Nordics","entry_mechanism_id":"MECH_EU_ROTATIONAL","program_name":"Nordea Graduate Programme (rotational, international)","program_length_months":null,"org_size_band":"Large","size_basis":"inferred - coarse band, verify","annual_intake_low":null,"annual_intake_high":null,"applications_per_cycle":null,"intake_estimate_central":96,"intake_estimate_basis":"Large base x 1.0 sector x 0.8 mechanism","confirmation_status":"[C-Official]","data_confidence":"High","geo_source":"source","notes":null},</t>
  </si>
  <si>
    <t xml:space="preserve">    {"node_id":"ORG_SEB","label":"SEB","node_type":"Organisation","region":"Continental Europe","country":"Sweden","hub_city":"Stockholm","sector":"Commercial / Retail Banking","subsector_tier":"Nordics (Sweden)","entry_mechanism_id":"MECH_EU_ROTATIONAL","program_name":"Graduate / trainee","program_length_months":null,"org_size_band":"Large","size_basis":"inferred - coarse band, verify","annual_intake_low":null,"annual_intake_high":null,"applications_per_cycle":null,"intake_estimate_central":96,"intake_estimate_basis":"Large base x 1.0 sector x 0.8 mechanism","confirmation_status":"[Note]","data_confidence":"Low","geo_source":"source","notes":null},</t>
  </si>
  <si>
    <t xml:space="preserve">    {"node_id":"ORG_SHB","label":"Handelsbanken","node_type":"Organisation","region":"Continental Europe","country":"Sweden","hub_city":"Stockholm","sector":"Commercial / Retail Banking","subsector_tier":"Nordics (Sweden)","entry_mechanism_id":"MECH_EU_ROTATIONAL","program_name":"Graduate / trainee","program_length_months":null,"org_size_band":"Large","size_basis":"inferred - coarse band, verify","annual_intake_low":null,"annual_intake_high":null,"applications_per_cycle":null,"intake_estimate_central":96,"intake_estimate_basis":"Large base x 1.0 sector x 0.8 mechanism","confirmation_status":"[Note]","data_confidence":"Low","geo_source":"source","notes":null},</t>
  </si>
  <si>
    <t xml:space="preserve">    {"node_id":"ORG_SWED","label":"Swedbank","node_type":"Organisation","region":"Continental Europe","country":"Sweden","hub_city":"Stockholm","sector":"Commercial / Retail Banking","subsector_tier":"Nordics (Sweden)","entry_mechanism_id":"MECH_EU_ROTATIONAL","program_name":"Graduate / trainee","program_length_months":null,"org_size_band":"Large","size_basis":"inferred - coarse band, verify","annual_intake_low":null,"annual_intake_high":null,"applications_per_cycle":null,"intake_estimate_central":96,"intake_estimate_basis":"Large base x 1.0 sector x 0.8 mechanism","confirmation_status":"[Note]","data_confidence":"Low","geo_source":"source","notes":null},</t>
  </si>
  <si>
    <t xml:space="preserve">    {"node_id":"ORG_DANSKE","label":"Danske Bank","node_type":"Organisation","region":"Continental Europe","country":"Denmark","hub_city":"Copenhagen","sector":"Commercial / Retail Banking","subsector_tier":"Nordics (Denmark)","entry_mechanism_id":"MECH_EU_ROTATIONAL","program_name":"Graduate Programme","program_length_months":null,"org_size_band":"Large","size_basis":"inferred - coarse band, verify","annual_intake_low":null,"annual_intake_high":null,"applications_per_cycle":null,"intake_estimate_central":96,"intake_estimate_basis":"Large base x 1.0 sector x 0.8 mechanism","confirmation_status":"[Note]","data_confidence":"Low","geo_source":"source","notes":null},</t>
  </si>
  <si>
    <t xml:space="preserve">    {"node_id":"ORG_DNB","label":"DNB","node_type":"Organisation","region":"Continental Europe","country":"Norway","hub_city":"Oslo","sector":"Commercial / Retail Banking","subsector_tier":"Nordics (Norway)","entry_mechanism_id":"MECH_EU_ROTATIONAL","program_name":"Graduate / trainee","program_length_months":null,"org_size_band":"Large","size_basis":"inferred - coarse band, verify","annual_intake_low":null,"annual_intake_high":null,"applications_per_cycle":null,"intake_estimate_central":96,"intake_estimate_basis":"Large base x 1.0 sector x 0.8 mechanism","confirmation_status":"[Note]","data_confidence":"Low","geo_source":"source","notes":null},</t>
  </si>
  <si>
    <t xml:space="preserve">    {"node_id":"ORG_AIB","label":"AIB","node_type":"Organisation","region":"Continental Europe","country":"Ireland","hub_city":"Dublin","sector":"Commercial / Retail Banking","subsector_tier":"Ireland (Dublin)","entry_mechanism_id":"MECH_EU_ROTATIONAL","program_name":"Graduate Programme (rotational, Sept 2026-Aug 2028 cohort)","program_length_months":"23","org_size_band":"Large","size_basis":"inferred - coarse band, verify","annual_intake_low":null,"annual_intake_high":null,"applications_per_cycle":null,"intake_estimate_central":96,"intake_estimate_basis":"Large base x 1.0 sector x 0.8 mechanism","confirmation_status":"[C-Official]","data_confidence":"High","geo_source":"source","notes":null},</t>
  </si>
  <si>
    <t xml:space="preserve">    {"node_id":"ORG_BOI_IE","label":"Bank of Ireland","node_type":"Organisation","region":"Continental Europe","country":"Ireland","hub_city":"Dublin","sector":"Commercial / Retail Banking","subsector_tier":"Ireland (Dublin)","entry_mechanism_id":"MECH_EU_ROTATIONAL","program_name":"Graduate Programme (any discipline, undergrad/master's)","program_length_months":null,"org_size_band":"Large","size_basis":"inferred - coarse band, verify","annual_intake_low":null,"annual_intake_high":null,"applications_per_cycle":null,"intake_estimate_central":96,"intake_estimate_basis":"Large base x 1.0 sector x 0.8 mechanism","confirmation_status":"[C-Official]","data_confidence":"High","geo_source":"source","notes":null},</t>
  </si>
  <si>
    <t xml:space="preserve">    {"node_id":"ORG_ECB","label":"European Central Bank","node_type":"Organisation","region":"Continental Europe","country":"Germany","hub_city":"Frankfurt","sector":"Central Bank / Supervisor","subsector_tier":"Supranational central bank","entry_mechanism_id":"MECH_EU_ROTATIONAL","program_name":"ECB Graduate Programme (~15 generalist + 4 Economist); separate Economist Graduate Programme","program_length_months":"24","org_size_band":"Mid","size_basis":"inferred - coarse band, verify","annual_intake_low":19,"annual_intake_high":19,"applications_per_cycle":null,"intake_estimate_central":19,"intake_estimate_basis":"Documented in source - midpoint of annual_intake_low/high","confirmation_status":"[C-Official]","data_confidence":"High","geo_source":"source","notes":"Economist programme net salary ~EUR 4,982/month"},</t>
  </si>
  <si>
    <t xml:space="preserve">    {"node_id":"ORG_BUBA","label":"Deutsche Bundesbank","node_type":"Organisation","region":"Continental Europe","country":"Germany","hub_city":"Frankfurt","sector":"Central Bank / Supervisor","subsector_tier":"National central bank","entry_mechanism_id":"MECH_EU_ROTATIONAL","program_name":"Traineeship / graduate","program_length_months":null,"org_size_band":"Large","size_basis":"inferred - coarse band, verify","annual_intake_low":null,"annual_intake_high":null,"applications_per_cycle":null,"intake_estimate_central":96,"intake_estimate_basis":"Large base x 1.0 sector x 0.8 mechanism","confirmation_status":"[Note]","data_confidence":"Low","geo_source":"source","notes":null},</t>
  </si>
  <si>
    <t xml:space="preserve">    {"node_id":"ORG_BDF","label":"Banque de France","node_type":"Organisation","region":"Continental Europe","country":"France","hub_city":"Paris","sector":"Central Bank / Supervisor","subsector_tier":"National central bank","entry_mechanism_id":"MECH_EU_ROTATIONAL","program_name":"Graduate / trainee","program_length_months":null,"org_size_band":"Large","size_basis":"inferred - coarse band, verify","annual_intake_low":null,"annual_intake_high":null,"applications_per_cycle":null,"intake_estimate_central":96,"intake_estimate_basis":"Large base x 1.0 sector x 0.8 mechanism","confirmation_status":"[Note]","data_confidence":"Low","geo_source":"source","notes":null},</t>
  </si>
  <si>
    <t xml:space="preserve">    {"node_id":"ORG_DNBANK","label":"De Nederlandsche Bank","node_type":"Organisation","region":"Continental Europe","country":"Netherlands","hub_city":"Amsterdam","sector":"Central Bank / Supervisor","subsector_tier":"National central bank","entry_mechanism_id":"MECH_EU_ROTATIONAL","program_name":"Traineeship","program_length_months":null,"org_size_band":"Mid","size_basis":"inferred - coarse band, verify","annual_intake_low":null,"annual_intake_high":null,"applications_per_cycle":null,"intake_estimate_central":24,"intake_estimate_basis":"Mid base x 1.0 sector x 0.8 mechanism","confirmation_status":"[Note]","data_confidence":"Low","geo_source":"source","notes":null},</t>
  </si>
  <si>
    <t xml:space="preserve">    {"node_id":"ORG_SNB","label":"Swiss National Bank","node_type":"Organisation","region":"Continental Europe","country":"Switzerland","hub_city":"Zurich","sector":"Central Bank / Supervisor","subsector_tier":"National central bank","entry_mechanism_id":"MECH_EU_ROTATIONAL","program_name":"Graduate / trainee","program_length_months":null,"org_size_band":"Mid","size_basis":"inferred - coarse band, verify","annual_intake_low":null,"annual_intake_high":null,"applications_per_cycle":null,"intake_estimate_central":24,"intake_estimate_basis":"Mid base x 1.0 sector x 0.8 mechanism","confirmation_status":"[Note]","data_confidence":"Low","geo_source":"source","notes":null},</t>
  </si>
  <si>
    <t xml:space="preserve">    {"node_id":"ORG_CBI","label":"Central Bank of Ireland","node_type":"Organisation","region":"Continental Europe","country":"Ireland","hub_city":"Dublin","sector":"Central Bank / Supervisor","subsector_tier":"National central bank","entry_mechanism_id":"MECH_EU_ROTATIONAL","program_name":"3-year Graduate Programme","program_length_months":"36","org_size_band":"Mid","size_basis":"inferred - coarse band, verify","annual_intake_low":null,"annual_intake_high":null,"applications_per_cycle":null,"intake_estimate_central":24,"intake_estimate_basis":"Mid base x 1.0 sector x 0.8 mechanism","confirmation_status":"[C-Official]","data_confidence":"High","geo_source":"source","notes":null},</t>
  </si>
  <si>
    <t xml:space="preserve">    {"node_id":"ORG_EIB","label":"European Investment Bank","node_type":"Organisation","region":"Continental Europe","country":"Luxembourg","hub_city":"Luxembourg City","sector":"Policy / Development Bank","subsector_tier":"Supranational development bank","entry_mechanism_id":"MECH_EU_ROTATIONAL","program_name":"EIB Graduate Programme (1-2 yrs, extendable to 4)","program_length_months":"12-24","org_size_band":"Mid","size_basis":"inferred - coarse band, verify","annual_intake_low":null,"annual_intake_high":null,"applications_per_cycle":null,"intake_estimate_central":10,"intake_estimate_basis":"Mid base x 0.4 sector x 0.8 mechanism","confirmation_status":"[C-Official]","data_confidence":"High","geo_source":"source","notes":null},</t>
  </si>
  <si>
    <t xml:space="preserve">    {"node_id":"GEO_H_EDI","label":"Edinburgh","node_type":"Hub","region":"United Kingdom","country":"United Kingdom","hub_city":"Edinburgh","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research","notes":null},</t>
  </si>
  <si>
    <t xml:space="preserve">    {"node_id":"GEO_H_LDS","label":"Leeds","node_type":"Hub","region":"United Kingdom","country":"United Kingdom","hub_city":"Leeds","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research","notes":"Bank of England opened its 2026 graduate round for Leeds-based roles only. Source: Bank of England Careers, https://www.bankofengland.co.uk/careers/future-talent/graduate-programme"},</t>
  </si>
  <si>
    <t xml:space="preserve">    {"node_id":"GEO_H_GLA","label":"Glasgow","node_type":"Hub","region":"United Kingdom","country":"United Kingdom","hub_city":"Glasgow","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research","notes":null},</t>
  </si>
  <si>
    <t xml:space="preserve">    {"node_id":"GEO_H_MAN","label":"Manchester","node_type":"Hub","region":"United Kingdom","country":"United Kingdom","hub_city":"Manchester","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research","notes":null},</t>
  </si>
  <si>
    <t xml:space="preserve">    {"node_id":"GEO_H_BHX","label":"Birmingham","node_type":"Hub","region":"United Kingdom","country":"United Kingdom","hub_city":"Birmingham","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research","notes":null},</t>
  </si>
  <si>
    <t xml:space="preserve">    {"node_id":"GEO_H_BRS","label":"Bristol","node_type":"Hub","region":"United Kingdom","country":"United Kingdom","hub_city":"Bristo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research","notes":null},</t>
  </si>
  <si>
    <t xml:space="preserve">    {"node_id":"GEO_H_BFS","label":"Belfast","node_type":"Hub","region":"United Kingdom","country":"United Kingdom","hub_city":"Belfast","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research","notes":null},</t>
  </si>
  <si>
    <t xml:space="preserve">    {"node_id":"GEO_H_UKOTH","label":"Other UK location","node_type":"Hub","region":"United Kingdom","country":"United Kingdom","hub_city":"Other UK location","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research","notes":"Catch-all for UK head offices outside the named hubs (e.g. Swindon, Cardiff, Sheffield)"},</t>
  </si>
  <si>
    <t xml:space="preserve">    {"node_id":"ORG_UK_BOE","label":"Bank of England","node_type":"Organisation","region":"United Kingdom","country":"United Kingdom","hub_city":"London","sector":"Central Bank / Supervisor","subsector_tier":"National central bank (incl. PRA)","entry_mechanism_id":"MECH_UK_SCHEME","program_name":"Graduate Development Programme (24 months, leading to a permanent position); also Trainee Solicitor Development Programme, internships, industrial placements and PhD programmes","program_length_months":"24","org_size_band":"Large","size_basis":"inferred - coarse band, verify","annual_intake_low":null,"annual_intake_high":null,"applications_per_cycle":null,"intake_estimate_central":120,"intake_estimate_basis":"Large base x 1.0 sector x 1.0 mechanism","confirmation_status":"[C-Official]","data_confidence":"High","geo_source":"research","notes":"2026 round: start early September 2026, applications opened for Leeds-based roles only, salary GBP 33,525 p.a. 2026 applications closed; programme pages update in autumn 2026 ahead of the 2027 round."},</t>
  </si>
  <si>
    <t xml:space="preserve">    {"node_id":"ORG_UK_FCA","label":"Financial Conduct Authority","node_type":"Organisation","region":"United Kingdom","country":"United Kingdom","hub_city":"London","sector":"Central Bank / Supervisor","subsector_tier":"Conduct regulator","entry_mechanism_id":"MECH_UK_SCHEME","program_name":"Graduate scheme (two years, multiple rotations plus an external secondment) + summer internship + apprenticeships","program_length_months":"24","org_size_band":"Mid","size_basis":"inferred - coarse band, verify","annual_intake_low":null,"annual_intake_high":null,"applications_per_cycle":null,"intake_estimate_central":30,"intake_estimate_basis":"Mid base x 1.0 sector x 1.0 mechanism","confirmation_status":"[C-Official]","data_confidence":"High","geo_source":"research","notes":"Around ten programme areas including Supervision/Policy &amp; Competition, Authorisations, Economics, Data Technology &amp; Innovation, Market Oversight, Enforcement, Operations and HR. Graduate and internship applications closed; reopen Autumn 2026, apprenticeships Spring 2027."},</t>
  </si>
  <si>
    <t xml:space="preserve">    {"node_id":"ORG_UK_BBB","label":"British Business Bank","node_type":"Organisation","region":"United Kingdom","country":"United Kingdom","hub_city":"Other UK location","sector":"Policy / Development Bank","subsector_tier":"State development bank","entry_mechanism_id":"MECH_UK_SCHEME","program_name":"Graduate programme","program_length_months":null,"org_size_band":"Mid","size_basis":"inferred - coarse band, verify","annual_intake_low":null,"annual_intake_high":null,"applications_per_cycle":null,"intake_estimate_central":12,"intake_estimate_basis":"Mid base x 0.4 sector x 1.0 mechanism","confirmation_status":"[Note]","data_confidence":"Low","geo_source":"research","notes":null},</t>
  </si>
  <si>
    <t xml:space="preserve">    {"node_id":"ORG_UK_LLOYDSBG","label":"Lloyds Banking Group","node_type":"Organisation","region":"United Kingdom","country":"United Kingdom","hub_city":"London","sector":"Commercial / Retail Banking","subsector_tier":"UK high-street group","entry_mechanism_id":"MECH_UK_SCHEME","program_name":"Graduate schemes across Data Science, Technology Engineering, Finance, Risk, Commercial Banking, Consumer Banking, Future Financial Wellbeing and Actuarial","program_length_months":"24","org_size_band":"Mega","size_basis":"inferred - coarse band, verify","annual_intake_low":null,"annual_intake_high":null,"applications_per_cycle":null,"intake_estimate_central":400,"intake_estimate_basis":"Mega base x 1.0 sector x 1.0 mechanism","confirmation_status":"[C-Official]","data_confidence":"High","geo_source":"research","notes":"Rotational across UK hubs including London, the South West, West Yorkshire, the North West and Edinburgh."},</t>
  </si>
  <si>
    <t xml:space="preserve">    {"node_id":"ORG_UK_NATWEST","label":"NatWest Group","node_type":"Organisation","region":"United Kingdom","country":"United Kingdom","hub_city":"Edinburgh","sector":"Commercial / Retail Banking","subsector_tier":"UK high-street group","entry_mechanism_id":"MECH_UK_SCHEME","program_name":"Graduate programmes including Engineering, Finance, Digital Transformation and NatWest Markets; also internships and insight days","program_length_months":null,"org_size_band":"Mega","size_basis":"inferred - coarse band, verify","annual_intake_low":null,"annual_intake_high":null,"applications_per_cycle":null,"intake_estimate_central":400,"intake_estimate_basis":"Mega base x 1.0 sector x 1.0 mechanism","confirmation_status":"[C-Official]","data_confidence":"High","geo_source":"research","notes":"Applications processed in the order received with limited places; one application per candidate per cycle."},</t>
  </si>
  <si>
    <t xml:space="preserve">    {"node_id":"ORG_UK_SANUK","label":"Santander UK","node_type":"Organisation","region":"United Kingdom","country":"United Kingdom","hub_city":"London","sector":"Commercial / Retail Banking","subsector_tier":"UK arm of a Spanish group","entry_mechanism_id":"MECH_UK_SCHEME","program_name":"Graduate / internship programmes","program_length_months":null,"org_size_band":"Large","size_basis":"inferred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mechanism","confirmation_status":"[Note]","data_confidence":"Low","geo_source":"research","notes":null},</t>
  </si>
  <si>
    <t xml:space="preserve">    {"node_id":"ORG_UK_NATIONWIDE","label":"Nationwide Building Society","node_type":"Organisation","region":"United Kingdom","country":"United Kingdom","hub_city":"Other UK location","sector":"Commercial / Retail Banking","subsector_tier":"Building society","entry_mechanism_id":"MECH_UK_SCHEME","program_name":"Graduate programme","program_length_months":null,"org_size_band":"Large","size_basis":"inferred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mechanism","confirmation_status":"[Note]","data_confidence":"Low","geo_source":"research","notes":null},</t>
  </si>
  <si>
    <t xml:space="preserve">    {"node_id":"ORG_UK_TSB","label":"TSB Bank","node_type":"Organisation","region":"United Kingdom","country":"United Kingdom","hub_city":"Edinburgh","sector":"Commercial / Retail Banking","subsector_tier":"Challenger bank","entry_mechanism_id":"MECH_UK_SCHEME","program_name":null,"program_length_months":null,"org_size_band":"Mid","size_basis":"inferred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mechanism","confirmation_status":"[Note]","data_confidence":"Low","geo_source":"research","notes":null},</t>
  </si>
  <si>
    <t xml:space="preserve">    {"node_id":"ORG_UK_VMUK","label":"Virgin Money UK","node_type":"Organisation","region":"United Kingdom","country":"United Kingdom","hub_city":"Glasgow","sector":"Commercial / Retail Banking","subsector_tier":"Challenger bank","entry_mechanism_id":"MECH_UK_SCHEME","program_name":"Graduate programme","program_length_months":null,"org_size_band":"Mid","size_basis":"inferred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mechanism","confirmation_status":"[Note]","data_confidence":"Low","geo_source":"research","notes":null},</t>
  </si>
  <si>
    <t xml:space="preserve">    {"node_id":"ORG_UK_METRO","label":"Metro Bank","node_type":"Organisation","region":"United Kingdom","country":"United Kingdom","hub_city":"London","sector":"Commercial / Retail Banking","subsector_tier":"Challenger bank","entry_mechanism_id":"MECH_UK_SCHEME","program_name":null,"program_length_months":null,"org_size_band":"Mid","size_basis":"inferred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mechanism","confirmation_status":"[Note]","data_confidence":"Low","geo_source":"research","notes":null},</t>
  </si>
  <si>
    <t xml:space="preserve">    {"node_id":"ORG_UK_COOP","label":"The Co-operative Bank","node_type":"Organisation","region":"United Kingdom","country":"United Kingdom","hub_city":"Manchester","sector":"Commercial / Retail Banking","subsector_tier":"Challenger bank","entry_mechanism_id":"MECH_UK_SCHEME","program_name":null,"program_length_months":null,"org_size_band":"Mid","size_basis":"inferred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mechanism","confirmation_status":"[Note]","data_confidence":"Low","geo_source":"research","notes":null},</t>
  </si>
  <si>
    <t xml:space="preserve">    {"node_id":"ORG_UK_CLOSEBROS","label":"Close Brothers","node_type":"Organisation","region":"United Kingdom","country":"United Kingdom","hub_city":"London","sector":"Commercial / Retail Banking","subsector_tier":"Merchant bank","entry_mechanism_id":"MECH_UK_SPRING","program_name":"Graduate programme","program_length_months":null,"org_size_band":"Mid","size_basis":"inferred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mechanism","confirmation_status":"[Note]","data_confidence":"Low","geo_source":"research","notes":null},</t>
  </si>
  <si>
    <t xml:space="preserve">    {"node_id":"ORG_UK_INVESTEC","label":"Investec","node_type":"Organisation","region":"United Kingdom","country":"United Kingdom","hub_city":"London","sector":"Commercial / Retail Banking","subsector_tier":"Specialist bank / wealth","entry_mechanism_id":"MECH_UK_SPRING","program_name":"Graduate programme","program_length_months":null,"org_size_band":"Mid","size_basis":"inferred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mechanism","confirmation_status":"[Note]","data_confidence":"Low","geo_source":"research","notes":null},</t>
  </si>
  <si>
    <t xml:space="preserve">    {"node_id":"ORG_UK_REVOLUT","label":"Revolut","node_type":"Organisation","region":"United Kingdom","country":"United Kingdom","hub_city":"London","sector":"Fintech / Tech-Finance","subsector_tier":"Neobank","entry_mechanism_id":"MECH_UK_SCHEME","program_name":"Graduate / early-career roles","program_length_months":null,"org_size_band":"Large","size_basis":"inferred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mechanism","confirmation_status":"[Note]","data_confidence":"Low","geo_source":"research","notes":null},</t>
  </si>
  <si>
    <t xml:space="preserve">    {"node_id":"ORG_UK_MONZO","label":"Monzo","node_type":"Organisation","region":"United Kingdom","country":"United Kingdom","hub_city":"London","sector":"Fintech / Tech-Finance","subsector_tier":"Neobank","entry_mechanism_id":"MECH_UK_SCHEME","program_name":null,"program_length_months":null,"org_size_band":"Mid","size_basis":"inferred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mechanism","confirmation_status":"[Note]","data_confidence":"Low","geo_source":"research","notes":null},</t>
  </si>
  <si>
    <t xml:space="preserve">    {"node_id":"ORG_UK_STARLING","label":"Starling Bank","node_type":"Organisation","region":"United Kingdom","country":"United Kingdom","hub_city":"London","sector":"Fintech / Tech-Finance","subsector_tier":"Neobank","entry_mechanism_id":"MECH_UK_SCHEME","program_name":null,"program_length_months":null,"org_size_band":"Mid","size_basis":"inferred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mechanism","confirmation_status":"[Note]","data_confidence":"Low","geo_source":"research","notes":null},</t>
  </si>
  <si>
    <t xml:space="preserve">    {"node_id":"ORG_UK_WISE","label":"Wise","node_type":"Organisation","region":"United Kingdom","country":"United Kingdom","hub_city":"London","sector":"Fintech / Tech-Finance","subsector_tier":"Payments","entry_mechanism_id":"MECH_UK_SCHEME","program_name":null,"program_length_months":null,"org_size_band":"Mid","size_basis":"inferred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mechanism","confirmation_status":"[Note]","data_confidence":"Low","geo_source":"research","notes":null},</t>
  </si>
  <si>
    <t xml:space="preserve">    {"node_id":"ORG_UK_ROTH","label":"Rothschild &amp; Co","node_type":"Organisation","region":"United Kingdom","country":"United Kingdom","hub_city":"London","sector":"Investment Banking - Elite Boutique / Independent Advisory","subsector_tier":"Independent advisory (group parent)","entry_mechanism_id":"MECH_UK_SPRING","program_name":"Analyst / Spring Week / summer internship","program_length_months":null,"org_size_band":"Mid","size_basis":"inferred - coarse band, verify","annual_intake_low":null,"annual_intake_high":null,"applications_per_cycle":null,"intake_estimate_central":24,"intake_estimate_basis":"Mid base x 0.8 sector x 1.0 mechanism","confirmation_status":"[C-Press]","data_confidence":"Medium","geo_source":"research","notes":"Parent of the US entity already in this dataset"},</t>
  </si>
  <si>
    <t xml:space="preserve">    {"node_id":"ORG_UK_ROBEY","label":"Robey Warshaw","node_type":"Organisation","region":"United Kingdom","country":"United Kingdom","hub_city":"London","sector":"Investment Banking - Elite Boutique / Independent Advisory","subsector_tier":"Micro-boutique","entry_mechanism_id":"MECH_UK_SPRING","program_name":null,"program_length_months":null,"org_size_band":"Boutique","size_basis":"inferred - coarse band, verify","annual_intake_low":null,"annual_intake_high":null,"applications_per_cycle":null,"intake_estimate_central":6,"intake_estimate_basis":"Boutique base x 0.8 sector x 1.0 mechanism","confirmation_status":"[Note]","data_confidence":"Low","geo_source":"research","notes":"Very small partnership; no formal scheme confirmed"},</t>
  </si>
  <si>
    <t xml:space="preserve">    {"node_id":"ORG_UK_PEEL","label":"Peel Hunt","node_type":"Organisation","region":"United Kingdom","country":"United Kingdom","hub_city":"London","sector":"Investment Banking - Elite Boutique / Independent Advisory","subsector_tier":"UK mid-market broker / advisory","entry_mechanism_id":"MECH_UK_SPRING","program_name":"Graduate / internship","program_length_months":null,"org_size_band":"Boutique","size_basis":"inferred - coarse band, verify","annual_intake_low":null,"annual_intake_high":null,"applications_per_cycle":null,"intake_estimate_central":6,"intake_estimate_basis":"Boutique base x 0.8 sector x 1.0 mechanism","confirmation_status":"[Note]","data_confidence":"Low","geo_source":"research","notes":null},</t>
  </si>
  <si>
    <t xml:space="preserve">    {"node_id":"ORG_UK_NUMIS","label":"Deutsche Numis","node_type":"Organisation","region":"United Kingdom","country":"United Kingdom","hub_city":"London","sector":"Investment Banking - Elite Boutique / Independent Advisory","subsector_tier":"UK broker / advisory (Deutsche Bank)","entry_mechanism_id":"MECH_UK_SPRING","program_name":"Graduate / internship","program_length_months":null,"org_size_band":"Boutique","size_basis":"inferred - coarse band, verify","annual_intake_low":null,"annual_intake_high":null,"applications_per_cycle":null,"intake_estimate_central":6,"intake_estimate_basis":"Boutique base x 0.8 sector x 1.0 mechanism","confirmation_status":"[Note]","data_confidence":"Low","geo_source":"research","notes":null},</t>
  </si>
  <si>
    <t xml:space="preserve">    {"node_id":"ORG_UK_XTX","label":"XTX Markets","node_type":"Organisation","region":"United Kingdom","country":"United Kingdom","hub_city":"London","sector":"Proprietary Trading / Quant","subsector_tier":"Quant market maker","entry_mechanism_id":"MECH_UK_SPRING","program_name":"Graduate / intern roles","program_length_months":null,"org_size_band":"Mid","size_basis":"inferred - coarse band, verify","annual_intake_low":null,"annual_intake_high":null,"applications_per_cycle":null,"intake_estimate_central":60,"intake_estimate_basis":"Mid base x 2.0 sector x 1.0 mechanism","confirmation_status":"[Note]","data_confidence":"Low","geo_source":"research","notes":null},</t>
  </si>
  <si>
    <t xml:space="preserve">    {"node_id":"ORG_UK_MAN","label":"Man Group","node_type":"Organisation","region":"United Kingdom","country":"United Kingdom","hub_city":"London","sector":"Proprietary Trading / Quant","subsector_tier":"Systematic hedge fund","entry_mechanism_id":"MECH_UK_SPRING","program_name":"Graduate / intern roles","program_length_months":null,"org_size_band":"Mid","size_basis":"inferred - coarse band, verify","annual_intake_low":null,"annual_intake_high":null,"applications_per_cycle":null,"intake_estimate_central":60,"intake_estimate_basis":"Mid base x 2.0 sector x 1.0 mechanism","confirmation_status":"[Note]","data_confidence":"Low","geo_source":"research","notes":null},</t>
  </si>
  <si>
    <t xml:space="preserve">    {"node_id":"ORG_UK_MARSHALL","label":"Marshall Wace","node_type":"Organisation","region":"United Kingdom","country":"United Kingdom","hub_city":"London","sector":"Proprietary Trading / Quant","subsector_tier":"Hedge fund","entry_mechanism_id":"MECH_UK_SPRING","program_name":null,"program_length_months":null,"org_size_band":"Boutique","size_basis":"inferred - coarse band, verify","annual_intake_low":null,"annual_intake_high":null,"applications_per_cycle":null,"intake_estimate_central":16,"intake_estimate_basis":"Boutique base x 2.0 sector x 1.0 mechanism","confirmation_status":"[Note]","data_confidence":"Low","geo_source":"research","notes":null},</t>
  </si>
  <si>
    <t xml:space="preserve">    {"node_id":"ORG_UK_BREVAN","label":"Brevan Howard","node_type":"Organisation","region":"United Kingdom","country":"United Kingdom","hub_city":"London","sector":"Proprietary Trading / Quant","subsector_tier":"Macro hedge fund","entry_mechanism_id":"MECH_UK_SPRING","program_name":null,"program_length_months":null,"org_size_band":"Boutique","size_basis":"inferred - coarse band, verify","annual_intake_low":null,"annual_intake_high":null,"applications_per_cycle":null,"intake_estimate_central":16,"intake_estimate_basis":"Boutique base x 2.0 sector x 1.0 mechanism","confirmation_status":"[Note]","data_confidence":"Low","geo_source":"research","notes":null},</t>
  </si>
  <si>
    <t xml:space="preserve">    {"node_id":"ORG_UK_WINTON","label":"Winton","node_type":"Organisation","region":"United Kingdom","country":"United Kingdom","hub_city":"London","sector":"Proprietary Trading / Quant","subsector_tier":"Systematic hedge fund","entry_mechanism_id":"MECH_UK_SPRING","program_name":null,"program_length_months":null,"org_size_band":"Boutique","size_basis":"inferred - coarse band, verify","annual_intake_low":null,"annual_intake_high":null,"applications_per_cycle":null,"intake_estimate_central":16,"intake_estimate_basis":"Boutique base x 2.0 sector x 1.0 mechanism","confirmation_status":"[Note]","data_confidence":"Low","geo_source":"research","notes":null},</t>
  </si>
  <si>
    <t xml:space="preserve">    {"node_id":"ORG_UK_QRT","label":"Qube Research &amp; Technologies","node_type":"Organisation","region":"United Kingdom","country":"United Kingdom","hub_city":"London","sector":"Proprietary Trading / Quant","subsector_tier":"Quant fund","entry_mechanism_id":"MECH_UK_SPRING","program_name":null,"program_length_months":null,"org_size_band":"Mid","size_basis":"inferred - coarse band, verify","annual_intake_low":null,"annual_intake_high":null,"applications_per_cycle":null,"intake_estimate_central":60,"intake_estimate_basis":"Mid base x 2.0 sector x 1.0 mechanism","confirmation_status":"[Note]","data_confidence":"Low","geo_source":"research","notes":null},</t>
  </si>
  <si>
    <t xml:space="preserve">    {"node_id":"ORG_UK_SCHRODERS","label":"Schroders","node_type":"Organisation","region":"United Kingdom","country":"United Kingdom","hub_city":"London","sector":"Investment / Asset Management","subsector_tier":"UK asset manager","entry_mechanism_id":"MECH_UK_SPRING","program_name":"Graduate / internship programmes","program_length_months":null,"org_size_band":"Large","size_basis":"inferred - coarse band, verify","annual_intake_low":null,"annual_intake_high":null,"applications_per_cycle":null,"intake_estimate_central":96,"intake_estimate_basis":"Large base x 0.8 sector x 1.0 mechanism","confirmation_status":"[Note]","data_confidence":"Low","geo_source":"research","notes":null},</t>
  </si>
  <si>
    <t xml:space="preserve">    {"node_id":"ORG_UK_ABRDN","label":"abrdn","node_type":"Organisation","region":"United Kingdom","country":"United Kingdom","hub_city":"Edinburgh","sector":"Investment / Asset Management","subsector_tier":"UK asset manager","entry_mechanism_id":"MECH_UK_SCHEME","program_name":"Graduate programme","program_length_months":null,"org_size_band":"Large","size_basis":"inferred - coarse band, verify","annual_intake_low":null,"annual_intake_high":null,"applications_per_cycle":null,"intake_estimate_central":96,"intake_estimate_basis":"Large base x 0.8 sector x 1.0 mechanism","confirmation_status":"[Note]","data_confidence":"Low","geo_source":"research","notes":null},</t>
  </si>
  <si>
    <t xml:space="preserve">    {"node_id":"ORG_UK_MG","label":"M&amp;G","node_type":"Organisation","region":"United Kingdom","country":"United Kingdom","hub_city":"London","sector":"Investment / Asset Management","subsector_tier":"UK asset manager","entry_mechanism_id":"MECH_UK_SCHEME","program_name":"Graduate programme","program_length_months":null,"org_size_band":"Large","size_basis":"inferred - coarse band, verify","annual_intake_low":null,"annual_intake_high":null,"applications_per_cycle":null,"intake_estimate_central":96,"intake_estimate_basis":"Large base x 0.8 sector x 1.0 mechanism","confirmation_status":"[Note]","data_confidence":"Low","geo_source":"research","notes":null},</t>
  </si>
  <si>
    <t xml:space="preserve">    {"node_id":"ORG_UK_LG","label":"Legal &amp; General","node_type":"Organisation","region":"United Kingdom","country":"United Kingdom","hub_city":"London","sector":"Investment / Asset Management","subsector_tier":"Insurer / asset manager","entry_mechanism_id":"MECH_UK_SCHEME","program_name":"Graduate + actuarial programmes","program_length_months":null,"org_size_band":"Mega","size_basis":"inferred - coarse band, verify","annual_intake_low":null,"annual_intake_high":null,"applications_per_cycle":null,"intake_estimate_central":320,"intake_estimate_basis":"Mega base x 0.8 sector x 1.0 mechanism","confirmation_status":"[Note]","data_confidence":"Low","geo_source":"research","notes":null},</t>
  </si>
  <si>
    <t xml:space="preserve">    {"node_id":"ORG_UK_BAILLIE","label":"Baillie Gifford","node_type":"Organisation","region":"United Kingdom","country":"United Kingdom","hub_city":"Edinburgh","sector":"Investment / Asset Management","subsector_tier":"Investment partnership","entry_mechanism_id":"MECH_UK_SCHEME","program_name":"Graduate programme","program_length_months":null,"org_size_band":"Mid","size_basis":"inferred - coarse band, verify","annual_intake_low":null,"annual_intake_high":null,"applications_per_cycle":null,"intake_estimate_central":24,"intake_estimate_basis":"Mid base x 0.8 sector x 1.0 mechanism","confirmation_status":"[Note]","data_confidence":"Low","geo_source":"research","notes":null},</t>
  </si>
  <si>
    <t xml:space="preserve">    {"node_id":"ORG_UK_JUPITER","label":"Jupiter Asset Management","node_type":"Organisation","region":"United Kingdom","country":"United Kingdom","hub_city":"London","sector":"Investment / Asset Management","subsector_tier":"UK asset manager","entry_mechanism_id":"MECH_UK_SCHEME","program_name":null,"program_length_months":null,"org_size_band":"Mid","size_basis":"inferred - coarse band, verify","annual_intake_low":null,"annual_intake_high":null,"applications_per_cycle":null,"intake_estimate_central":24,"intake_estimate_basis":"Mid base x 0.8 sector x 1.0 mechanism","confirmation_status":"[Note]","data_confidence":"Low","geo_source":"research","notes":null},</t>
  </si>
  <si>
    <t xml:space="preserve">    {"node_id":"ORG_UK_ROYALLONDON","label":"Royal London","node_type":"Organisation","region":"United Kingdom","country":"United Kingdom","hub_city":"London","sector":"Investment / Asset Management","subsector_tier":"Mutual insurer / asset manager","entry_mechanism_id":"MECH_UK_SCHEME","program_name":null,"program_length_months":null,"org_size_band":"Large","size_basis":"inferred - coarse band, verify","annual_intake_low":null,"annual_intake_high":null,"applications_per_cycle":null,"intake_estimate_central":96,"intake_estimate_basis":"Large base x 0.8 sector x 1.0 mechanism","confirmation_status":"[Note]","data_confidence":"Low","geo_source":"research","notes":null},</t>
  </si>
  <si>
    <t xml:space="preserve">    {"node_id":"ORG_UK_HL","label":"Hargreaves Lansdown","node_type":"Organisation","region":"United Kingdom","country":"United Kingdom","hub_city":"Bristol","sector":"Investment / Asset Management","subsector_tier":"Investment platform","entry_mechanism_id":"MECH_UK_SCHEME","program_name":"Graduate programme","program_length_months":null,"org_size_band":"Mid","size_basis":"inferred - coarse band, verify","annual_intake_low":null,"annual_intake_high":null,"applications_per_cycle":null,"intake_estimate_central":24,"intake_estimate_basis":"Mid base x 0.8 sector x 1.0 mechanism","confirmation_status":"[Note]","data_confidence":"Low","geo_source":"research","notes":null},</t>
  </si>
  <si>
    <t xml:space="preserve">    {"node_id":"ORG_UK_LLOYDSMKT","label":"Lloyd's of London","node_type":"Organisation","region":"United Kingdom","country":"United Kingdom","hub_city":"London","sector":"Insurance","subsector_tier":"Specialist insurance market","entry_mechanism_id":"MECH_UK_SCHEME","program_name":"Six core two-year graduate programmes: Business, Tax, Internal Audit, Insurance, Actuarial, Technology &amp; Data","program_length_months":"24","org_size_band":"Mid","size_basis":"inferred - coarse band, verify","annual_intake_low":null,"annual_intake_high":null,"applications_per_cycle":null,"intake_estimate_central":30,"intake_estimate_basis":"Mid base x 1.0 sector x 1.0 mechanism","confirmation_status":"[C-Official]","data_confidence":"High","geo_source":"research","notes":"Each programme is composed of four six-month placements."},</t>
  </si>
  <si>
    <t xml:space="preserve">    {"node_id":"ORG_UK_AVIVA","label":"Aviva","node_type":"Organisation","region":"United Kingdom","country":"United Kingdom","hub_city":"London","sector":"Insurance","subsector_tier":"Composite insurer","entry_mechanism_id":"MECH_UK_SCHEME","program_name":"Graduate + actuarial programmes","program_length_months":null,"org_size_band":"Mega","size_basis":"inferred - coarse band, verify","annual_intake_low":null,"annual_intake_high":null,"applications_per_cycle":null,"intake_estimate_central":400,"intake_estimate_basis":"Mega base x 1.0 sector x 1.0 mechanism","confirmation_status":"[Note]","data_confidence":"Low","geo_source":"research","notes":null},</t>
  </si>
  <si>
    <t xml:space="preserve">    {"node_id":"ORG_UK_PRUPLC","label":"Prudential plc","node_type":"Organisation","region":"United Kingdom","country":"United Kingdom","hub_city":"London","sector":"Insurance","subsector_tier":"Life insurer","entry_mechanism_id":"MECH_UK_SCHEME","program_name":"Graduate / actuarial","program_length_months":null,"org_size_band":"Large","size_basis":"inferred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mechanism","confirmation_status":"[Note]","data_confidence":"Low","geo_source":"research","notes":"Distinct from Prudential Financial in the USA"},</t>
  </si>
  <si>
    <t xml:space="preserve">    {"node_id":"ORG_UK_ADMIRAL","label":"Admiral Group","node_type":"Organisation","region":"United Kingdom","country":"United Kingdom","hub_city":"Other UK location","sector":"Insurance","subsector_tier":"Motor insurer","entry_mechanism_id":"MECH_UK_SCHEME","program_name":"Graduate + actuarial programmes","program_length_months":null,"org_size_band":"Large","size_basis":"inferred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mechanism","confirmation_status":"[Note]","data_confidence":"Low","geo_source":"research","notes":null},</t>
  </si>
  <si>
    <t xml:space="preserve">    {"node_id":"ORG_UK_DLG","label":"Direct Line Group","node_type":"Organisation","region":"United Kingdom","country":"United Kingdom","hub_city":"London","sector":"Insurance","subsector_tier":"General insurer","entry_mechanism_id":"MECH_UK_SCHEME","program_name":"Graduate / actuarial","program_length_months":null,"org_size_band":"Large","size_basis":"inferred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mechanism","confirmation_status":"[Note]","data_confidence":"Low","geo_source":"research","notes":null},</t>
  </si>
  <si>
    <t xml:space="preserve">    {"node_id":"ORG_UK_BEAZLEY","label":"Beazley","node_type":"Organisation","region":"United Kingdom","country":"United Kingdom","hub_city":"London","sector":"Insurance","subsector_tier":"Lloyd's market insurer","entry_mechanism_id":"MECH_UK_SCHEME","program_name":"Graduate / underwriting","program_length_months":null,"org_size_band":"Mid","size_basis":"inferred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mechanism","confirmation_status":"[Note]","data_confidence":"Low","geo_source":"research","notes":null},</t>
  </si>
  <si>
    <t xml:space="preserve">    {"node_id":"ORG_UK_HISCOX","label":"Hiscox","node_type":"Organisation","region":"United Kingdom","country":"United Kingdom","hub_city":"London","sector":"Insurance","subsector_tier":"Lloyd's market insurer","entry_mechanism_id":"MECH_UK_SCHEME","program_name":"Graduate / underwriting","program_length_months":null,"org_size_band":"Mid","size_basis":"inferred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mechanism","confirmation_status":"[Note]","data_confidence":"Low","geo_source":"research","notes":null},</t>
  </si>
  <si>
    <t xml:space="preserve">    {"node_id":"ORG_UK_AON","label":"Aon UK","node_type":"Organisation","region":"United Kingdom","country":"United Kingdom","hub_city":"London","sector":"Insurance","subsector_tier":"Insurance broking / risk","entry_mechanism_id":"MECH_UK_SCHEME","program_name":"Graduate programme","program_length_months":null,"org_size_band":"Large","size_basis":"inferred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mechanism","confirmation_status":"[Note]","data_confidence":"Low","geo_source":"research","notes":null},</t>
  </si>
  <si>
    <t xml:space="preserve">    {"node_id":"ORG_UK_WTW","label":"WTW","node_type":"Organisation","region":"United Kingdom","country":"United Kingdom","hub_city":"London","sector":"Insurance","subsector_tier":"Insurance broking / actuarial","entry_mechanism_id":"MECH_UK_SCHEME","program_name":"Graduate + actuarial programmes","program_length_months":null,"org_size_band":"Large","size_basis":"inferred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mechanism","confirmation_status":"[Note]","data_confidence":"Low","geo_source":"research","notes":null},</t>
  </si>
  <si>
    <t xml:space="preserve">    {"node_id":"ORG_UK_MARSH","label":"Marsh McLennan UK","node_type":"Organisation","region":"United Kingdom","country":"United Kingdom","hub_city":"London","sector":"Insurance","subsector_tier":"Insurance broking / consulting","entry_mechanism_id":"MECH_UK_SCHEME","program_name":"Graduate programme","program_length_months":null,"org_size_band":"Large","size_basis":"inferred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mechanism","confirmation_status":"[Note]","data_confidence":"Low","geo_source":"research","notes":null},</t>
  </si>
  <si>
    <t xml:space="preserve">    {"node_id":"ORG_UK_LSEG","label":"London Stock Exchange Group","node_type":"Organisation","region":"United Kingdom","country":"United Kingdom","hub_city":"London","sector":"Ratings Agencies &amp; Financial Data","subsector_tier":"Exchange / data (incl. Refinitiv)","entry_mechanism_id":"MECH_UK_SCHEME","program_name":"Graduate / internship programmes","program_length_months":null,"org_size_band":"Large","size_basis":"inferred - coarse band, verify","annual_intake_low":null,"annual_intake_high":null,"applications_per_cycle":null,"intake_estimate_central":180,"intake_estimate_basis":"Large base x 1.5 sector x 1.0 mechanism","confirmation_status":"[Note]","data_confidence":"Low","geo_source":"research","notes":null},</t>
  </si>
  <si>
    <t xml:space="preserve">    {"node_id":"ORG_UK_BIG4","label":"Deloitte / PwC / EY / KPMG (UK firms)","node_type":"Organisation","region":"United Kingdom","country":"United Kingdom","hub_city":"London","sector":"Consulting / Professional Services","subsector_tier":"Big 4 UK","entry_mechanism_id":"MECH_UK_SCHEME","program_name":"Graduate schemes (audit, tax, consulting, deals) + spring insight weeks","program_length_months":null,"org_size_band":"Mega","size_basis":"inferred - coarse band, verify","annual_intake_low":null,"annual_intake_high":null,"applications_per_cycle":null,"intake_estimate_central":1200,"intake_estimate_basis":"Mega base x 3.0 sector x 1.0 mechanism","confirmation_status":"[C-Press]","data_confidence":"Medium","geo_source":"research","notes":"Grouped as in the source document; UK firms are among the largest single graduate recruiters in the country"},</t>
  </si>
  <si>
    <t xml:space="preserve">    {"node_id":"ORG_UK_MBB","label":"McKinsey / BCG / Bain (London)","node_type":"Organisation","region":"United Kingdom","country":"United Kingdom","hub_city":"London","sector":"Consulting / Professional Services","subsector_tier":"MBB London","entry_mechanism_id":"MECH_UK_SCHEME","program_name":"Graduate business analyst / associate intake","program_length_months":null,"org_size_band":"Large","size_basis":"inferred - coarse band, verify","annual_intake_low":null,"annual_intake_high":null,"applications_per_cycle":null,"intake_estimate_central":360,"intake_estimate_basis":"Large base x 3.0 sector x 1.0 mechanism","confirmation_status":"[C-Press]","data_confidence":"Medium","geo_source":"research","notes":"Grouped as in the source document"},</t>
  </si>
  <si>
    <t xml:space="preserve">    {"edge_id":"E0001","source_id":"GEO_C_US","target_id":"GEO_R_USA","edge_type":"PART_OF","directed":true,"notes":null},</t>
  </si>
  <si>
    <t xml:space="preserve">    {"edge_id":"E0002","source_id":"GEO_C_IN","target_id":"GEO_R_INDIA","edge_type":"PART_OF","directed":true,"notes":null},</t>
  </si>
  <si>
    <t xml:space="preserve">    {"edge_id":"E0003","source_id":"GEO_C_CN","target_id":"GEO_R_CHINA","edge_type":"PART_OF","directed":true,"notes":null},</t>
  </si>
  <si>
    <t xml:space="preserve">    {"edge_id":"E0004","source_id":"GEO_C_BR","target_id":"GEO_R_LATAM","edge_type":"PART_OF","directed":true,"notes":null},</t>
  </si>
  <si>
    <t xml:space="preserve">    {"edge_id":"E0005","source_id":"GEO_C_MX","target_id":"GEO_R_LATAM","edge_type":"PART_OF","directed":true,"notes":null},</t>
  </si>
  <si>
    <t xml:space="preserve">    {"edge_id":"E0006","source_id":"GEO_C_CO","target_id":"GEO_R_LATAM","edge_type":"PART_OF","directed":true,"notes":null},</t>
  </si>
  <si>
    <t xml:space="preserve">    {"edge_id":"E0007","source_id":"GEO_C_CL","target_id":"GEO_R_LATAM","edge_type":"PART_OF","directed":true,"notes":null},</t>
  </si>
  <si>
    <t xml:space="preserve">    {"edge_id":"E0008","source_id":"GEO_C_PE","target_id":"GEO_R_LATAM","edge_type":"PART_OF","directed":true,"notes":null},</t>
  </si>
  <si>
    <t xml:space="preserve">    {"edge_id":"E0009","source_id":"GEO_C_AR","target_id":"GEO_R_LATAM","edge_type":"PART_OF","directed":true,"notes":null},</t>
  </si>
  <si>
    <t xml:space="preserve">    {"edge_id":"E0010","source_id":"GEO_C_DE","target_id":"GEO_R_EUROPE","edge_type":"PART_OF","directed":true,"notes":null},</t>
  </si>
  <si>
    <t xml:space="preserve">    {"edge_id":"E0011","source_id":"GEO_C_FR","target_id":"GEO_R_EUROPE","edge_type":"PART_OF","directed":true,"notes":null},</t>
  </si>
  <si>
    <t xml:space="preserve">    {"edge_id":"E0012","source_id":"GEO_C_CH","target_id":"GEO_R_EUROPE","edge_type":"PART_OF","directed":true,"notes":null},</t>
  </si>
  <si>
    <t xml:space="preserve">    {"edge_id":"E0013","source_id":"GEO_C_NL","target_id":"GEO_R_EUROPE","edge_type":"PART_OF","directed":true,"notes":null},</t>
  </si>
  <si>
    <t xml:space="preserve">    {"edge_id":"E0014","source_id":"GEO_C_ES","target_id":"GEO_R_EUROPE","edge_type":"PART_OF","directed":true,"notes":null},</t>
  </si>
  <si>
    <t xml:space="preserve">    {"edge_id":"E0015","source_id":"GEO_C_IT","target_id":"GEO_R_EUROPE","edge_type":"PART_OF","directed":true,"notes":null},</t>
  </si>
  <si>
    <t xml:space="preserve">    {"edge_id":"E0016","source_id":"GEO_C_SE","target_id":"GEO_R_EUROPE","edge_type":"PART_OF","directed":true,"notes":null},</t>
  </si>
  <si>
    <t xml:space="preserve">    {"edge_id":"E0017","source_id":"GEO_C_DK","target_id":"GEO_R_EUROPE","edge_type":"PART_OF","directed":true,"notes":null},</t>
  </si>
  <si>
    <t xml:space="preserve">    {"edge_id":"E0018","source_id":"GEO_C_NO","target_id":"GEO_R_EUROPE","edge_type":"PART_OF","directed":true,"notes":null},</t>
  </si>
  <si>
    <t xml:space="preserve">    {"edge_id":"E0019","source_id":"GEO_C_FI","target_id":"GEO_R_EUROPE","edge_type":"PART_OF","directed":true,"notes":null},</t>
  </si>
  <si>
    <t xml:space="preserve">    {"edge_id":"E0020","source_id":"GEO_C_IE","target_id":"GEO_R_EUROPE","edge_type":"PART_OF","directed":true,"notes":null},</t>
  </si>
  <si>
    <t xml:space="preserve">    {"edge_id":"E0021","source_id":"GEO_C_LU","target_id":"GEO_R_EUROPE","edge_type":"PART_OF","directed":true,"notes":null},</t>
  </si>
  <si>
    <t xml:space="preserve">    {"edge_id":"E0022","source_id":"GEO_C_UK","target_id":"GEO_R_UK","edge_type":"PART_OF","directed":true,"notes":null},</t>
  </si>
  <si>
    <t xml:space="preserve">    {"edge_id":"E0023","source_id":"GEO_H_NYC","target_id":"GEO_C_US","edge_type":"PART_OF","directed":true,"notes":null},</t>
  </si>
  <si>
    <t xml:space="preserve">    {"edge_id":"E0024","source_id":"GEO_H_CHI","target_id":"GEO_C_US","edge_type":"PART_OF","directed":true,"notes":null},</t>
  </si>
  <si>
    <t xml:space="preserve">    {"edge_id":"E0025","source_id":"GEO_H_BOS","target_id":"GEO_C_US","edge_type":"PART_OF","directed":true,"notes":null},</t>
  </si>
  <si>
    <t xml:space="preserve">    {"edge_id":"E0026","source_id":"GEO_H_CLT","target_id":"GEO_C_US","edge_type":"PART_OF","directed":true,"notes":null},</t>
  </si>
  <si>
    <t xml:space="preserve">    {"edge_id":"E0027","source_id":"GEO_H_SFO","target_id":"GEO_C_US","edge_type":"PART_OF","directed":true,"notes":null},</t>
  </si>
  <si>
    <t xml:space="preserve">    {"edge_id":"E0028","source_id":"GEO_H_MIA","target_id":"GEO_C_US","edge_type":"PART_OF","directed":true,"notes":null},</t>
  </si>
  <si>
    <t xml:space="preserve">    {"edge_id":"E0029","source_id":"GEO_H_LAX","target_id":"GEO_C_US","edge_type":"PART_OF","directed":true,"notes":null},</t>
  </si>
  <si>
    <t xml:space="preserve">    {"edge_id":"E0030","source_id":"GEO_H_PHL","target_id":"GEO_C_US","edge_type":"PART_OF","directed":true,"notes":null},</t>
  </si>
  <si>
    <t xml:space="preserve">    {"edge_id":"E0031","source_id":"GEO_H_USOTH","target_id":"GEO_C_US","edge_type":"PART_OF","directed":true,"notes":null},</t>
  </si>
  <si>
    <t xml:space="preserve">    {"edge_id":"E0032","source_id":"GEO_H_MUM","target_id":"GEO_C_IN","edge_type":"PART_OF","directed":true,"notes":null},</t>
  </si>
  <si>
    <t xml:space="preserve">    {"edge_id":"E0033","source_id":"GEO_H_BLR","target_id":"GEO_C_IN","edge_type":"PART_OF","directed":true,"notes":null},</t>
  </si>
  <si>
    <t xml:space="preserve">    {"edge_id":"E0034","source_id":"GEO_H_HYD","target_id":"GEO_C_IN","edge_type":"PART_OF","directed":true,"notes":null},</t>
  </si>
  <si>
    <t xml:space="preserve">    {"edge_id":"E0035","source_id":"GEO_H_INOTH","target_id":"GEO_C_IN","edge_type":"PART_OF","directed":true,"notes":null},</t>
  </si>
  <si>
    <t xml:space="preserve">    {"edge_id":"E0036","source_id":"GEO_H_BEI","target_id":"GEO_C_CN","edge_type":"PART_OF","directed":true,"notes":null},</t>
  </si>
  <si>
    <t xml:space="preserve">    {"edge_id":"E0037","source_id":"GEO_H_SHA","target_id":"GEO_C_CN","edge_type":"PART_OF","directed":true,"notes":null},</t>
  </si>
  <si>
    <t xml:space="preserve">    {"edge_id":"E0038","source_id":"GEO_H_SZX","target_id":"GEO_C_CN","edge_type":"PART_OF","directed":true,"notes":null},</t>
  </si>
  <si>
    <t xml:space="preserve">    {"edge_id":"E0039","source_id":"GEO_H_HGH","target_id":"GEO_C_CN","edge_type":"PART_OF","directed":true,"notes":null},</t>
  </si>
  <si>
    <t xml:space="preserve">    {"edge_id":"E0040","source_id":"GEO_H_CNOTH","target_id":"GEO_C_CN","edge_type":"PART_OF","directed":true,"notes":null},</t>
  </si>
  <si>
    <t xml:space="preserve">    {"edge_id":"E0041","source_id":"GEO_H_SAO","target_id":"GEO_C_BR","edge_type":"PART_OF","directed":true,"notes":null},</t>
  </si>
  <si>
    <t xml:space="preserve">    {"edge_id":"E0042","source_id":"GEO_H_MEX","target_id":"GEO_C_MX","edge_type":"PART_OF","directed":true,"notes":null},</t>
  </si>
  <si>
    <t xml:space="preserve">    {"edge_id":"E0043","source_id":"GEO_H_BOG","target_id":"GEO_C_CO","edge_type":"PART_OF","directed":true,"notes":null},</t>
  </si>
  <si>
    <t xml:space="preserve">    {"edge_id":"E0044","source_id":"GEO_H_MDE","target_id":"GEO_C_CO","edge_type":"PART_OF","directed":true,"notes":null},</t>
  </si>
  <si>
    <t xml:space="preserve">    {"edge_id":"E0045","source_id":"GEO_H_SCL","target_id":"GEO_C_CL","edge_type":"PART_OF","directed":true,"notes":null},</t>
  </si>
  <si>
    <t xml:space="preserve">    {"edge_id":"E0046","source_id":"GEO_H_LIM","target_id":"GEO_C_PE","edge_type":"PART_OF","directed":true,"notes":null},</t>
  </si>
  <si>
    <t xml:space="preserve">    {"edge_id":"E0047","source_id":"GEO_H_BUE","target_id":"GEO_C_AR","edge_type":"PART_OF","directed":true,"notes":null},</t>
  </si>
  <si>
    <t xml:space="preserve">    {"edge_id":"E0048","source_id":"GEO_H_FRA","target_id":"GEO_C_DE","edge_type":"PART_OF","directed":true,"notes":null},</t>
  </si>
  <si>
    <t xml:space="preserve">    {"edge_id":"E0049","source_id":"GEO_H_MUC","target_id":"GEO_C_DE","edge_type":"PART_OF","directed":true,"notes":null},</t>
  </si>
  <si>
    <t xml:space="preserve">    {"edge_id":"E0050","source_id":"GEO_H_PAR","target_id":"GEO_C_FR","edge_type":"PART_OF","directed":true,"notes":null},</t>
  </si>
  <si>
    <t xml:space="preserve">    {"edge_id":"E0051","source_id":"GEO_H_ZRH","target_id":"GEO_C_CH","edge_type":"PART_OF","directed":true,"notes":null},</t>
  </si>
  <si>
    <t xml:space="preserve">    {"edge_id":"E0052","source_id":"GEO_H_GVA","target_id":"GEO_C_CH","edge_type":"PART_OF","directed":true,"notes":null},</t>
  </si>
  <si>
    <t xml:space="preserve">    {"edge_id":"E0053","source_id":"GEO_H_AMS","target_id":"GEO_C_NL","edge_type":"PART_OF","directed":true,"notes":null},</t>
  </si>
  <si>
    <t xml:space="preserve">    {"edge_id":"E0054","source_id":"GEO_H_MAD","target_id":"GEO_C_ES","edge_type":"PART_OF","directed":true,"notes":null},</t>
  </si>
  <si>
    <t xml:space="preserve">    {"edge_id":"E0055","source_id":"GEO_H_MIL","target_id":"GEO_C_IT","edge_type":"PART_OF","directed":true,"notes":null},</t>
  </si>
  <si>
    <t xml:space="preserve">    {"edge_id":"E0056","source_id":"GEO_H_TRS","target_id":"GEO_C_IT","edge_type":"PART_OF","directed":true,"notes":null},</t>
  </si>
  <si>
    <t xml:space="preserve">    {"edge_id":"E0057","source_id":"GEO_H_STO","target_id":"GEO_C_SE","edge_type":"PART_OF","directed":true,"notes":null},</t>
  </si>
  <si>
    <t xml:space="preserve">    {"edge_id":"E0058","source_id":"GEO_H_CPH","target_id":"GEO_C_DK","edge_type":"PART_OF","directed":true,"notes":null},</t>
  </si>
  <si>
    <t xml:space="preserve">    {"edge_id":"E0059","source_id":"GEO_H_OSL","target_id":"GEO_C_NO","edge_type":"PART_OF","directed":true,"notes":null},</t>
  </si>
  <si>
    <t xml:space="preserve">    {"edge_id":"E0060","source_id":"GEO_H_HEL","target_id":"GEO_C_FI","edge_type":"PART_OF","directed":true,"notes":null},</t>
  </si>
  <si>
    <t xml:space="preserve">    {"edge_id":"E0061","source_id":"GEO_H_DUB","target_id":"GEO_C_IE","edge_type":"PART_OF","directed":true,"notes":null},</t>
  </si>
  <si>
    <t xml:space="preserve">    {"edge_id":"E0062","source_id":"GEO_H_LUX","target_id":"GEO_C_LU","edge_type":"PART_OF","directed":true,"notes":null},</t>
  </si>
  <si>
    <t xml:space="preserve">    {"edge_id":"E0063","source_id":"GEO_H_LON","target_id":"GEO_C_UK","edge_type":"PART_OF","directed":true,"notes":null},</t>
  </si>
  <si>
    <t xml:space="preserve">    {"edge_id":"E0079","source_id":"ORG_GS","target_id":"GEO_H_NYC","edge_type":"LOCATED_IN","directed":true,"notes":null},</t>
  </si>
  <si>
    <t xml:space="preserve">    {"edge_id":"E0080","source_id":"ORG_GS","target_id":"SEC_IB_BB","edge_type":"IN_SECTOR","directed":true,"notes":null},</t>
  </si>
  <si>
    <t xml:space="preserve">    {"edge_id":"E0082","source_id":"ORG_MS","target_id":"GEO_H_NYC","edge_type":"LOCATED_IN","directed":true,"notes":null},</t>
  </si>
  <si>
    <t xml:space="preserve">    {"edge_id":"E0083","source_id":"ORG_MS","target_id":"SEC_IB_BB","edge_type":"IN_SECTOR","directed":true,"notes":null},</t>
  </si>
  <si>
    <t xml:space="preserve">    {"edge_id":"E0085","source_id":"ORG_JPM","target_id":"GEO_H_NYC","edge_type":"LOCATED_IN","directed":true,"notes":null},</t>
  </si>
  <si>
    <t xml:space="preserve">    {"edge_id":"E0086","source_id":"ORG_JPM","target_id":"SEC_IB_BB","edge_type":"IN_SECTOR","directed":true,"notes":null},</t>
  </si>
  <si>
    <t xml:space="preserve">    {"edge_id":"E0088","source_id":"ORG_BAC","target_id":"GEO_H_CLT","edge_type":"LOCATED_IN","directed":true,"notes":null},</t>
  </si>
  <si>
    <t xml:space="preserve">    {"edge_id":"E0089","source_id":"ORG_BAC","target_id":"SEC_IB_BB","edge_type":"IN_SECTOR","directed":true,"notes":null},</t>
  </si>
  <si>
    <t xml:space="preserve">    {"edge_id":"E0091","source_id":"ORG_CITI","target_id":"GEO_H_NYC","edge_type":"LOCATED_IN","directed":true,"notes":null},</t>
  </si>
  <si>
    <t xml:space="preserve">    {"edge_id":"E0092","source_id":"ORG_CITI","target_id":"SEC_IB_BB","edge_type":"IN_SECTOR","directed":true,"notes":null},</t>
  </si>
  <si>
    <t xml:space="preserve">    {"edge_id":"E0094","source_id":"ORG_WFC","target_id":"GEO_H_SFO","edge_type":"LOCATED_IN","directed":true,"notes":null},</t>
  </si>
  <si>
    <t xml:space="preserve">    {"edge_id":"E0095","source_id":"ORG_WFC","target_id":"SEC_IB_BB","edge_type":"IN_SECTOR","directed":true,"notes":null},</t>
  </si>
  <si>
    <t xml:space="preserve">    {"edge_id":"E0097","source_id":"ORG_EVR","target_id":"GEO_H_NYC","edge_type":"LOCATED_IN","directed":true,"notes":null},</t>
  </si>
  <si>
    <t xml:space="preserve">    {"edge_id":"E0098","source_id":"ORG_EVR","target_id":"SEC_IB_EB","edge_type":"IN_SECTOR","directed":true,"notes":null},</t>
  </si>
  <si>
    <t xml:space="preserve">    {"edge_id":"E0100","source_id":"ORG_CVP","target_id":"GEO_H_NYC","edge_type":"LOCATED_IN","directed":true,"notes":null},</t>
  </si>
  <si>
    <t xml:space="preserve">    {"edge_id":"E0101","source_id":"ORG_CVP","target_id":"SEC_IB_EB","edge_type":"IN_SECTOR","directed":true,"notes":null},</t>
  </si>
  <si>
    <t xml:space="preserve">    {"edge_id":"E0103","source_id":"ORG_LAZ","target_id":"GEO_H_NYC","edge_type":"LOCATED_IN","directed":true,"notes":null},</t>
  </si>
  <si>
    <t xml:space="preserve">    {"edge_id":"E0104","source_id":"ORG_LAZ","target_id":"SEC_IB_EB","edge_type":"IN_SECTOR","directed":true,"notes":null},</t>
  </si>
  <si>
    <t xml:space="preserve">    {"edge_id":"E0106","source_id":"ORG_MC","target_id":"GEO_H_NYC","edge_type":"LOCATED_IN","directed":true,"notes":null},</t>
  </si>
  <si>
    <t xml:space="preserve">    {"edge_id":"E0107","source_id":"ORG_MC","target_id":"SEC_IB_EB","edge_type":"IN_SECTOR","directed":true,"notes":null},</t>
  </si>
  <si>
    <t xml:space="preserve">    {"edge_id":"E0109","source_id":"ORG_PJT","target_id":"GEO_H_NYC","edge_type":"LOCATED_IN","directed":true,"notes":null},</t>
  </si>
  <si>
    <t xml:space="preserve">    {"edge_id":"E0110","source_id":"ORG_PJT","target_id":"SEC_IB_EB","edge_type":"IN_SECTOR","directed":true,"notes":null},</t>
  </si>
  <si>
    <t xml:space="preserve">    {"edge_id":"E0112","source_id":"ORG_PWP","target_id":"GEO_H_NYC","edge_type":"LOCATED_IN","directed":true,"notes":null},</t>
  </si>
  <si>
    <t xml:space="preserve">    {"edge_id":"E0113","source_id":"ORG_PWP","target_id":"SEC_IB_EB","edge_type":"IN_SECTOR","directed":true,"notes":null},</t>
  </si>
  <si>
    <t xml:space="preserve">    {"edge_id":"E0115","source_id":"ORG_HLI","target_id":"GEO_H_LAX","edge_type":"LOCATED_IN","directed":true,"notes":null},</t>
  </si>
  <si>
    <t xml:space="preserve">    {"edge_id":"E0116","source_id":"ORG_HLI","target_id":"SEC_IB_EB","edge_type":"IN_SECTOR","directed":true,"notes":null},</t>
  </si>
  <si>
    <t xml:space="preserve">    {"edge_id":"E0118","source_id":"ORG_GUGG","target_id":"GEO_H_NYC","edge_type":"LOCATED_IN","directed":true,"notes":null},</t>
  </si>
  <si>
    <t xml:space="preserve">    {"edge_id":"E0119","source_id":"ORG_GUGG","target_id":"SEC_IB_EB","edge_type":"IN_SECTOR","directed":true,"notes":null},</t>
  </si>
  <si>
    <t xml:space="preserve">    {"edge_id":"E0121","source_id":"ORG_QTLY","target_id":"GEO_H_SFO","edge_type":"LOCATED_IN","directed":true,"notes":null},</t>
  </si>
  <si>
    <t xml:space="preserve">    {"edge_id":"E0122","source_id":"ORG_QTLY","target_id":"SEC_IB_EB","edge_type":"IN_SECTOR","directed":true,"notes":null},</t>
  </si>
  <si>
    <t xml:space="preserve">    {"edge_id":"E0124","source_id":"ORG_ROTH_US","target_id":"GEO_H_NYC","edge_type":"LOCATED_IN","directed":true,"notes":null},</t>
  </si>
  <si>
    <t xml:space="preserve">    {"edge_id":"E0125","source_id":"ORG_ROTH_US","target_id":"SEC_IB_EB","edge_type":"IN_SECTOR","directed":true,"notes":null},</t>
  </si>
  <si>
    <t xml:space="preserve">    {"edge_id":"E0127","source_id":"ORG_WB","target_id":"GEO_H_CHI","edge_type":"LOCATED_IN","directed":true,"notes":null},</t>
  </si>
  <si>
    <t xml:space="preserve">    {"edge_id":"E0128","source_id":"ORG_WB","target_id":"SEC_IB_EB","edge_type":"IN_SECTOR","directed":true,"notes":null},</t>
  </si>
  <si>
    <t xml:space="preserve">    {"edge_id":"E0130","source_id":"ORG_RWB","target_id":"GEO_H_USOTH","edge_type":"LOCATED_IN","directed":true,"notes":null},</t>
  </si>
  <si>
    <t xml:space="preserve">    {"edge_id":"E0131","source_id":"ORG_RWB","target_id":"SEC_IB_EB","edge_type":"IN_SECTOR","directed":true,"notes":null},</t>
  </si>
  <si>
    <t xml:space="preserve">    {"edge_id":"E0133","source_id":"ORG_JEF","target_id":"GEO_H_NYC","edge_type":"LOCATED_IN","directed":true,"notes":null},</t>
  </si>
  <si>
    <t xml:space="preserve">    {"edge_id":"E0134","source_id":"ORG_JEF","target_id":"SEC_IB_EB","edge_type":"IN_SECTOR","directed":true,"notes":null},</t>
  </si>
  <si>
    <t xml:space="preserve">    {"edge_id":"E0136","source_id":"ORG_JS","target_id":"GEO_H_NYC","edge_type":"LOCATED_IN","directed":true,"notes":null},</t>
  </si>
  <si>
    <t xml:space="preserve">    {"edge_id":"E0137","source_id":"ORG_JS","target_id":"SEC_QUANT","edge_type":"IN_SECTOR","directed":true,"notes":null},</t>
  </si>
  <si>
    <t xml:space="preserve">    {"edge_id":"E0139","source_id":"ORG_CITSEC","target_id":"GEO_H_MIA","edge_type":"LOCATED_IN","directed":true,"notes":null},</t>
  </si>
  <si>
    <t xml:space="preserve">    {"edge_id":"E0140","source_id":"ORG_CITSEC","target_id":"SEC_QUANT","edge_type":"IN_SECTOR","directed":true,"notes":null},</t>
  </si>
  <si>
    <t xml:space="preserve">    {"edge_id":"E0142","source_id":"ORG_2SIG","target_id":"GEO_H_NYC","edge_type":"LOCATED_IN","directed":true,"notes":null},</t>
  </si>
  <si>
    <t xml:space="preserve">    {"edge_id":"E0143","source_id":"ORG_2SIG","target_id":"SEC_QUANT","edge_type":"IN_SECTOR","directed":true,"notes":null},</t>
  </si>
  <si>
    <t xml:space="preserve">    {"edge_id":"E0145","source_id":"ORG_JUMP","target_id":"GEO_H_CHI","edge_type":"LOCATED_IN","directed":true,"notes":null},</t>
  </si>
  <si>
    <t xml:space="preserve">    {"edge_id":"E0146","source_id":"ORG_JUMP","target_id":"SEC_QUANT","edge_type":"IN_SECTOR","directed":true,"notes":null},</t>
  </si>
  <si>
    <t xml:space="preserve">    {"edge_id":"E0148","source_id":"ORG_DES","target_id":"GEO_H_NYC","edge_type":"LOCATED_IN","directed":true,"notes":null},</t>
  </si>
  <si>
    <t xml:space="preserve">    {"edge_id":"E0149","source_id":"ORG_DES","target_id":"SEC_QUANT","edge_type":"IN_SECTOR","directed":true,"notes":null},</t>
  </si>
  <si>
    <t xml:space="preserve">    {"edge_id":"E0151","source_id":"ORG_SIG","target_id":"GEO_H_PHL","edge_type":"LOCATED_IN","directed":true,"notes":null},</t>
  </si>
  <si>
    <t xml:space="preserve">    {"edge_id":"E0152","source_id":"ORG_SIG","target_id":"SEC_QUANT","edge_type":"IN_SECTOR","directed":true,"notes":null},</t>
  </si>
  <si>
    <t xml:space="preserve">    {"edge_id":"E0154","source_id":"ORG_USB","target_id":"GEO_H_USOTH","edge_type":"LOCATED_IN","directed":true,"notes":null},</t>
  </si>
  <si>
    <t xml:space="preserve">    {"edge_id":"E0155","source_id":"ORG_USB","target_id":"SEC_COMM","edge_type":"IN_SECTOR","directed":true,"notes":null},</t>
  </si>
  <si>
    <t xml:space="preserve">    {"edge_id":"E0157","source_id":"ORG_PNC","target_id":"GEO_H_USOTH","edge_type":"LOCATED_IN","directed":true,"notes":null},</t>
  </si>
  <si>
    <t xml:space="preserve">    {"edge_id":"E0158","source_id":"ORG_PNC","target_id":"SEC_COMM","edge_type":"IN_SECTOR","directed":true,"notes":null},</t>
  </si>
  <si>
    <t xml:space="preserve">    {"edge_id":"E0160","source_id":"ORG_TFC","target_id":"GEO_H_CLT","edge_type":"LOCATED_IN","directed":true,"notes":null},</t>
  </si>
  <si>
    <t xml:space="preserve">    {"edge_id":"E0161","source_id":"ORG_TFC","target_id":"SEC_COMM","edge_type":"IN_SECTOR","directed":true,"notes":null},</t>
  </si>
  <si>
    <t xml:space="preserve">    {"edge_id":"E0163","source_id":"ORG_COF","target_id":"GEO_H_USOTH","edge_type":"LOCATED_IN","directed":true,"notes":null},</t>
  </si>
  <si>
    <t xml:space="preserve">    {"edge_id":"E0164","source_id":"ORG_COF","target_id":"SEC_COMM","edge_type":"IN_SECTOR","directed":true,"notes":null},</t>
  </si>
  <si>
    <t xml:space="preserve">    {"edge_id":"E0166","source_id":"ORG_FITB","target_id":"GEO_H_USOTH","edge_type":"LOCATED_IN","directed":true,"notes":null},</t>
  </si>
  <si>
    <t xml:space="preserve">    {"edge_id":"E0167","source_id":"ORG_FITB","target_id":"SEC_COMM","edge_type":"IN_SECTOR","directed":true,"notes":null},</t>
  </si>
  <si>
    <t xml:space="preserve">    {"edge_id":"E0169","source_id":"ORG_MTB","target_id":"GEO_H_USOTH","edge_type":"LOCATED_IN","directed":true,"notes":null},</t>
  </si>
  <si>
    <t xml:space="preserve">    {"edge_id":"E0170","source_id":"ORG_MTB","target_id":"SEC_COMM","edge_type":"IN_SECTOR","directed":true,"notes":null},</t>
  </si>
  <si>
    <t xml:space="preserve">    {"edge_id":"E0172","source_id":"ORG_RF","target_id":"GEO_H_USOTH","edge_type":"LOCATED_IN","directed":true,"notes":null},</t>
  </si>
  <si>
    <t xml:space="preserve">    {"edge_id":"E0173","source_id":"ORG_RF","target_id":"SEC_COMM","edge_type":"IN_SECTOR","directed":true,"notes":null},</t>
  </si>
  <si>
    <t xml:space="preserve">    {"edge_id":"E0175","source_id":"ORG_KEY","target_id":"GEO_H_USOTH","edge_type":"LOCATED_IN","directed":true,"notes":null},</t>
  </si>
  <si>
    <t xml:space="preserve">    {"edge_id":"E0176","source_id":"ORG_KEY","target_id":"SEC_COMM","edge_type":"IN_SECTOR","directed":true,"notes":null},</t>
  </si>
  <si>
    <t xml:space="preserve">    {"edge_id":"E0178","source_id":"ORG_CFG","target_id":"GEO_H_USOTH","edge_type":"LOCATED_IN","directed":true,"notes":null},</t>
  </si>
  <si>
    <t xml:space="preserve">    {"edge_id":"E0179","source_id":"ORG_CFG","target_id":"SEC_COMM","edge_type":"IN_SECTOR","directed":true,"notes":null},</t>
  </si>
  <si>
    <t xml:space="preserve">    {"edge_id":"E0181","source_id":"ORG_BNY","target_id":"GEO_H_NYC","edge_type":"LOCATED_IN","directed":true,"notes":null},</t>
  </si>
  <si>
    <t xml:space="preserve">    {"edge_id":"E0182","source_id":"ORG_BNY","target_id":"SEC_CUST","edge_type":"IN_SECTOR","directed":true,"notes":null},</t>
  </si>
  <si>
    <t xml:space="preserve">    {"edge_id":"E0184","source_id":"ORG_STT","target_id":"GEO_H_BOS","edge_type":"LOCATED_IN","directed":true,"notes":null},</t>
  </si>
  <si>
    <t xml:space="preserve">    {"edge_id":"E0185","source_id":"ORG_STT","target_id":"SEC_CUST","edge_type":"IN_SECTOR","directed":true,"notes":null},</t>
  </si>
  <si>
    <t xml:space="preserve">    {"edge_id":"E0187","source_id":"ORG_NTRS","target_id":"GEO_H_CHI","edge_type":"LOCATED_IN","directed":true,"notes":null},</t>
  </si>
  <si>
    <t xml:space="preserve">    {"edge_id":"E0188","source_id":"ORG_NTRS","target_id":"SEC_CUST","edge_type":"IN_SECTOR","directed":true,"notes":null},</t>
  </si>
  <si>
    <t xml:space="preserve">    {"edge_id":"E0190","source_id":"ORG_BLK","target_id":"GEO_H_NYC","edge_type":"LOCATED_IN","directed":true,"notes":null},</t>
  </si>
  <si>
    <t xml:space="preserve">    {"edge_id":"E0191","source_id":"ORG_BLK","target_id":"SEC_AM","edge_type":"IN_SECTOR","directed":true,"notes":null},</t>
  </si>
  <si>
    <t xml:space="preserve">    {"edge_id":"E0193","source_id":"ORG_VAN","target_id":"GEO_H_PHL","edge_type":"LOCATED_IN","directed":true,"notes":null},</t>
  </si>
  <si>
    <t xml:space="preserve">    {"edge_id":"E0194","source_id":"ORG_VAN","target_id":"SEC_AM","edge_type":"IN_SECTOR","directed":true,"notes":null},</t>
  </si>
  <si>
    <t xml:space="preserve">    {"edge_id":"E0196","source_id":"ORG_FID","target_id":"GEO_H_BOS","edge_type":"LOCATED_IN","directed":true,"notes":null},</t>
  </si>
  <si>
    <t xml:space="preserve">    {"edge_id":"E0197","source_id":"ORG_FID","target_id":"SEC_AM","edge_type":"IN_SECTOR","directed":true,"notes":null},</t>
  </si>
  <si>
    <t xml:space="preserve">    {"edge_id":"E0199","source_id":"ORG_TROW","target_id":"GEO_H_USOTH","edge_type":"LOCATED_IN","directed":true,"notes":null},</t>
  </si>
  <si>
    <t xml:space="preserve">    {"edge_id":"E0200","source_id":"ORG_TROW","target_id":"SEC_AM","edge_type":"IN_SECTOR","directed":true,"notes":null},</t>
  </si>
  <si>
    <t xml:space="preserve">    {"edge_id":"E0202","source_id":"ORG_PIMCO","target_id":"GEO_H_LAX","edge_type":"LOCATED_IN","directed":true,"notes":null},</t>
  </si>
  <si>
    <t xml:space="preserve">    {"edge_id":"E0203","source_id":"ORG_PIMCO","target_id":"SEC_AM","edge_type":"IN_SECTOR","directed":true,"notes":null},</t>
  </si>
  <si>
    <t xml:space="preserve">    {"edge_id":"E0205","source_id":"ORG_CG","target_id":"GEO_H_LAX","edge_type":"LOCATED_IN","directed":true,"notes":null},</t>
  </si>
  <si>
    <t xml:space="preserve">    {"edge_id":"E0206","source_id":"ORG_CG","target_id":"SEC_AM","edge_type":"IN_SECTOR","directed":true,"notes":null},</t>
  </si>
  <si>
    <t xml:space="preserve">    {"edge_id":"E0208","source_id":"ORG_WELL","target_id":"GEO_H_BOS","edge_type":"LOCATED_IN","directed":true,"notes":null},</t>
  </si>
  <si>
    <t xml:space="preserve">    {"edge_id":"E0209","source_id":"ORG_WELL","target_id":"SEC_AM","edge_type":"IN_SECTOR","directed":true,"notes":null},</t>
  </si>
  <si>
    <t xml:space="preserve">    {"edge_id":"E0211","source_id":"ORG_IVZ","target_id":"GEO_H_USOTH","edge_type":"LOCATED_IN","directed":true,"notes":null},</t>
  </si>
  <si>
    <t xml:space="preserve">    {"edge_id":"E0212","source_id":"ORG_IVZ","target_id":"SEC_AM","edge_type":"IN_SECTOR","directed":true,"notes":null},</t>
  </si>
  <si>
    <t xml:space="preserve">    {"edge_id":"E0214","source_id":"ORG_BEN","target_id":"GEO_H_SFO","edge_type":"LOCATED_IN","directed":true,"notes":null},</t>
  </si>
  <si>
    <t xml:space="preserve">    {"edge_id":"E0215","source_id":"ORG_BEN","target_id":"SEC_AM","edge_type":"IN_SECTOR","directed":true,"notes":null},</t>
  </si>
  <si>
    <t xml:space="preserve">    {"edge_id":"E0217","source_id":"ORG_JHG","target_id":"GEO_H_USOTH","edge_type":"LOCATED_IN","directed":true,"notes":null},</t>
  </si>
  <si>
    <t xml:space="preserve">    {"edge_id":"E0218","source_id":"ORG_JHG","target_id":"SEC_AM","edge_type":"IN_SECTOR","directed":true,"notes":null},</t>
  </si>
  <si>
    <t xml:space="preserve">    {"edge_id":"E0220","source_id":"ORG_MET","target_id":"GEO_H_NYC","edge_type":"LOCATED_IN","directed":true,"notes":null},</t>
  </si>
  <si>
    <t xml:space="preserve">    {"edge_id":"E0221","source_id":"ORG_MET","target_id":"SEC_INS","edge_type":"IN_SECTOR","directed":true,"notes":null},</t>
  </si>
  <si>
    <t xml:space="preserve">    {"edge_id":"E0223","source_id":"ORG_PRU","target_id":"GEO_H_USOTH","edge_type":"LOCATED_IN","directed":true,"notes":null},</t>
  </si>
  <si>
    <t xml:space="preserve">    {"edge_id":"E0224","source_id":"ORG_PRU","target_id":"SEC_INS","edge_type":"IN_SECTOR","directed":true,"notes":null},</t>
  </si>
  <si>
    <t xml:space="preserve">    {"edge_id":"E0226","source_id":"ORG_AIG","target_id":"GEO_H_NYC","edge_type":"LOCATED_IN","directed":true,"notes":null},</t>
  </si>
  <si>
    <t xml:space="preserve">    {"edge_id":"E0227","source_id":"ORG_AIG","target_id":"SEC_INS","edge_type":"IN_SECTOR","directed":true,"notes":null},</t>
  </si>
  <si>
    <t xml:space="preserve">    {"edge_id":"E0229","source_id":"ORG_CB","target_id":"GEO_H_PHL","edge_type":"LOCATED_IN","directed":true,"notes":null},</t>
  </si>
  <si>
    <t xml:space="preserve">    {"edge_id":"E0230","source_id":"ORG_CB","target_id":"SEC_INS","edge_type":"IN_SECTOR","directed":true,"notes":null},</t>
  </si>
  <si>
    <t xml:space="preserve">    {"edge_id":"E0232","source_id":"ORG_TRV","target_id":"GEO_H_USOTH","edge_type":"LOCATED_IN","directed":true,"notes":null},</t>
  </si>
  <si>
    <t xml:space="preserve">    {"edge_id":"E0233","source_id":"ORG_TRV","target_id":"SEC_INS","edge_type":"IN_SECTOR","directed":true,"notes":null},</t>
  </si>
  <si>
    <t xml:space="preserve">    {"edge_id":"E0235","source_id":"ORG_LMUT","target_id":"GEO_H_BOS","edge_type":"LOCATED_IN","directed":true,"notes":null},</t>
  </si>
  <si>
    <t xml:space="preserve">    {"edge_id":"E0236","source_id":"ORG_LMUT","target_id":"SEC_INS","edge_type":"IN_SECTOR","directed":true,"notes":null},</t>
  </si>
  <si>
    <t xml:space="preserve">    {"edge_id":"E0238","source_id":"ORG_CI","target_id":"GEO_H_USOTH","edge_type":"LOCATED_IN","directed":true,"notes":null},</t>
  </si>
  <si>
    <t xml:space="preserve">    {"edge_id":"E0239","source_id":"ORG_CI","target_id":"SEC_INS","edge_type":"IN_SECTOR","directed":true,"notes":null},</t>
  </si>
  <si>
    <t xml:space="preserve">    {"edge_id":"E0241","source_id":"ORG_UNH","target_id":"GEO_H_USOTH","edge_type":"LOCATED_IN","directed":true,"notes":null},</t>
  </si>
  <si>
    <t xml:space="preserve">    {"edge_id":"E0242","source_id":"ORG_UNH","target_id":"SEC_INS","edge_type":"IN_SECTOR","directed":true,"notes":null},</t>
  </si>
  <si>
    <t xml:space="preserve">    {"edge_id":"E0244","source_id":"ORG_SPGI","target_id":"GEO_H_NYC","edge_type":"LOCATED_IN","directed":true,"notes":null},</t>
  </si>
  <si>
    <t xml:space="preserve">    {"edge_id":"E0245","source_id":"ORG_SPGI","target_id":"SEC_DATA","edge_type":"IN_SECTOR","directed":true,"notes":null},</t>
  </si>
  <si>
    <t xml:space="preserve">    {"edge_id":"E0247","source_id":"ORG_MCO","target_id":"GEO_H_NYC","edge_type":"LOCATED_IN","directed":true,"notes":null},</t>
  </si>
  <si>
    <t xml:space="preserve">    {"edge_id":"E0248","source_id":"ORG_MCO","target_id":"SEC_DATA","edge_type":"IN_SECTOR","directed":true,"notes":null},</t>
  </si>
  <si>
    <t xml:space="preserve">    {"edge_id":"E0250","source_id":"ORG_FITCH","target_id":"GEO_H_NYC","edge_type":"LOCATED_IN","directed":true,"notes":null},</t>
  </si>
  <si>
    <t xml:space="preserve">    {"edge_id":"E0251","source_id":"ORG_FITCH","target_id":"SEC_DATA","edge_type":"IN_SECTOR","directed":true,"notes":null},</t>
  </si>
  <si>
    <t xml:space="preserve">    {"edge_id":"E0253","source_id":"ORG_MSCI","target_id":"GEO_H_NYC","edge_type":"LOCATED_IN","directed":true,"notes":null},</t>
  </si>
  <si>
    <t xml:space="preserve">    {"edge_id":"E0254","source_id":"ORG_MSCI","target_id":"SEC_DATA","edge_type":"IN_SECTOR","directed":true,"notes":null},</t>
  </si>
  <si>
    <t xml:space="preserve">    {"edge_id":"E0256","source_id":"ORG_BBG","target_id":"GEO_H_NYC","edge_type":"LOCATED_IN","directed":true,"notes":null},</t>
  </si>
  <si>
    <t xml:space="preserve">    {"edge_id":"E0257","source_id":"ORG_BBG","target_id":"SEC_DATA","edge_type":"IN_SECTOR","directed":true,"notes":null},</t>
  </si>
  <si>
    <t xml:space="preserve">    {"edge_id":"E0259","source_id":"ORG_FDS","target_id":"GEO_H_USOTH","edge_type":"LOCATED_IN","directed":true,"notes":null},</t>
  </si>
  <si>
    <t xml:space="preserve">    {"edge_id":"E0260","source_id":"ORG_FDS","target_id":"SEC_DATA","edge_type":"IN_SECTOR","directed":true,"notes":null},</t>
  </si>
  <si>
    <t xml:space="preserve">    {"edge_id":"E0262","source_id":"ORG_ICE","target_id":"GEO_H_USOTH","edge_type":"LOCATED_IN","directed":true,"notes":null},</t>
  </si>
  <si>
    <t xml:space="preserve">    {"edge_id":"E0263","source_id":"ORG_ICE","target_id":"SEC_DATA","edge_type":"IN_SECTOR","directed":true,"notes":null},</t>
  </si>
  <si>
    <t xml:space="preserve">    {"edge_id":"E0265","source_id":"ORG_NDAQ","target_id":"GEO_H_NYC","edge_type":"LOCATED_IN","directed":true,"notes":null},</t>
  </si>
  <si>
    <t xml:space="preserve">    {"edge_id":"E0266","source_id":"ORG_NDAQ","target_id":"SEC_DATA","edge_type":"IN_SECTOR","directed":true,"notes":null},</t>
  </si>
  <si>
    <t xml:space="preserve">    {"edge_id":"E0268","source_id":"ORG_MBB","target_id":"GEO_H_NYC","edge_type":"LOCATED_IN","directed":true,"notes":null},</t>
  </si>
  <si>
    <t xml:space="preserve">    {"edge_id":"E0269","source_id":"ORG_MBB","target_id":"SEC_CONS","edge_type":"IN_SECTOR","directed":true,"notes":null},</t>
  </si>
  <si>
    <t xml:space="preserve">    {"edge_id":"E0271","source_id":"ORG_BIG4","target_id":"GEO_H_NYC","edge_type":"LOCATED_IN","directed":true,"notes":null},</t>
  </si>
  <si>
    <t xml:space="preserve">    {"edge_id":"E0272","source_id":"ORG_BIG4","target_id":"SEC_CONS","edge_type":"IN_SECTOR","directed":true,"notes":null},</t>
  </si>
  <si>
    <t xml:space="preserve">    {"edge_id":"E0274","source_id":"ORG_OW","target_id":"GEO_H_NYC","edge_type":"LOCATED_IN","directed":true,"notes":null},</t>
  </si>
  <si>
    <t xml:space="preserve">    {"edge_id":"E0275","source_id":"ORG_OW","target_id":"SEC_CONS","edge_type":"IN_SECTOR","directed":true,"notes":null},</t>
  </si>
  <si>
    <t xml:space="preserve">    {"edge_id":"E0277","source_id":"ORG_ACN","target_id":"GEO_H_NYC","edge_type":"LOCATED_IN","directed":true,"notes":null},</t>
  </si>
  <si>
    <t xml:space="preserve">    {"edge_id":"E0278","source_id":"ORG_ACN","target_id":"SEC_CONS","edge_type":"IN_SECTOR","directed":true,"notes":null},</t>
  </si>
  <si>
    <t xml:space="preserve">    {"edge_id":"E0280","source_id":"ORG_SBI","target_id":"GEO_H_MUM","edge_type":"LOCATED_IN","directed":true,"notes":null},</t>
  </si>
  <si>
    <t xml:space="preserve">    {"edge_id":"E0281","source_id":"ORG_SBI","target_id":"SEC_COMM","edge_type":"IN_SECTOR","directed":true,"notes":null},</t>
  </si>
  <si>
    <t xml:space="preserve">    {"edge_id":"E0283","source_id":"ORG_BOB","target_id":"GEO_H_MUM","edge_type":"LOCATED_IN","directed":true,"notes":null},</t>
  </si>
  <si>
    <t xml:space="preserve">    {"edge_id":"E0284","source_id":"ORG_BOB","target_id":"SEC_COMM","edge_type":"IN_SECTOR","directed":true,"notes":null},</t>
  </si>
  <si>
    <t xml:space="preserve">    {"edge_id":"E0286","source_id":"ORG_PNB","target_id":"GEO_H_MUM","edge_type":"LOCATED_IN","directed":true,"notes":null},</t>
  </si>
  <si>
    <t xml:space="preserve">    {"edge_id":"E0287","source_id":"ORG_PNB","target_id":"SEC_COMM","edge_type":"IN_SECTOR","directed":true,"notes":null},</t>
  </si>
  <si>
    <t xml:space="preserve">    {"edge_id":"E0289","source_id":"ORG_CANARA","target_id":"GEO_H_MUM","edge_type":"LOCATED_IN","directed":true,"notes":null},</t>
  </si>
  <si>
    <t xml:space="preserve">    {"edge_id":"E0290","source_id":"ORG_CANARA","target_id":"SEC_COMM","edge_type":"IN_SECTOR","directed":true,"notes":null},</t>
  </si>
  <si>
    <t xml:space="preserve">    {"edge_id":"E0292","source_id":"ORG_UBI","target_id":"GEO_H_MUM","edge_type":"LOCATED_IN","directed":true,"notes":null},</t>
  </si>
  <si>
    <t xml:space="preserve">    {"edge_id":"E0293","source_id":"ORG_UBI","target_id":"SEC_COMM","edge_type":"IN_SECTOR","directed":true,"notes":null},</t>
  </si>
  <si>
    <t xml:space="preserve">    {"edge_id":"E0295","source_id":"ORG_INDIANBK","target_id":"GEO_H_MUM","edge_type":"LOCATED_IN","directed":true,"notes":null},</t>
  </si>
  <si>
    <t xml:space="preserve">    {"edge_id":"E0296","source_id":"ORG_INDIANBK","target_id":"SEC_COMM","edge_type":"IN_SECTOR","directed":true,"notes":null},</t>
  </si>
  <si>
    <t xml:space="preserve">    {"edge_id":"E0298","source_id":"ORG_BOI","target_id":"GEO_H_MUM","edge_type":"LOCATED_IN","directed":true,"notes":null},</t>
  </si>
  <si>
    <t xml:space="preserve">    {"edge_id":"E0299","source_id":"ORG_BOI","target_id":"SEC_COMM","edge_type":"IN_SECTOR","directed":true,"notes":null},</t>
  </si>
  <si>
    <t xml:space="preserve">    {"edge_id":"E0301","source_id":"ORG_HDFC","target_id":"GEO_H_MUM","edge_type":"LOCATED_IN","directed":true,"notes":null},</t>
  </si>
  <si>
    <t xml:space="preserve">    {"edge_id":"E0302","source_id":"ORG_HDFC","target_id":"SEC_COMM","edge_type":"IN_SECTOR","directed":true,"notes":null},</t>
  </si>
  <si>
    <t xml:space="preserve">    {"edge_id":"E0304","source_id":"ORG_ICICI","target_id":"GEO_H_MUM","edge_type":"LOCATED_IN","directed":true,"notes":null},</t>
  </si>
  <si>
    <t xml:space="preserve">    {"edge_id":"E0305","source_id":"ORG_ICICI","target_id":"SEC_COMM","edge_type":"IN_SECTOR","directed":true,"notes":null},</t>
  </si>
  <si>
    <t xml:space="preserve">    {"edge_id":"E0307","source_id":"ORG_AXIS","target_id":"GEO_H_MUM","edge_type":"LOCATED_IN","directed":true,"notes":null},</t>
  </si>
  <si>
    <t xml:space="preserve">    {"edge_id":"E0308","source_id":"ORG_AXIS","target_id":"SEC_COMM","edge_type":"IN_SECTOR","directed":true,"notes":null},</t>
  </si>
  <si>
    <t xml:space="preserve">    {"edge_id":"E0310","source_id":"ORG_KOTAK","target_id":"GEO_H_MUM","edge_type":"LOCATED_IN","directed":true,"notes":null},</t>
  </si>
  <si>
    <t xml:space="preserve">    {"edge_id":"E0311","source_id":"ORG_KOTAK","target_id":"SEC_COMM","edge_type":"IN_SECTOR","directed":true,"notes":null},</t>
  </si>
  <si>
    <t xml:space="preserve">    {"edge_id":"E0313","source_id":"ORG_INDUSIND","target_id":"GEO_H_MUM","edge_type":"LOCATED_IN","directed":true,"notes":null},</t>
  </si>
  <si>
    <t xml:space="preserve">    {"edge_id":"E0314","source_id":"ORG_INDUSIND","target_id":"SEC_COMM","edge_type":"IN_SECTOR","directed":true,"notes":null},</t>
  </si>
  <si>
    <t xml:space="preserve">    {"edge_id":"E0316","source_id":"ORG_YES","target_id":"GEO_H_MUM","edge_type":"LOCATED_IN","directed":true,"notes":null},</t>
  </si>
  <si>
    <t xml:space="preserve">    {"edge_id":"E0317","source_id":"ORG_YES","target_id":"SEC_COMM","edge_type":"IN_SECTOR","directed":true,"notes":null},</t>
  </si>
  <si>
    <t xml:space="preserve">    {"edge_id":"E0319","source_id":"ORG_KOTAKIB","target_id":"GEO_H_MUM","edge_type":"LOCATED_IN","directed":true,"notes":null},</t>
  </si>
  <si>
    <t xml:space="preserve">    {"edge_id":"E0320","source_id":"ORG_KOTAKIB","target_id":"SEC_IB_EB","edge_type":"IN_SECTOR","directed":true,"notes":null},</t>
  </si>
  <si>
    <t xml:space="preserve">    {"edge_id":"E0322","source_id":"ORG_ISEC","target_id":"GEO_H_MUM","edge_type":"LOCATED_IN","directed":true,"notes":null},</t>
  </si>
  <si>
    <t xml:space="preserve">    {"edge_id":"E0323","source_id":"ORG_ISEC","target_id":"SEC_SEC","edge_type":"IN_SECTOR","directed":true,"notes":null},</t>
  </si>
  <si>
    <t xml:space="preserve">    {"edge_id":"E0325","source_id":"ORG_AXISCAP","target_id":"GEO_H_MUM","edge_type":"LOCATED_IN","directed":true,"notes":null},</t>
  </si>
  <si>
    <t xml:space="preserve">    {"edge_id":"E0326","source_id":"ORG_AXISCAP","target_id":"SEC_IB_EB","edge_type":"IN_SECTOR","directed":true,"notes":null},</t>
  </si>
  <si>
    <t xml:space="preserve">    {"edge_id":"E0328","source_id":"ORG_JMFIN","target_id":"GEO_H_MUM","edge_type":"LOCATED_IN","directed":true,"notes":null},</t>
  </si>
  <si>
    <t xml:space="preserve">    {"edge_id":"E0329","source_id":"ORG_JMFIN","target_id":"SEC_IB_EB","edge_type":"IN_SECTOR","directed":true,"notes":null},</t>
  </si>
  <si>
    <t xml:space="preserve">    {"edge_id":"E0331","source_id":"ORG_EDEL","target_id":"GEO_H_MUM","edge_type":"LOCATED_IN","directed":true,"notes":null},</t>
  </si>
  <si>
    <t xml:space="preserve">    {"edge_id":"E0332","source_id":"ORG_EDEL","target_id":"SEC_NBFC","edge_type":"IN_SECTOR","directed":true,"notes":null},</t>
  </si>
  <si>
    <t xml:space="preserve">    {"edge_id":"E0334","source_id":"ORG_MOSL","target_id":"GEO_H_MUM","edge_type":"LOCATED_IN","directed":true,"notes":null},</t>
  </si>
  <si>
    <t xml:space="preserve">    {"edge_id":"E0335","source_id":"ORG_MOSL","target_id":"SEC_SEC","edge_type":"IN_SECTOR","directed":true,"notes":null},</t>
  </si>
  <si>
    <t xml:space="preserve">    {"edge_id":"E0337","source_id":"ORG_LIC","target_id":"GEO_H_MUM","edge_type":"LOCATED_IN","directed":true,"notes":null},</t>
  </si>
  <si>
    <t xml:space="preserve">    {"edge_id":"E0338","source_id":"ORG_LIC","target_id":"SEC_INS","edge_type":"IN_SECTOR","directed":true,"notes":null},</t>
  </si>
  <si>
    <t xml:space="preserve">    {"edge_id":"E0340","source_id":"ORG_IN_LIFEINS","target_id":"GEO_H_MUM","edge_type":"LOCATED_IN","directed":true,"notes":null},</t>
  </si>
  <si>
    <t xml:space="preserve">    {"edge_id":"E0341","source_id":"ORG_IN_LIFEINS","target_id":"SEC_INS","edge_type":"IN_SECTOR","directed":true,"notes":null},</t>
  </si>
  <si>
    <t xml:space="preserve">    {"edge_id":"E0343","source_id":"ORG_IN_AMC","target_id":"GEO_H_MUM","edge_type":"LOCATED_IN","directed":true,"notes":null},</t>
  </si>
  <si>
    <t xml:space="preserve">    {"edge_id":"E0344","source_id":"ORG_IN_AMC","target_id":"SEC_AM","edge_type":"IN_SECTOR","directed":true,"notes":null},</t>
  </si>
  <si>
    <t xml:space="preserve">    {"edge_id":"E0346","source_id":"ORG_BAJAJ","target_id":"GEO_H_INOTH","edge_type":"LOCATED_IN","directed":true,"notes":null},</t>
  </si>
  <si>
    <t xml:space="preserve">    {"edge_id":"E0347","source_id":"ORG_BAJAJ","target_id":"SEC_NBFC","edge_type":"IN_SECTOR","directed":true,"notes":null},</t>
  </si>
  <si>
    <t xml:space="preserve">    {"edge_id":"E0349","source_id":"ORG_HSBC","target_id":"GEO_H_LON","edge_type":"LOCATED_IN","directed":true,"notes":null},</t>
  </si>
  <si>
    <t xml:space="preserve">    {"edge_id":"E0350","source_id":"ORG_HSBC","target_id":"SEC_COMM","edge_type":"IN_SECTOR","directed":true,"notes":null},</t>
  </si>
  <si>
    <t xml:space="preserve">    {"edge_id":"E0351","source_id":"ORG_BARC","target_id":"GEO_H_LON","edge_type":"LOCATED_IN","directed":true,"notes":null},</t>
  </si>
  <si>
    <t xml:space="preserve">    {"edge_id":"E0352","source_id":"ORG_BARC","target_id":"SEC_IB_BB","edge_type":"IN_SECTOR","directed":true,"notes":null},</t>
  </si>
  <si>
    <t xml:space="preserve">    {"edge_id":"E0353","source_id":"ORG_STAN","target_id":"GEO_H_LON","edge_type":"LOCATED_IN","directed":true,"notes":null},</t>
  </si>
  <si>
    <t xml:space="preserve">    {"edge_id":"E0354","source_id":"ORG_STAN","target_id":"SEC_COMM","edge_type":"IN_SECTOR","directed":true,"notes":null},</t>
  </si>
  <si>
    <t xml:space="preserve">    {"edge_id":"E0355","source_id":"ORG_ICBC","target_id":"GEO_H_BEI","edge_type":"LOCATED_IN","directed":true,"notes":null},</t>
  </si>
  <si>
    <t xml:space="preserve">    {"edge_id":"E0356","source_id":"ORG_ICBC","target_id":"SEC_COMM","edge_type":"IN_SECTOR","directed":true,"notes":null},</t>
  </si>
  <si>
    <t xml:space="preserve">    {"edge_id":"E0358","source_id":"ORG_CCB","target_id":"GEO_H_BEI","edge_type":"LOCATED_IN","directed":true,"notes":null},</t>
  </si>
  <si>
    <t xml:space="preserve">    {"edge_id":"E0359","source_id":"ORG_CCB","target_id":"SEC_COMM","edge_type":"IN_SECTOR","directed":true,"notes":null},</t>
  </si>
  <si>
    <t xml:space="preserve">    {"edge_id":"E0361","source_id":"ORG_ABC","target_id":"GEO_H_BEI","edge_type":"LOCATED_IN","directed":true,"notes":null},</t>
  </si>
  <si>
    <t xml:space="preserve">    {"edge_id":"E0362","source_id":"ORG_ABC","target_id":"SEC_COMM","edge_type":"IN_SECTOR","directed":true,"notes":null},</t>
  </si>
  <si>
    <t xml:space="preserve">    {"edge_id":"E0364","source_id":"ORG_BOC","target_id":"GEO_H_BEI","edge_type":"LOCATED_IN","directed":true,"notes":null},</t>
  </si>
  <si>
    <t xml:space="preserve">    {"edge_id":"E0365","source_id":"ORG_BOC","target_id":"SEC_COMM","edge_type":"IN_SECTOR","directed":true,"notes":null},</t>
  </si>
  <si>
    <t xml:space="preserve">    {"edge_id":"E0367","source_id":"ORG_CDB","target_id":"GEO_H_BEI","edge_type":"LOCATED_IN","directed":true,"notes":null},</t>
  </si>
  <si>
    <t xml:space="preserve">    {"edge_id":"E0368","source_id":"ORG_CDB","target_id":"SEC_POLICY","edge_type":"IN_SECTOR","directed":true,"notes":null},</t>
  </si>
  <si>
    <t xml:space="preserve">    {"edge_id":"E0370","source_id":"ORG_EXIM","target_id":"GEO_H_BEI","edge_type":"LOCATED_IN","directed":true,"notes":null},</t>
  </si>
  <si>
    <t xml:space="preserve">    {"edge_id":"E0371","source_id":"ORG_EXIM","target_id":"SEC_POLICY","edge_type":"IN_SECTOR","directed":true,"notes":null},</t>
  </si>
  <si>
    <t xml:space="preserve">    {"edge_id":"E0373","source_id":"ORG_ADBC","target_id":"GEO_H_BEI","edge_type":"LOCATED_IN","directed":true,"notes":null},</t>
  </si>
  <si>
    <t xml:space="preserve">    {"edge_id":"E0374","source_id":"ORG_ADBC","target_id":"SEC_POLICY","edge_type":"IN_SECTOR","directed":true,"notes":null},</t>
  </si>
  <si>
    <t xml:space="preserve">    {"edge_id":"E0376","source_id":"ORG_CMB","target_id":"GEO_H_SZX","edge_type":"LOCATED_IN","directed":true,"notes":null},</t>
  </si>
  <si>
    <t xml:space="preserve">    {"edge_id":"E0377","source_id":"ORG_CMB","target_id":"SEC_COMM","edge_type":"IN_SECTOR","directed":true,"notes":null},</t>
  </si>
  <si>
    <t xml:space="preserve">    {"edge_id":"E0379","source_id":"ORG_CITICBK","target_id":"GEO_H_BEI","edge_type":"LOCATED_IN","directed":true,"notes":null},</t>
  </si>
  <si>
    <t xml:space="preserve">    {"edge_id":"E0380","source_id":"ORG_CITICBK","target_id":"SEC_COMM","edge_type":"IN_SECTOR","directed":true,"notes":null},</t>
  </si>
  <si>
    <t xml:space="preserve">    {"edge_id":"E0382","source_id":"ORG_PABANK","target_id":"GEO_H_SZX","edge_type":"LOCATED_IN","directed":true,"notes":null},</t>
  </si>
  <si>
    <t xml:space="preserve">    {"edge_id":"E0383","source_id":"ORG_PABANK","target_id":"SEC_COMM","edge_type":"IN_SECTOR","directed":true,"notes":null},</t>
  </si>
  <si>
    <t xml:space="preserve">    {"edge_id":"E0385","source_id":"ORG_SPDB","target_id":"GEO_H_SHA","edge_type":"LOCATED_IN","directed":true,"notes":null},</t>
  </si>
  <si>
    <t xml:space="preserve">    {"edge_id":"E0386","source_id":"ORG_SPDB","target_id":"SEC_COMM","edge_type":"IN_SECTOR","directed":true,"notes":null},</t>
  </si>
  <si>
    <t xml:space="preserve">    {"edge_id":"E0388","source_id":"ORG_CMBC","target_id":"GEO_H_BEI","edge_type":"LOCATED_IN","directed":true,"notes":null},</t>
  </si>
  <si>
    <t xml:space="preserve">    {"edge_id":"E0389","source_id":"ORG_CMBC","target_id":"SEC_COMM","edge_type":"IN_SECTOR","directed":true,"notes":null},</t>
  </si>
  <si>
    <t xml:space="preserve">    {"edge_id":"E0391","source_id":"ORG_CEB","target_id":"GEO_H_BEI","edge_type":"LOCATED_IN","directed":true,"notes":null},</t>
  </si>
  <si>
    <t xml:space="preserve">    {"edge_id":"E0392","source_id":"ORG_CEB","target_id":"SEC_COMM","edge_type":"IN_SECTOR","directed":true,"notes":null},</t>
  </si>
  <si>
    <t xml:space="preserve">    {"edge_id":"E0394","source_id":"ORG_CIB","target_id":"GEO_H_CNOTH","edge_type":"LOCATED_IN","directed":true,"notes":null},</t>
  </si>
  <si>
    <t xml:space="preserve">    {"edge_id":"E0395","source_id":"ORG_CIB","target_id":"SEC_COMM","edge_type":"IN_SECTOR","directed":true,"notes":null},</t>
  </si>
  <si>
    <t xml:space="preserve">    {"edge_id":"E0397","source_id":"ORG_CITICS","target_id":"GEO_H_BEI","edge_type":"LOCATED_IN","directed":true,"notes":null},</t>
  </si>
  <si>
    <t xml:space="preserve">    {"edge_id":"E0398","source_id":"ORG_CITICS","target_id":"SEC_SEC","edge_type":"IN_SECTOR","directed":true,"notes":null},</t>
  </si>
  <si>
    <t xml:space="preserve">    {"edge_id":"E0400","source_id":"ORG_CICC","target_id":"GEO_H_BEI","edge_type":"LOCATED_IN","directed":true,"notes":null},</t>
  </si>
  <si>
    <t xml:space="preserve">    {"edge_id":"E0401","source_id":"ORG_CICC","target_id":"SEC_SEC","edge_type":"IN_SECTOR","directed":true,"notes":null},</t>
  </si>
  <si>
    <t xml:space="preserve">    {"edge_id":"E0403","source_id":"ORG_HAITONG","target_id":"GEO_H_SHA","edge_type":"LOCATED_IN","directed":true,"notes":null},</t>
  </si>
  <si>
    <t xml:space="preserve">    {"edge_id":"E0404","source_id":"ORG_HAITONG","target_id":"SEC_SEC","edge_type":"IN_SECTOR","directed":true,"notes":null},</t>
  </si>
  <si>
    <t xml:space="preserve">    {"edge_id":"E0406","source_id":"ORG_GTJA","target_id":"GEO_H_SHA","edge_type":"LOCATED_IN","directed":true,"notes":null},</t>
  </si>
  <si>
    <t xml:space="preserve">    {"edge_id":"E0407","source_id":"ORG_GTJA","target_id":"SEC_SEC","edge_type":"IN_SECTOR","directed":true,"notes":null},</t>
  </si>
  <si>
    <t xml:space="preserve">    {"edge_id":"E0409","source_id":"ORG_GF","target_id":"GEO_H_CNOTH","edge_type":"LOCATED_IN","directed":true,"notes":null},</t>
  </si>
  <si>
    <t xml:space="preserve">    {"edge_id":"E0410","source_id":"ORG_GF","target_id":"SEC_SEC","edge_type":"IN_SECTOR","directed":true,"notes":null},</t>
  </si>
  <si>
    <t xml:space="preserve">    {"edge_id":"E0412","source_id":"ORG_CMS","target_id":"GEO_H_SZX","edge_type":"LOCATED_IN","directed":true,"notes":null},</t>
  </si>
  <si>
    <t xml:space="preserve">    {"edge_id":"E0413","source_id":"ORG_CMS","target_id":"SEC_SEC","edge_type":"IN_SECTOR","directed":true,"notes":null},</t>
  </si>
  <si>
    <t xml:space="preserve">    {"edge_id":"E0415","source_id":"ORG_PINGAN","target_id":"GEO_H_SZX","edge_type":"LOCATED_IN","directed":true,"notes":null},</t>
  </si>
  <si>
    <t xml:space="preserve">    {"edge_id":"E0416","source_id":"ORG_PINGAN","target_id":"SEC_INS","edge_type":"IN_SECTOR","directed":true,"notes":null},</t>
  </si>
  <si>
    <t xml:space="preserve">    {"edge_id":"E0418","source_id":"ORG_CHINALIFE","target_id":"GEO_H_BEI","edge_type":"LOCATED_IN","directed":true,"notes":null},</t>
  </si>
  <si>
    <t xml:space="preserve">    {"edge_id":"E0419","source_id":"ORG_CHINALIFE","target_id":"SEC_INS","edge_type":"IN_SECTOR","directed":true,"notes":null},</t>
  </si>
  <si>
    <t xml:space="preserve">    {"edge_id":"E0421","source_id":"ORG_CPIC","target_id":"GEO_H_SHA","edge_type":"LOCATED_IN","directed":true,"notes":null},</t>
  </si>
  <si>
    <t xml:space="preserve">    {"edge_id":"E0422","source_id":"ORG_CPIC","target_id":"SEC_INS","edge_type":"IN_SECTOR","directed":true,"notes":null},</t>
  </si>
  <si>
    <t xml:space="preserve">    {"edge_id":"E0424","source_id":"ORG_PICC","target_id":"GEO_H_BEI","edge_type":"LOCATED_IN","directed":true,"notes":null},</t>
  </si>
  <si>
    <t xml:space="preserve">    {"edge_id":"E0425","source_id":"ORG_PICC","target_id":"SEC_INS","edge_type":"IN_SECTOR","directed":true,"notes":null},</t>
  </si>
  <si>
    <t xml:space="preserve">    {"edge_id":"E0427","source_id":"ORG_NCI","target_id":"GEO_H_BEI","edge_type":"LOCATED_IN","directed":true,"notes":null},</t>
  </si>
  <si>
    <t xml:space="preserve">    {"edge_id":"E0428","source_id":"ORG_NCI","target_id":"SEC_INS","edge_type":"IN_SECTOR","directed":true,"notes":null},</t>
  </si>
  <si>
    <t xml:space="preserve">    {"edge_id":"E0430","source_id":"ORG_SUNSHINE","target_id":"GEO_H_CNOTH","edge_type":"LOCATED_IN","directed":true,"notes":null},</t>
  </si>
  <si>
    <t xml:space="preserve">    {"edge_id":"E0431","source_id":"ORG_SUNSHINE","target_id":"SEC_INS","edge_type":"IN_SECTOR","directed":true,"notes":null},</t>
  </si>
  <si>
    <t xml:space="preserve">    {"edge_id":"E0433","source_id":"ORG_EFUND","target_id":"GEO_H_CNOTH","edge_type":"LOCATED_IN","directed":true,"notes":null},</t>
  </si>
  <si>
    <t xml:space="preserve">    {"edge_id":"E0434","source_id":"ORG_EFUND","target_id":"SEC_AM","edge_type":"IN_SECTOR","directed":true,"notes":null},</t>
  </si>
  <si>
    <t xml:space="preserve">    {"edge_id":"E0436","source_id":"ORG_CHINAAMC","target_id":"GEO_H_BEI","edge_type":"LOCATED_IN","directed":true,"notes":null},</t>
  </si>
  <si>
    <t xml:space="preserve">    {"edge_id":"E0437","source_id":"ORG_CHINAAMC","target_id":"SEC_AM","edge_type":"IN_SECTOR","directed":true,"notes":null},</t>
  </si>
  <si>
    <t xml:space="preserve">    {"edge_id":"E0439","source_id":"ORG_HARVEST","target_id":"GEO_H_BEI","edge_type":"LOCATED_IN","directed":true,"notes":null},</t>
  </si>
  <si>
    <t xml:space="preserve">    {"edge_id":"E0440","source_id":"ORG_HARVEST","target_id":"SEC_AM","edge_type":"IN_SECTOR","directed":true,"notes":null},</t>
  </si>
  <si>
    <t xml:space="preserve">    {"edge_id":"E0442","source_id":"ORG_GFFUND","target_id":"GEO_H_CNOTH","edge_type":"LOCATED_IN","directed":true,"notes":null},</t>
  </si>
  <si>
    <t xml:space="preserve">    {"edge_id":"E0443","source_id":"ORG_GFFUND","target_id":"SEC_AM","edge_type":"IN_SECTOR","directed":true,"notes":null},</t>
  </si>
  <si>
    <t xml:space="preserve">    {"edge_id":"E0445","source_id":"ORG_ANT","target_id":"GEO_H_HGH","edge_type":"LOCATED_IN","directed":true,"notes":null},</t>
  </si>
  <si>
    <t xml:space="preserve">    {"edge_id":"E0446","source_id":"ORG_ANT","target_id":"SEC_FINTECH","edge_type":"IN_SECTOR","directed":true,"notes":null},</t>
  </si>
  <si>
    <t xml:space="preserve">    {"edge_id":"E0448","source_id":"ORG_TENCENTFIT","target_id":"GEO_H_SZX","edge_type":"LOCATED_IN","directed":true,"notes":null},</t>
  </si>
  <si>
    <t xml:space="preserve">    {"edge_id":"E0449","source_id":"ORG_TENCENTFIT","target_id":"SEC_FINTECH","edge_type":"IN_SECTOR","directed":true,"notes":null},</t>
  </si>
  <si>
    <t xml:space="preserve">    {"edge_id":"E0451","source_id":"ORG_JDTECH","target_id":"GEO_H_BEI","edge_type":"LOCATED_IN","directed":true,"notes":null},</t>
  </si>
  <si>
    <t xml:space="preserve">    {"edge_id":"E0452","source_id":"ORG_JDTECH","target_id":"SEC_FINTECH","edge_type":"IN_SECTOR","directed":true,"notes":null},</t>
  </si>
  <si>
    <t xml:space="preserve">    {"edge_id":"E0454","source_id":"ORG_LUFAX","target_id":"GEO_H_SHA","edge_type":"LOCATED_IN","directed":true,"notes":null},</t>
  </si>
  <si>
    <t xml:space="preserve">    {"edge_id":"E0455","source_id":"ORG_LUFAX","target_id":"SEC_FINTECH","edge_type":"IN_SECTOR","directed":true,"notes":null},</t>
  </si>
  <si>
    <t xml:space="preserve">    {"edge_id":"E0457","source_id":"ORG_JPM","target_id":"GEO_H_BLR","edge_type":"LOCATED_IN","directed":true,"notes":"India GCC site (Channel c)"},</t>
  </si>
  <si>
    <t xml:space="preserve">    {"edge_id":"E0458","source_id":"ORG_JPM","target_id":"GEO_H_HYD","edge_type":"LOCATED_IN","directed":true,"notes":"India GCC site (Channel c)"},</t>
  </si>
  <si>
    <t xml:space="preserve">    {"edge_id":"E0459","source_id":"ORG_JPM","target_id":"GEO_H_MUM","edge_type":"LOCATED_IN","directed":true,"notes":"India GCC site (Channel c)"},</t>
  </si>
  <si>
    <t xml:space="preserve">    {"edge_id":"E0460","source_id":"ORG_GS","target_id":"GEO_H_BLR","edge_type":"LOCATED_IN","directed":true,"notes":"India GCC site (Channel c)"},</t>
  </si>
  <si>
    <t xml:space="preserve">    {"edge_id":"E0461","source_id":"ORG_GS","target_id":"GEO_H_HYD","edge_type":"LOCATED_IN","directed":true,"notes":"India GCC site (Channel c)"},</t>
  </si>
  <si>
    <t xml:space="preserve">    {"edge_id":"E0462","source_id":"ORG_MS","target_id":"GEO_H_MUM","edge_type":"LOCATED_IN","directed":true,"notes":"India GCC site (Channel c)"},</t>
  </si>
  <si>
    <t xml:space="preserve">    {"edge_id":"E0463","source_id":"ORG_CITI","target_id":"GEO_H_MUM","edge_type":"LOCATED_IN","directed":true,"notes":"India GCC site (Channel c)"},</t>
  </si>
  <si>
    <t xml:space="preserve">    {"edge_id":"E0464","source_id":"ORG_HSBC","target_id":"GEO_H_INOTH","edge_type":"LOCATED_IN","directed":true,"notes":"India GCC site (Channel c)"},</t>
  </si>
  <si>
    <t xml:space="preserve">    {"edge_id":"E0465","source_id":"ORG_BARC","target_id":"GEO_H_INOTH","edge_type":"LOCATED_IN","directed":true,"notes":"India GCC site (Channel c)"},</t>
  </si>
  <si>
    <t xml:space="preserve">    {"edge_id":"E0466","source_id":"ORG_STAN","target_id":"GEO_H_INOTH","edge_type":"LOCATED_IN","directed":true,"notes":"India GCC site (Channel c)"},</t>
  </si>
  <si>
    <t xml:space="preserve">    {"edge_id":"E0467","source_id":"ORG_STT","target_id":"GEO_H_INOTH","edge_type":"LOCATED_IN","directed":true,"notes":"India GCC site (Channel c)"},</t>
  </si>
  <si>
    <t xml:space="preserve">    {"edge_id":"E0468","source_id":"ORG_NTRS","target_id":"GEO_H_INOTH","edge_type":"LOCATED_IN","directed":true,"notes":"India GCC site (Channel c)"},</t>
  </si>
  <si>
    <t xml:space="preserve">    {"edge_id":"E0469","source_id":"ORG_BLK","target_id":"GEO_H_INOTH","edge_type":"LOCATED_IN","directed":true,"notes":"India GCC site (Channel c)"},</t>
  </si>
  <si>
    <t xml:space="preserve">    {"edge_id":"E0470","source_id":"ORG_SPGI","target_id":"GEO_H_INOTH","edge_type":"LOCATED_IN","directed":true,"notes":"India GCC site (Channel c)"},</t>
  </si>
  <si>
    <t xml:space="preserve">    {"edge_id":"E0471","source_id":"ORG_MCO","target_id":"GEO_H_INOTH","edge_type":"LOCATED_IN","directed":true,"notes":"India GCC site (Channel c)"},</t>
  </si>
  <si>
    <t xml:space="preserve">    {"edge_id":"E0533","source_id":"ORG_HSBC","target_id":"GEO_H_CNOTH","edge_type":"LOCATED_IN","directed":true,"notes":"China operations - smaller, limited intake [Note]"},</t>
  </si>
  <si>
    <t xml:space="preserve">    {"edge_id":"E0535","source_id":"ORG_STAN","target_id":"GEO_H_CNOTH","edge_type":"LOCATED_IN","directed":true,"notes":"China operations - smaller, limited intake [Note]"},</t>
  </si>
  <si>
    <t xml:space="preserve">    {"edge_id":"E0537","source_id":"ORG_CITI","target_id":"GEO_H_SHA","edge_type":"LOCATED_IN","directed":true,"notes":"China operations - smaller, limited intake [Note]"},</t>
  </si>
  <si>
    <t xml:space="preserve">    {"edge_id":"E0539","source_id":"ORG_ANT","target_id":"ORG_ICBC","edge_type":"COMPETES_FOR_TALENT","directed":false,"notes":"Fintech giants compete head-to-head with Big Four state banks for the same talent"},</t>
  </si>
  <si>
    <t xml:space="preserve">    {"edge_id":"E0540","source_id":"ORG_ANT","target_id":"ORG_CCB","edge_type":"COMPETES_FOR_TALENT","directed":false,"notes":"Fintech giants compete head-to-head with Big Four state banks for the same talent"},</t>
  </si>
  <si>
    <t xml:space="preserve">    {"edge_id":"E0541","source_id":"ORG_ANT","target_id":"ORG_ABC","edge_type":"COMPETES_FOR_TALENT","directed":false,"notes":"Fintech giants compete head-to-head with Big Four state banks for the same talent"},</t>
  </si>
  <si>
    <t xml:space="preserve">    {"edge_id":"E0542","source_id":"ORG_ANT","target_id":"ORG_BOC","edge_type":"COMPETES_FOR_TALENT","directed":false,"notes":"Fintech giants compete head-to-head with Big Four state banks for the same talent"},</t>
  </si>
  <si>
    <t xml:space="preserve">    {"edge_id":"E0543","source_id":"ORG_TENCENTFIT","target_id":"ORG_ICBC","edge_type":"COMPETES_FOR_TALENT","directed":false,"notes":"Fintech giants compete head-to-head with Big Four state banks for the same talent"},</t>
  </si>
  <si>
    <t xml:space="preserve">    {"edge_id":"E0544","source_id":"ORG_TENCENTFIT","target_id":"ORG_CCB","edge_type":"COMPETES_FOR_TALENT","directed":false,"notes":"Fintech giants compete head-to-head with Big Four state banks for the same talent"},</t>
  </si>
  <si>
    <t xml:space="preserve">    {"edge_id":"E0545","source_id":"ORG_ITAU","target_id":"GEO_H_SAO","edge_type":"LOCATED_IN","directed":true,"notes":null},</t>
  </si>
  <si>
    <t xml:space="preserve">    {"edge_id":"E0546","source_id":"ORG_ITAU","target_id":"SEC_COMM","edge_type":"IN_SECTOR","directed":true,"notes":null},</t>
  </si>
  <si>
    <t xml:space="preserve">    {"edge_id":"E0548","source_id":"ORG_BRADESCO","target_id":"GEO_H_SAO","edge_type":"LOCATED_IN","directed":true,"notes":null},</t>
  </si>
  <si>
    <t xml:space="preserve">    {"edge_id":"E0549","source_id":"ORG_BRADESCO","target_id":"SEC_COMM","edge_type":"IN_SECTOR","directed":true,"notes":null},</t>
  </si>
  <si>
    <t xml:space="preserve">    {"edge_id":"E0551","source_id":"ORG_BB","target_id":"GEO_H_SAO","edge_type":"LOCATED_IN","directed":true,"notes":null},</t>
  </si>
  <si>
    <t xml:space="preserve">    {"edge_id":"E0552","source_id":"ORG_BB","target_id":"SEC_COMM","edge_type":"IN_SECTOR","directed":true,"notes":null},</t>
  </si>
  <si>
    <t xml:space="preserve">    {"edge_id":"E0554","source_id":"ORG_SANBR","target_id":"GEO_H_SAO","edge_type":"LOCATED_IN","directed":true,"notes":null},</t>
  </si>
  <si>
    <t xml:space="preserve">    {"edge_id":"E0555","source_id":"ORG_SANBR","target_id":"SEC_COMM","edge_type":"IN_SECTOR","directed":true,"notes":null},</t>
  </si>
  <si>
    <t xml:space="preserve">    {"edge_id":"E0557","source_id":"ORG_BTG","target_id":"GEO_H_SAO","edge_type":"LOCATED_IN","directed":true,"notes":null},</t>
  </si>
  <si>
    <t xml:space="preserve">    {"edge_id":"E0558","source_id":"ORG_BTG","target_id":"SEC_IB_EB","edge_type":"IN_SECTOR","directed":true,"notes":null},</t>
  </si>
  <si>
    <t xml:space="preserve">    {"edge_id":"E0560","source_id":"ORG_ENFORCE","target_id":"GEO_H_SAO","edge_type":"LOCATED_IN","directed":true,"notes":null},</t>
  </si>
  <si>
    <t xml:space="preserve">    {"edge_id":"E0561","source_id":"ORG_ENFORCE","target_id":"SEC_NBFC","edge_type":"IN_SECTOR","directed":true,"notes":null},</t>
  </si>
  <si>
    <t xml:space="preserve">    {"edge_id":"E0563","source_id":"ORG_XP","target_id":"GEO_H_SAO","edge_type":"LOCATED_IN","directed":true,"notes":null},</t>
  </si>
  <si>
    <t xml:space="preserve">    {"edge_id":"E0564","source_id":"ORG_XP","target_id":"SEC_SEC","edge_type":"IN_SECTOR","directed":true,"notes":null},</t>
  </si>
  <si>
    <t xml:space="preserve">    {"edge_id":"E0566","source_id":"ORG_CAIXA","target_id":"GEO_H_SAO","edge_type":"LOCATED_IN","directed":true,"notes":null},</t>
  </si>
  <si>
    <t xml:space="preserve">    {"edge_id":"E0567","source_id":"ORG_CAIXA","target_id":"SEC_COMM","edge_type":"IN_SECTOR","directed":true,"notes":null},</t>
  </si>
  <si>
    <t xml:space="preserve">    {"edge_id":"E0569","source_id":"ORG_BBVAMX","target_id":"GEO_H_MEX","edge_type":"LOCATED_IN","directed":true,"notes":null},</t>
  </si>
  <si>
    <t xml:space="preserve">    {"edge_id":"E0570","source_id":"ORG_BBVAMX","target_id":"SEC_COMM","edge_type":"IN_SECTOR","directed":true,"notes":null},</t>
  </si>
  <si>
    <t xml:space="preserve">    {"edge_id":"E0572","source_id":"ORG_BANORTE","target_id":"GEO_H_MEX","edge_type":"LOCATED_IN","directed":true,"notes":null},</t>
  </si>
  <si>
    <t xml:space="preserve">    {"edge_id":"E0573","source_id":"ORG_BANORTE","target_id":"SEC_COMM","edge_type":"IN_SECTOR","directed":true,"notes":null},</t>
  </si>
  <si>
    <t xml:space="preserve">    {"edge_id":"E0575","source_id":"ORG_INBURSA","target_id":"GEO_H_MEX","edge_type":"LOCATED_IN","directed":true,"notes":null},</t>
  </si>
  <si>
    <t xml:space="preserve">    {"edge_id":"E0576","source_id":"ORG_INBURSA","target_id":"SEC_COMM","edge_type":"IN_SECTOR","directed":true,"notes":null},</t>
  </si>
  <si>
    <t xml:space="preserve">    {"edge_id":"E0577","source_id":"ORG_CITIBANAMEX","target_id":"GEO_H_MEX","edge_type":"LOCATED_IN","directed":true,"notes":null},</t>
  </si>
  <si>
    <t xml:space="preserve">    {"edge_id":"E0578","source_id":"ORG_CITIBANAMEX","target_id":"SEC_COMM","edge_type":"IN_SECTOR","directed":true,"notes":null},</t>
  </si>
  <si>
    <t xml:space="preserve">    {"edge_id":"E0580","source_id":"ORG_BANCOLOMBIA","target_id":"GEO_H_MDE","edge_type":"LOCATED_IN","directed":true,"notes":null},</t>
  </si>
  <si>
    <t xml:space="preserve">    {"edge_id":"E0581","source_id":"ORG_BANCOLOMBIA","target_id":"SEC_COMM","edge_type":"IN_SECTOR","directed":true,"notes":null},</t>
  </si>
  <si>
    <t xml:space="preserve">    {"edge_id":"E0583","source_id":"ORG_AVAL","target_id":"GEO_H_BOG","edge_type":"LOCATED_IN","directed":true,"notes":null},</t>
  </si>
  <si>
    <t xml:space="preserve">    {"edge_id":"E0584","source_id":"ORG_AVAL","target_id":"SEC_COMM","edge_type":"IN_SECTOR","directed":true,"notes":null},</t>
  </si>
  <si>
    <t xml:space="preserve">    {"edge_id":"E0585","source_id":"ORG_DAVIVIENDA","target_id":"GEO_H_BOG","edge_type":"LOCATED_IN","directed":true,"notes":null},</t>
  </si>
  <si>
    <t xml:space="preserve">    {"edge_id":"E0586","source_id":"ORG_DAVIVIENDA","target_id":"SEC_COMM","edge_type":"IN_SECTOR","directed":true,"notes":null},</t>
  </si>
  <si>
    <t xml:space="preserve">    {"edge_id":"E0587","source_id":"ORG_BCHILE","target_id":"GEO_H_SCL","edge_type":"LOCATED_IN","directed":true,"notes":null},</t>
  </si>
  <si>
    <t xml:space="preserve">    {"edge_id":"E0588","source_id":"ORG_BCHILE","target_id":"SEC_COMM","edge_type":"IN_SECTOR","directed":true,"notes":null},</t>
  </si>
  <si>
    <t xml:space="preserve">    {"edge_id":"E0590","source_id":"ORG_BCI","target_id":"GEO_H_SCL","edge_type":"LOCATED_IN","directed":true,"notes":null},</t>
  </si>
  <si>
    <t xml:space="preserve">    {"edge_id":"E0591","source_id":"ORG_BCI","target_id":"SEC_COMM","edge_type":"IN_SECTOR","directed":true,"notes":null},</t>
  </si>
  <si>
    <t xml:space="preserve">    {"edge_id":"E0592","source_id":"ORG_SANCL","target_id":"GEO_H_SCL","edge_type":"LOCATED_IN","directed":true,"notes":null},</t>
  </si>
  <si>
    <t xml:space="preserve">    {"edge_id":"E0593","source_id":"ORG_SANCL","target_id":"SEC_COMM","edge_type":"IN_SECTOR","directed":true,"notes":null},</t>
  </si>
  <si>
    <t xml:space="preserve">    {"edge_id":"E0595","source_id":"ORG_BCP","target_id":"GEO_H_LIM","edge_type":"LOCATED_IN","directed":true,"notes":null},</t>
  </si>
  <si>
    <t xml:space="preserve">    {"edge_id":"E0596","source_id":"ORG_BCP","target_id":"SEC_COMM","edge_type":"IN_SECTOR","directed":true,"notes":null},</t>
  </si>
  <si>
    <t xml:space="preserve">    {"edge_id":"E0598","source_id":"ORG_BBVAPE","target_id":"GEO_H_LIM","edge_type":"LOCATED_IN","directed":true,"notes":null},</t>
  </si>
  <si>
    <t xml:space="preserve">    {"edge_id":"E0599","source_id":"ORG_BBVAPE","target_id":"SEC_COMM","edge_type":"IN_SECTOR","directed":true,"notes":null},</t>
  </si>
  <si>
    <t xml:space="preserve">    {"edge_id":"E0601","source_id":"ORG_GALICIA","target_id":"GEO_H_BUE","edge_type":"LOCATED_IN","directed":true,"notes":null},</t>
  </si>
  <si>
    <t xml:space="preserve">    {"edge_id":"E0602","source_id":"ORG_GALICIA","target_id":"SEC_COMM","edge_type":"IN_SECTOR","directed":true,"notes":null},</t>
  </si>
  <si>
    <t xml:space="preserve">    {"edge_id":"E0604","source_id":"ORG_BBVAAR","target_id":"GEO_H_BUE","edge_type":"LOCATED_IN","directed":true,"notes":null},</t>
  </si>
  <si>
    <t xml:space="preserve">    {"edge_id":"E0605","source_id":"ORG_BBVAAR","target_id":"SEC_COMM","edge_type":"IN_SECTOR","directed":true,"notes":null},</t>
  </si>
  <si>
    <t xml:space="preserve">    {"edge_id":"E0607","source_id":"ORG_SANAR","target_id":"GEO_H_BUE","edge_type":"LOCATED_IN","directed":true,"notes":null},</t>
  </si>
  <si>
    <t xml:space="preserve">    {"edge_id":"E0608","source_id":"ORG_SANAR","target_id":"SEC_COMM","edge_type":"IN_SECTOR","directed":true,"notes":null},</t>
  </si>
  <si>
    <t xml:space="preserve">    {"edge_id":"E0610","source_id":"ORG_LATAM_BIG4","target_id":"GEO_H_SAO","edge_type":"LOCATED_IN","directed":true,"notes":null},</t>
  </si>
  <si>
    <t xml:space="preserve">    {"edge_id":"E0611","source_id":"ORG_LATAM_BIG4","target_id":"SEC_CONS","edge_type":"IN_SECTOR","directed":true,"notes":null},</t>
  </si>
  <si>
    <t xml:space="preserve">    {"edge_id":"E0613","source_id":"ORG_LATAM_MBB","target_id":"GEO_H_SAO","edge_type":"LOCATED_IN","directed":true,"notes":null},</t>
  </si>
  <si>
    <t xml:space="preserve">    {"edge_id":"E0614","source_id":"ORG_LATAM_MBB","target_id":"SEC_CONS","edge_type":"IN_SECTOR","directed":true,"notes":null},</t>
  </si>
  <si>
    <t xml:space="preserve">    {"edge_id":"E0616","source_id":"ORG_DB","target_id":"GEO_H_FRA","edge_type":"LOCATED_IN","directed":true,"notes":null},</t>
  </si>
  <si>
    <t xml:space="preserve">    {"edge_id":"E0617","source_id":"ORG_DB","target_id":"SEC_IB_BB","edge_type":"IN_SECTOR","directed":true,"notes":null},</t>
  </si>
  <si>
    <t xml:space="preserve">    {"edge_id":"E0619","source_id":"ORG_CBK","target_id":"GEO_H_FRA","edge_type":"LOCATED_IN","directed":true,"notes":null},</t>
  </si>
  <si>
    <t xml:space="preserve">    {"edge_id":"E0620","source_id":"ORG_CBK","target_id":"SEC_COMM","edge_type":"IN_SECTOR","directed":true,"notes":null},</t>
  </si>
  <si>
    <t xml:space="preserve">    {"edge_id":"E0622","source_id":"ORG_ALV","target_id":"GEO_H_MUC","edge_type":"LOCATED_IN","directed":true,"notes":null},</t>
  </si>
  <si>
    <t xml:space="preserve">    {"edge_id":"E0623","source_id":"ORG_ALV","target_id":"SEC_INS","edge_type":"IN_SECTOR","directed":true,"notes":null},</t>
  </si>
  <si>
    <t xml:space="preserve">    {"edge_id":"E0625","source_id":"ORG_MUNRE","target_id":"GEO_H_MUC","edge_type":"LOCATED_IN","directed":true,"notes":null},</t>
  </si>
  <si>
    <t xml:space="preserve">    {"edge_id":"E0626","source_id":"ORG_MUNRE","target_id":"SEC_INS","edge_type":"IN_SECTOR","directed":true,"notes":null},</t>
  </si>
  <si>
    <t xml:space="preserve">    {"edge_id":"E0628","source_id":"ORG_DZ","target_id":"GEO_H_FRA","edge_type":"LOCATED_IN","directed":true,"notes":null},</t>
  </si>
  <si>
    <t xml:space="preserve">    {"edge_id":"E0629","source_id":"ORG_DZ","target_id":"SEC_COMM","edge_type":"IN_SECTOR","directed":true,"notes":null},</t>
  </si>
  <si>
    <t xml:space="preserve">    {"edge_id":"E0631","source_id":"ORG_KFW","target_id":"GEO_H_FRA","edge_type":"LOCATED_IN","directed":true,"notes":null},</t>
  </si>
  <si>
    <t xml:space="preserve">    {"edge_id":"E0632","source_id":"ORG_KFW","target_id":"SEC_POLICY","edge_type":"IN_SECTOR","directed":true,"notes":null},</t>
  </si>
  <si>
    <t xml:space="preserve">    {"edge_id":"E0634","source_id":"ORG_BNP","target_id":"GEO_H_PAR","edge_type":"LOCATED_IN","directed":true,"notes":null},</t>
  </si>
  <si>
    <t xml:space="preserve">    {"edge_id":"E0635","source_id":"ORG_BNP","target_id":"SEC_IB_BB","edge_type":"IN_SECTOR","directed":true,"notes":null},</t>
  </si>
  <si>
    <t xml:space="preserve">    {"edge_id":"E0637","source_id":"ORG_SG","target_id":"GEO_H_PAR","edge_type":"LOCATED_IN","directed":true,"notes":null},</t>
  </si>
  <si>
    <t xml:space="preserve">    {"edge_id":"E0638","source_id":"ORG_SG","target_id":"SEC_IB_BB","edge_type":"IN_SECTOR","directed":true,"notes":null},</t>
  </si>
  <si>
    <t xml:space="preserve">    {"edge_id":"E0640","source_id":"ORG_CA","target_id":"GEO_H_PAR","edge_type":"LOCATED_IN","directed":true,"notes":null},</t>
  </si>
  <si>
    <t xml:space="preserve">    {"edge_id":"E0641","source_id":"ORG_CA","target_id":"SEC_COMM","edge_type":"IN_SECTOR","directed":true,"notes":null},</t>
  </si>
  <si>
    <t xml:space="preserve">    {"edge_id":"E0643","source_id":"ORG_AXA","target_id":"GEO_H_PAR","edge_type":"LOCATED_IN","directed":true,"notes":null},</t>
  </si>
  <si>
    <t xml:space="preserve">    {"edge_id":"E0644","source_id":"ORG_AXA","target_id":"SEC_INS","edge_type":"IN_SECTOR","directed":true,"notes":null},</t>
  </si>
  <si>
    <t xml:space="preserve">    {"edge_id":"E0646","source_id":"ORG_AMUNDI","target_id":"GEO_H_PAR","edge_type":"LOCATED_IN","directed":true,"notes":null},</t>
  </si>
  <si>
    <t xml:space="preserve">    {"edge_id":"E0647","source_id":"ORG_AMUNDI","target_id":"SEC_AM","edge_type":"IN_SECTOR","directed":true,"notes":null},</t>
  </si>
  <si>
    <t xml:space="preserve">    {"edge_id":"E0649","source_id":"ORG_NATIXIS","target_id":"GEO_H_PAR","edge_type":"LOCATED_IN","directed":true,"notes":null},</t>
  </si>
  <si>
    <t xml:space="preserve">    {"edge_id":"E0650","source_id":"ORG_NATIXIS","target_id":"SEC_IB_BB","edge_type":"IN_SECTOR","directed":true,"notes":null},</t>
  </si>
  <si>
    <t xml:space="preserve">    {"edge_id":"E0652","source_id":"ORG_UBS","target_id":"GEO_H_ZRH","edge_type":"LOCATED_IN","directed":true,"notes":null},</t>
  </si>
  <si>
    <t xml:space="preserve">    {"edge_id":"E0653","source_id":"ORG_UBS","target_id":"SEC_IB_BB","edge_type":"IN_SECTOR","directed":true,"notes":null},</t>
  </si>
  <si>
    <t xml:space="preserve">    {"edge_id":"E0655","source_id":"ORG_JULIUS","target_id":"GEO_H_ZRH","edge_type":"LOCATED_IN","directed":true,"notes":null},</t>
  </si>
  <si>
    <t xml:space="preserve">    {"edge_id":"E0656","source_id":"ORG_JULIUS","target_id":"SEC_AM","edge_type":"IN_SECTOR","directed":true,"notes":null},</t>
  </si>
  <si>
    <t xml:space="preserve">    {"edge_id":"E0658","source_id":"ORG_PICTET","target_id":"GEO_H_GVA","edge_type":"LOCATED_IN","directed":true,"notes":null},</t>
  </si>
  <si>
    <t xml:space="preserve">    {"edge_id":"E0659","source_id":"ORG_PICTET","target_id":"SEC_AM","edge_type":"IN_SECTOR","directed":true,"notes":null},</t>
  </si>
  <si>
    <t xml:space="preserve">    {"edge_id":"E0661","source_id":"ORG_LO","target_id":"GEO_H_GVA","edge_type":"LOCATED_IN","directed":true,"notes":null},</t>
  </si>
  <si>
    <t xml:space="preserve">    {"edge_id":"E0662","source_id":"ORG_LO","target_id":"SEC_AM","edge_type":"IN_SECTOR","directed":true,"notes":null},</t>
  </si>
  <si>
    <t xml:space="preserve">    {"edge_id":"E0664","source_id":"ORG_ZURICH","target_id":"GEO_H_ZRH","edge_type":"LOCATED_IN","directed":true,"notes":null},</t>
  </si>
  <si>
    <t xml:space="preserve">    {"edge_id":"E0665","source_id":"ORG_ZURICH","target_id":"SEC_INS","edge_type":"IN_SECTOR","directed":true,"notes":null},</t>
  </si>
  <si>
    <t xml:space="preserve">    {"edge_id":"E0667","source_id":"ORG_SWISSRE","target_id":"GEO_H_ZRH","edge_type":"LOCATED_IN","directed":true,"notes":null},</t>
  </si>
  <si>
    <t xml:space="preserve">    {"edge_id":"E0668","source_id":"ORG_SWISSRE","target_id":"SEC_INS","edge_type":"IN_SECTOR","directed":true,"notes":null},</t>
  </si>
  <si>
    <t xml:space="preserve">    {"edge_id":"E0672","source_id":"ORG_ING","target_id":"GEO_H_AMS","edge_type":"LOCATED_IN","directed":true,"notes":null},</t>
  </si>
  <si>
    <t xml:space="preserve">    {"edge_id":"E0673","source_id":"ORG_ING","target_id":"SEC_COMM","edge_type":"IN_SECTOR","directed":true,"notes":null},</t>
  </si>
  <si>
    <t xml:space="preserve">    {"edge_id":"E0675","source_id":"ORG_RABO","target_id":"GEO_H_AMS","edge_type":"LOCATED_IN","directed":true,"notes":null},</t>
  </si>
  <si>
    <t xml:space="preserve">    {"edge_id":"E0676","source_id":"ORG_RABO","target_id":"SEC_COMM","edge_type":"IN_SECTOR","directed":true,"notes":null},</t>
  </si>
  <si>
    <t xml:space="preserve">    {"edge_id":"E0678","source_id":"ORG_NN","target_id":"GEO_H_AMS","edge_type":"LOCATED_IN","directed":true,"notes":null},</t>
  </si>
  <si>
    <t xml:space="preserve">    {"edge_id":"E0679","source_id":"ORG_NN","target_id":"SEC_INS","edge_type":"IN_SECTOR","directed":true,"notes":null},</t>
  </si>
  <si>
    <t xml:space="preserve">    {"edge_id":"E0681","source_id":"ORG_AEGON","target_id":"GEO_H_AMS","edge_type":"LOCATED_IN","directed":true,"notes":null},</t>
  </si>
  <si>
    <t xml:space="preserve">    {"edge_id":"E0682","source_id":"ORG_AEGON","target_id":"SEC_INS","edge_type":"IN_SECTOR","directed":true,"notes":null},</t>
  </si>
  <si>
    <t xml:space="preserve">    {"edge_id":"E0684","source_id":"ORG_ABN","target_id":"GEO_H_AMS","edge_type":"LOCATED_IN","directed":true,"notes":null},</t>
  </si>
  <si>
    <t xml:space="preserve">    {"edge_id":"E0685","source_id":"ORG_ABN","target_id":"SEC_COMM","edge_type":"IN_SECTOR","directed":true,"notes":null},</t>
  </si>
  <si>
    <t xml:space="preserve">    {"edge_id":"E0687","source_id":"ORG_SAN","target_id":"GEO_H_MAD","edge_type":"LOCATED_IN","directed":true,"notes":null},</t>
  </si>
  <si>
    <t xml:space="preserve">    {"edge_id":"E0688","source_id":"ORG_SAN","target_id":"SEC_COMM","edge_type":"IN_SECTOR","directed":true,"notes":null},</t>
  </si>
  <si>
    <t xml:space="preserve">    {"edge_id":"E0690","source_id":"ORG_BBVA","target_id":"GEO_H_MAD","edge_type":"LOCATED_IN","directed":true,"notes":null},</t>
  </si>
  <si>
    <t xml:space="preserve">    {"edge_id":"E0691","source_id":"ORG_BBVA","target_id":"SEC_COMM","edge_type":"IN_SECTOR","directed":true,"notes":null},</t>
  </si>
  <si>
    <t xml:space="preserve">    {"edge_id":"E0693","source_id":"ORG_CAIXABANK","target_id":"GEO_H_MAD","edge_type":"LOCATED_IN","directed":true,"notes":null},</t>
  </si>
  <si>
    <t xml:space="preserve">    {"edge_id":"E0694","source_id":"ORG_CAIXABANK","target_id":"SEC_COMM","edge_type":"IN_SECTOR","directed":true,"notes":null},</t>
  </si>
  <si>
    <t xml:space="preserve">    {"edge_id":"E0696","source_id":"ORG_UCG","target_id":"GEO_H_MIL","edge_type":"LOCATED_IN","directed":true,"notes":null},</t>
  </si>
  <si>
    <t xml:space="preserve">    {"edge_id":"E0697","source_id":"ORG_UCG","target_id":"SEC_COMM","edge_type":"IN_SECTOR","directed":true,"notes":null},</t>
  </si>
  <si>
    <t xml:space="preserve">    {"edge_id":"E0699","source_id":"ORG_ISP","target_id":"GEO_H_MIL","edge_type":"LOCATED_IN","directed":true,"notes":null},</t>
  </si>
  <si>
    <t xml:space="preserve">    {"edge_id":"E0700","source_id":"ORG_ISP","target_id":"SEC_COMM","edge_type":"IN_SECTOR","directed":true,"notes":null},</t>
  </si>
  <si>
    <t xml:space="preserve">    {"edge_id":"E0702","source_id":"ORG_GENERALI","target_id":"GEO_H_TRS","edge_type":"LOCATED_IN","directed":true,"notes":null},</t>
  </si>
  <si>
    <t xml:space="preserve">    {"edge_id":"E0703","source_id":"ORG_GENERALI","target_id":"SEC_INS","edge_type":"IN_SECTOR","directed":true,"notes":null},</t>
  </si>
  <si>
    <t xml:space="preserve">    {"edge_id":"E0705","source_id":"ORG_NORDEA","target_id":"GEO_H_STO","edge_type":"LOCATED_IN","directed":true,"notes":null},</t>
  </si>
  <si>
    <t xml:space="preserve">    {"edge_id":"E0706","source_id":"ORG_NORDEA","target_id":"SEC_COMM","edge_type":"IN_SECTOR","directed":true,"notes":null},</t>
  </si>
  <si>
    <t xml:space="preserve">    {"edge_id":"E0708","source_id":"ORG_SEB","target_id":"GEO_H_STO","edge_type":"LOCATED_IN","directed":true,"notes":null},</t>
  </si>
  <si>
    <t xml:space="preserve">    {"edge_id":"E0709","source_id":"ORG_SEB","target_id":"SEC_COMM","edge_type":"IN_SECTOR","directed":true,"notes":null},</t>
  </si>
  <si>
    <t xml:space="preserve">    {"edge_id":"E0711","source_id":"ORG_SHB","target_id":"GEO_H_STO","edge_type":"LOCATED_IN","directed":true,"notes":null},</t>
  </si>
  <si>
    <t xml:space="preserve">    {"edge_id":"E0712","source_id":"ORG_SHB","target_id":"SEC_COMM","edge_type":"IN_SECTOR","directed":true,"notes":null},</t>
  </si>
  <si>
    <t xml:space="preserve">    {"edge_id":"E0714","source_id":"ORG_SWED","target_id":"GEO_H_STO","edge_type":"LOCATED_IN","directed":true,"notes":null},</t>
  </si>
  <si>
    <t xml:space="preserve">    {"edge_id":"E0715","source_id":"ORG_SWED","target_id":"SEC_COMM","edge_type":"IN_SECTOR","directed":true,"notes":null},</t>
  </si>
  <si>
    <t xml:space="preserve">    {"edge_id":"E0717","source_id":"ORG_DANSKE","target_id":"GEO_H_CPH","edge_type":"LOCATED_IN","directed":true,"notes":null},</t>
  </si>
  <si>
    <t xml:space="preserve">    {"edge_id":"E0718","source_id":"ORG_DANSKE","target_id":"SEC_COMM","edge_type":"IN_SECTOR","directed":true,"notes":null},</t>
  </si>
  <si>
    <t xml:space="preserve">    {"edge_id":"E0720","source_id":"ORG_DNB","target_id":"GEO_H_OSL","edge_type":"LOCATED_IN","directed":true,"notes":null},</t>
  </si>
  <si>
    <t xml:space="preserve">    {"edge_id":"E0721","source_id":"ORG_DNB","target_id":"SEC_COMM","edge_type":"IN_SECTOR","directed":true,"notes":null},</t>
  </si>
  <si>
    <t xml:space="preserve">    {"edge_id":"E0723","source_id":"ORG_AIB","target_id":"GEO_H_DUB","edge_type":"LOCATED_IN","directed":true,"notes":null},</t>
  </si>
  <si>
    <t xml:space="preserve">    {"edge_id":"E0724","source_id":"ORG_AIB","target_id":"SEC_COMM","edge_type":"IN_SECTOR","directed":true,"notes":null},</t>
  </si>
  <si>
    <t xml:space="preserve">    {"edge_id":"E0726","source_id":"ORG_BOI_IE","target_id":"GEO_H_DUB","edge_type":"LOCATED_IN","directed":true,"notes":null},</t>
  </si>
  <si>
    <t xml:space="preserve">    {"edge_id":"E0727","source_id":"ORG_BOI_IE","target_id":"SEC_COMM","edge_type":"IN_SECTOR","directed":true,"notes":null},</t>
  </si>
  <si>
    <t xml:space="preserve">    {"edge_id":"E0729","source_id":"ORG_ECB","target_id":"GEO_H_FRA","edge_type":"LOCATED_IN","directed":true,"notes":null},</t>
  </si>
  <si>
    <t xml:space="preserve">    {"edge_id":"E0730","source_id":"ORG_ECB","target_id":"SEC_CB","edge_type":"IN_SECTOR","directed":true,"notes":null},</t>
  </si>
  <si>
    <t xml:space="preserve">    {"edge_id":"E0732","source_id":"ORG_BUBA","target_id":"GEO_H_FRA","edge_type":"LOCATED_IN","directed":true,"notes":null},</t>
  </si>
  <si>
    <t xml:space="preserve">    {"edge_id":"E0733","source_id":"ORG_BUBA","target_id":"SEC_CB","edge_type":"IN_SECTOR","directed":true,"notes":null},</t>
  </si>
  <si>
    <t xml:space="preserve">    {"edge_id":"E0735","source_id":"ORG_BDF","target_id":"GEO_H_PAR","edge_type":"LOCATED_IN","directed":true,"notes":null},</t>
  </si>
  <si>
    <t xml:space="preserve">    {"edge_id":"E0736","source_id":"ORG_BDF","target_id":"SEC_CB","edge_type":"IN_SECTOR","directed":true,"notes":null},</t>
  </si>
  <si>
    <t xml:space="preserve">    {"edge_id":"E0738","source_id":"ORG_DNBANK","target_id":"GEO_H_AMS","edge_type":"LOCATED_IN","directed":true,"notes":null},</t>
  </si>
  <si>
    <t xml:space="preserve">    {"edge_id":"E0739","source_id":"ORG_DNBANK","target_id":"SEC_CB","edge_type":"IN_SECTOR","directed":true,"notes":null},</t>
  </si>
  <si>
    <t xml:space="preserve">    {"edge_id":"E0741","source_id":"ORG_SNB","target_id":"GEO_H_ZRH","edge_type":"LOCATED_IN","directed":true,"notes":null},</t>
  </si>
  <si>
    <t xml:space="preserve">    {"edge_id":"E0742","source_id":"ORG_SNB","target_id":"SEC_CB","edge_type":"IN_SECTOR","directed":true,"notes":null},</t>
  </si>
  <si>
    <t xml:space="preserve">    {"edge_id":"E0744","source_id":"ORG_CBI","target_id":"GEO_H_DUB","edge_type":"LOCATED_IN","directed":true,"notes":null},</t>
  </si>
  <si>
    <t xml:space="preserve">    {"edge_id":"E0745","source_id":"ORG_CBI","target_id":"SEC_CB","edge_type":"IN_SECTOR","directed":true,"notes":null},</t>
  </si>
  <si>
    <t xml:space="preserve">    {"edge_id":"E0747","source_id":"ORG_EIB","target_id":"GEO_H_LUX","edge_type":"LOCATED_IN","directed":true,"notes":null},</t>
  </si>
  <si>
    <t xml:space="preserve">    {"edge_id":"E0748","source_id":"ORG_EIB","target_id":"SEC_POLICY","edge_type":"IN_SECTOR","directed":true,"notes":null},</t>
  </si>
  <si>
    <t xml:space="preserve">    {"edge_id":"E0750","source_id":"ORG_BTG","target_id":"ORG_ENFORCE","edge_type":"PARENT_OF","directed":true,"notes":"Trainee programme sits at the subsidiary"},</t>
  </si>
  <si>
    <t xml:space="preserve">    {"edge_id":"E0754","source_id":"ORG_SAN","target_id":"ORG_SANBR","edge_type":"PARENT_OF","directed":true,"notes":null},</t>
  </si>
  <si>
    <t xml:space="preserve">    {"edge_id":"E0755","source_id":"ORG_SAN","target_id":"ORG_SANCL","edge_type":"PARENT_OF","directed":true,"notes":null},</t>
  </si>
  <si>
    <t xml:space="preserve">    {"edge_id":"E0756","source_id":"ORG_SAN","target_id":"ORG_SANAR","edge_type":"PARENT_OF","directed":true,"notes":null},</t>
  </si>
  <si>
    <t xml:space="preserve">    {"edge_id":"E0757","source_id":"ORG_BBVA","target_id":"ORG_BBVAMX","edge_type":"PARENT_OF","directed":true,"notes":null},</t>
  </si>
  <si>
    <t xml:space="preserve">    {"edge_id":"E0758","source_id":"ORG_BBVA","target_id":"ORG_BBVAPE","edge_type":"PARENT_OF","directed":true,"notes":null},</t>
  </si>
  <si>
    <t xml:space="preserve">    {"edge_id":"E0759","source_id":"ORG_BBVA","target_id":"ORG_BBVAAR","edge_type":"PARENT_OF","directed":true,"notes":null},</t>
  </si>
  <si>
    <t xml:space="preserve">    {"edge_id":"E0760","source_id":"ORG_CITI","target_id":"ORG_CITIBANAMEX","edge_type":"PARENT_OF","directed":true,"notes":null},</t>
  </si>
  <si>
    <t xml:space="preserve">    {"edge_id":"E0761","source_id":"ORG_ICICI","target_id":"ORG_ISEC","edge_type":"PARENT_OF","directed":true,"notes":null},</t>
  </si>
  <si>
    <t xml:space="preserve">    {"edge_id":"E0762","source_id":"ORG_AXIS","target_id":"ORG_AXISCAP","edge_type":"PARENT_OF","directed":true,"notes":null},</t>
  </si>
  <si>
    <t xml:space="preserve">    {"edge_id":"E0763","source_id":"ORG_KOTAK","target_id":"ORG_KOTAKIB","edge_type":"PARENT_OF","directed":true,"notes":null},</t>
  </si>
  <si>
    <t xml:space="preserve">    {"edge_id":"E0764","source_id":"ORG_JPM","target_id":"GEO_H_SAO","edge_type":"LOCATED_IN","directed":true,"notes":"Mixed model - São Paulo local analyst/intern (Drive the Future - Brazil) AND NY-based Global Private Bank LatAm Program [C-Press]"},</t>
  </si>
  <si>
    <t xml:space="preserve">    {"edge_id":"E0766","source_id":"ORG_CITI","target_id":"GEO_H_SAO","edge_type":"LOCATED_IN","directed":true,"notes":"São Paulo Full-Time Analyst (Banking; Markets with 4-week training); LATAM Commercial Banking Analyst [C-Official]"},</t>
  </si>
  <si>
    <t xml:space="preserve">    {"edge_id":"E0768","source_id":"ORG_GS","target_id":"GEO_H_SAO","edge_type":"LOCATED_IN","directed":true,"notes":"São Paulo participates in Americas New Analyst/Summer Analyst programme; no distinct Brazil brand [C-Press]"},</t>
  </si>
  <si>
    <t xml:space="preserve">    {"edge_id":"E0770","source_id":"ORG_MS","target_id":"GEO_H_SAO","edge_type":"LOCATED_IN","directed":true,"notes":"São Paulo internship programme (recurring cycles); office since 1997 [C-Official]"},</t>
  </si>
  <si>
    <t xml:space="preserve">    {"edge_id":"E0772","source_id":"ORG_JPM","target_id":"GEO_H_NYC","edge_type":"OFFSHORE_RECRUITS_FOR","directed":true,"notes":"NY-based Global Private Bank LatAm Program recruits LatAm-focused analysts into a US programme"},</t>
  </si>
  <si>
    <t xml:space="preserve">    {"edge_id":"E0774","source_id":"ORG_SAN","target_id":"GEO_H_SAO","edge_type":"PLACES_GRADUATES_IN","directed":true,"notes":"Santander CIB International Graduate Programme LatAm placement [C-Official]"},</t>
  </si>
  <si>
    <t xml:space="preserve">    {"edge_id":"E0775","source_id":"ORG_SAN","target_id":"GEO_H_MEX","edge_type":"PLACES_GRADUATES_IN","directed":true,"notes":"Santander CIB International Graduate Programme LatAm placement [C-Official]"},</t>
  </si>
  <si>
    <t xml:space="preserve">    {"edge_id":"E0776","source_id":"ORG_SAN","target_id":"GEO_H_SCL","edge_type":"PLACES_GRADUATES_IN","directed":true,"notes":"Santander CIB International Graduate Programme LatAm placement [C-Official]"},</t>
  </si>
  <si>
    <t xml:space="preserve">    {"edge_id":"E0777","source_id":"ORG_SAN","target_id":"GEO_H_BOG","edge_type":"PLACES_GRADUATES_IN","directed":true,"notes":"Santander CIB International Graduate Programme LatAm placement [C-Official]"},</t>
  </si>
  <si>
    <t xml:space="preserve">    {"edge_id":"E0778","source_id":"ORG_DB","target_id":"GEO_H_INOTH","edge_type":"LOCATED_IN","directed":true,"notes":"India GCC analyst [Note]"},</t>
  </si>
  <si>
    <t xml:space="preserve">    {"edge_id":"E0780","source_id":"ORG_DB","target_id":"GEO_H_CNOTH","edge_type":"LOCATED_IN","directed":true,"notes":"China operations - limited intake [Note]"},</t>
  </si>
  <si>
    <t xml:space="preserve">    {"edge_id":"E0782","source_id":"ORG_STT","target_id":"GEO_H_DUB","edge_type":"LOCATED_IN","directed":true,"notes":"Dublin GCC - asset-servicing / fund-administration graduate &amp; co-op programmes [C-Official]"},</t>
  </si>
  <si>
    <t xml:space="preserve">    {"edge_id":"E0783","source_id":"ORG_STT","target_id":"GEO_H_LUX","edge_type":"LOCATED_IN","directed":true,"notes":"Luxembourg fund-administration graduate / co-op programmes [Note]"},</t>
  </si>
  <si>
    <t xml:space="preserve">    {"edge_id":"E0785","source_id":"ORG_BNY","target_id":"GEO_H_DUB","edge_type":"LOCATED_IN","directed":true,"notes":"Dublin GCC - asset-servicing / fund-administration graduate &amp; co-op programmes [C-Official]"},</t>
  </si>
  <si>
    <t xml:space="preserve">    {"edge_id":"E0786","source_id":"ORG_BNY","target_id":"GEO_H_LUX","edge_type":"LOCATED_IN","directed":true,"notes":"Luxembourg fund-administration graduate / co-op programmes [Note]"},</t>
  </si>
  <si>
    <t xml:space="preserve">    {"edge_id":"E0788","source_id":"ORG_NTRS","target_id":"GEO_H_DUB","edge_type":"LOCATED_IN","directed":true,"notes":"Dublin GCC - asset-servicing / fund-administration graduate &amp; co-op programmes [C-Official]"},</t>
  </si>
  <si>
    <t xml:space="preserve">    {"edge_id":"E0789","source_id":"ORG_NTRS","target_id":"GEO_H_LUX","edge_type":"LOCATED_IN","directed":true,"notes":"Luxembourg fund-administration graduate / co-op programmes [Note]"},</t>
  </si>
  <si>
    <t xml:space="preserve">    {"edge_id":"E0791","source_id":"ORG_JPM","target_id":"GEO_H_DUB","edge_type":"LOCATED_IN","directed":true,"notes":"Dublin GCC - asset-servicing / fund-administration graduate &amp; co-op programmes [C-Official]"},</t>
  </si>
  <si>
    <t xml:space="preserve">    {"edge_id":"E0792","source_id":"ORG_JPM","target_id":"GEO_H_LUX","edge_type":"LOCATED_IN","directed":true,"notes":"Luxembourg fund-administration graduate / co-op programmes [Note]"},</t>
  </si>
  <si>
    <t xml:space="preserve">    {"edge_id":"E0794","source_id":"GEO_H_UKOTH","target_id":"GEO_C_UK","edge_type":"PART_OF","directed":true,"notes":null},</t>
  </si>
  <si>
    <t xml:space="preserve">    {"edge_id":"E0795","source_id":"GEO_H_EDI","target_id":"GEO_C_UK","edge_type":"PART_OF","directed":true,"notes":null},</t>
  </si>
  <si>
    <t xml:space="preserve">    {"edge_id":"E0796","source_id":"GEO_H_LDS","target_id":"GEO_C_UK","edge_type":"PART_OF","directed":true,"notes":null},</t>
  </si>
  <si>
    <t xml:space="preserve">    {"edge_id":"E0797","source_id":"GEO_H_GLA","target_id":"GEO_C_UK","edge_type":"PART_OF","directed":true,"notes":null},</t>
  </si>
  <si>
    <t xml:space="preserve">    {"edge_id":"E0798","source_id":"GEO_H_MAN","target_id":"GEO_C_UK","edge_type":"PART_OF","directed":true,"notes":null},</t>
  </si>
  <si>
    <t xml:space="preserve">    {"edge_id":"E0799","source_id":"GEO_H_BHX","target_id":"GEO_C_UK","edge_type":"PART_OF","directed":true,"notes":null},</t>
  </si>
  <si>
    <t xml:space="preserve">    {"edge_id":"E0800","source_id":"GEO_H_BRS","target_id":"GEO_C_UK","edge_type":"PART_OF","directed":true,"notes":null},</t>
  </si>
  <si>
    <t xml:space="preserve">    {"edge_id":"E0801","source_id":"GEO_H_BFS","target_id":"GEO_C_UK","edge_type":"PART_OF","directed":true,"notes":null},</t>
  </si>
  <si>
    <t xml:space="preserve">    {"edge_id":"E0804","source_id":"ORG_UK_BOE","target_id":"GEO_H_LON","edge_type":"LOCATED_IN","directed":true,"notes":null},</t>
  </si>
  <si>
    <t xml:space="preserve">    {"edge_id":"E0805","source_id":"ORG_UK_BOE","target_id":"SEC_CB","edge_type":"IN_SECTOR","directed":true,"notes":null},</t>
  </si>
  <si>
    <t xml:space="preserve">    {"edge_id":"E0807","source_id":"ORG_UK_BOE","target_id":"GEO_H_LDS","edge_type":"LOCATED_IN","directed":true,"notes":"Additional UK site for this programme"},</t>
  </si>
  <si>
    <t xml:space="preserve">    {"edge_id":"E0808","source_id":"ORG_UK_FCA","target_id":"GEO_H_LON","edge_type":"LOCATED_IN","directed":true,"notes":null},</t>
  </si>
  <si>
    <t xml:space="preserve">    {"edge_id":"E0809","source_id":"ORG_UK_FCA","target_id":"SEC_CB","edge_type":"IN_SECTOR","directed":true,"notes":null},</t>
  </si>
  <si>
    <t xml:space="preserve">    {"edge_id":"E0811","source_id":"ORG_UK_FCA","target_id":"GEO_H_LDS","edge_type":"LOCATED_IN","directed":true,"notes":"Additional UK site for this programme"},</t>
  </si>
  <si>
    <t xml:space="preserve">    {"edge_id":"E0812","source_id":"ORG_UK_FCA","target_id":"GEO_H_EDI","edge_type":"LOCATED_IN","directed":true,"notes":"Additional UK site for this programme"},</t>
  </si>
  <si>
    <t xml:space="preserve">    {"edge_id":"E0813","source_id":"ORG_UK_BBB","target_id":"GEO_H_UKOTH","edge_type":"LOCATED_IN","directed":true,"notes":null},</t>
  </si>
  <si>
    <t xml:space="preserve">    {"edge_id":"E0814","source_id":"ORG_UK_BBB","target_id":"SEC_POLICY","edge_type":"IN_SECTOR","directed":true,"notes":null},</t>
  </si>
  <si>
    <t xml:space="preserve">    {"edge_id":"E0816","source_id":"ORG_UK_LLOYDSBG","target_id":"GEO_H_LON","edge_type":"LOCATED_IN","directed":true,"notes":null},</t>
  </si>
  <si>
    <t xml:space="preserve">    {"edge_id":"E0817","source_id":"ORG_UK_LLOYDSBG","target_id":"SEC_COMM","edge_type":"IN_SECTOR","directed":true,"notes":null},</t>
  </si>
  <si>
    <t xml:space="preserve">    {"edge_id":"E0819","source_id":"ORG_UK_LLOYDSBG","target_id":"GEO_H_EDI","edge_type":"LOCATED_IN","directed":true,"notes":"Additional UK site for this programme"},</t>
  </si>
  <si>
    <t xml:space="preserve">    {"edge_id":"E0820","source_id":"ORG_UK_LLOYDSBG","target_id":"GEO_H_LDS","edge_type":"LOCATED_IN","directed":true,"notes":"Additional UK site for this programme"},</t>
  </si>
  <si>
    <t xml:space="preserve">    {"edge_id":"E0821","source_id":"ORG_UK_LLOYDSBG","target_id":"GEO_H_BRS","edge_type":"LOCATED_IN","directed":true,"notes":"Additional UK site for this programme"},</t>
  </si>
  <si>
    <t xml:space="preserve">    {"edge_id":"E0822","source_id":"ORG_UK_LLOYDSBG","target_id":"GEO_H_MAN","edge_type":"LOCATED_IN","directed":true,"notes":"Additional UK site for this programme"},</t>
  </si>
  <si>
    <t xml:space="preserve">    {"edge_id":"E0823","source_id":"ORG_UK_NATWEST","target_id":"GEO_H_EDI","edge_type":"LOCATED_IN","directed":true,"notes":null},</t>
  </si>
  <si>
    <t xml:space="preserve">    {"edge_id":"E0824","source_id":"ORG_UK_NATWEST","target_id":"SEC_COMM","edge_type":"IN_SECTOR","directed":true,"notes":null},</t>
  </si>
  <si>
    <t xml:space="preserve">    {"edge_id":"E0826","source_id":"ORG_UK_NATWEST","target_id":"GEO_H_LON","edge_type":"LOCATED_IN","directed":true,"notes":"Additional UK site for this programme"},</t>
  </si>
  <si>
    <t xml:space="preserve">    {"edge_id":"E0827","source_id":"ORG_UK_NATWEST","target_id":"GEO_H_MAN","edge_type":"LOCATED_IN","directed":true,"notes":"Additional UK site for this programme"},</t>
  </si>
  <si>
    <t xml:space="preserve">    {"edge_id":"E0828","source_id":"ORG_UK_SANUK","target_id":"GEO_H_LON","edge_type":"LOCATED_IN","directed":true,"notes":null},</t>
  </si>
  <si>
    <t xml:space="preserve">    {"edge_id":"E0829","source_id":"ORG_UK_SANUK","target_id":"SEC_COMM","edge_type":"IN_SECTOR","directed":true,"notes":null},</t>
  </si>
  <si>
    <t xml:space="preserve">    {"edge_id":"E0831","source_id":"ORG_UK_NATIONWIDE","target_id":"GEO_H_UKOTH","edge_type":"LOCATED_IN","directed":true,"notes":null},</t>
  </si>
  <si>
    <t xml:space="preserve">    {"edge_id":"E0832","source_id":"ORG_UK_NATIONWIDE","target_id":"SEC_COMM","edge_type":"IN_SECTOR","directed":true,"notes":null},</t>
  </si>
  <si>
    <t xml:space="preserve">    {"edge_id":"E0834","source_id":"ORG_UK_TSB","target_id":"GEO_H_EDI","edge_type":"LOCATED_IN","directed":true,"notes":null},</t>
  </si>
  <si>
    <t xml:space="preserve">    {"edge_id":"E0835","source_id":"ORG_UK_TSB","target_id":"SEC_COMM","edge_type":"IN_SECTOR","directed":true,"notes":null},</t>
  </si>
  <si>
    <t xml:space="preserve">    {"edge_id":"E0837","source_id":"ORG_UK_VMUK","target_id":"GEO_H_GLA","edge_type":"LOCATED_IN","directed":true,"notes":null},</t>
  </si>
  <si>
    <t xml:space="preserve">    {"edge_id":"E0838","source_id":"ORG_UK_VMUK","target_id":"SEC_COMM","edge_type":"IN_SECTOR","directed":true,"notes":null},</t>
  </si>
  <si>
    <t xml:space="preserve">    {"edge_id":"E0840","source_id":"ORG_UK_METRO","target_id":"GEO_H_LON","edge_type":"LOCATED_IN","directed":true,"notes":null},</t>
  </si>
  <si>
    <t xml:space="preserve">    {"edge_id":"E0841","source_id":"ORG_UK_METRO","target_id":"SEC_COMM","edge_type":"IN_SECTOR","directed":true,"notes":null},</t>
  </si>
  <si>
    <t xml:space="preserve">    {"edge_id":"E0843","source_id":"ORG_UK_COOP","target_id":"GEO_H_MAN","edge_type":"LOCATED_IN","directed":true,"notes":null},</t>
  </si>
  <si>
    <t xml:space="preserve">    {"edge_id":"E0844","source_id":"ORG_UK_COOP","target_id":"SEC_COMM","edge_type":"IN_SECTOR","directed":true,"notes":null},</t>
  </si>
  <si>
    <t xml:space="preserve">    {"edge_id":"E0846","source_id":"ORG_UK_CLOSEBROS","target_id":"GEO_H_LON","edge_type":"LOCATED_IN","directed":true,"notes":null},</t>
  </si>
  <si>
    <t xml:space="preserve">    {"edge_id":"E0847","source_id":"ORG_UK_CLOSEBROS","target_id":"SEC_COMM","edge_type":"IN_SECTOR","directed":true,"notes":null},</t>
  </si>
  <si>
    <t xml:space="preserve">    {"edge_id":"E0849","source_id":"ORG_UK_INVESTEC","target_id":"GEO_H_LON","edge_type":"LOCATED_IN","directed":true,"notes":null},</t>
  </si>
  <si>
    <t xml:space="preserve">    {"edge_id":"E0850","source_id":"ORG_UK_INVESTEC","target_id":"SEC_COMM","edge_type":"IN_SECTOR","directed":true,"notes":null},</t>
  </si>
  <si>
    <t xml:space="preserve">    {"edge_id":"E0852","source_id":"ORG_UK_REVOLUT","target_id":"GEO_H_LON","edge_type":"LOCATED_IN","directed":true,"notes":null},</t>
  </si>
  <si>
    <t xml:space="preserve">    {"edge_id":"E0853","source_id":"ORG_UK_REVOLUT","target_id":"SEC_FINTECH","edge_type":"IN_SECTOR","directed":true,"notes":null},</t>
  </si>
  <si>
    <t xml:space="preserve">    {"edge_id":"E0855","source_id":"ORG_UK_MONZO","target_id":"GEO_H_LON","edge_type":"LOCATED_IN","directed":true,"notes":null},</t>
  </si>
  <si>
    <t xml:space="preserve">    {"edge_id":"E0856","source_id":"ORG_UK_MONZO","target_id":"SEC_FINTECH","edge_type":"IN_SECTOR","directed":true,"notes":null},</t>
  </si>
  <si>
    <t xml:space="preserve">    {"edge_id":"E0858","source_id":"ORG_UK_STARLING","target_id":"GEO_H_LON","edge_type":"LOCATED_IN","directed":true,"notes":null},</t>
  </si>
  <si>
    <t xml:space="preserve">    {"edge_id":"E0859","source_id":"ORG_UK_STARLING","target_id":"SEC_FINTECH","edge_type":"IN_SECTOR","directed":true,"notes":null},</t>
  </si>
  <si>
    <t xml:space="preserve">    {"edge_id":"E0861","source_id":"ORG_UK_WISE","target_id":"GEO_H_LON","edge_type":"LOCATED_IN","directed":true,"notes":null},</t>
  </si>
  <si>
    <t xml:space="preserve">    {"edge_id":"E0862","source_id":"ORG_UK_WISE","target_id":"SEC_FINTECH","edge_type":"IN_SECTOR","directed":true,"notes":null},</t>
  </si>
  <si>
    <t xml:space="preserve">    {"edge_id":"E0864","source_id":"ORG_UK_ROTH","target_id":"GEO_H_LON","edge_type":"LOCATED_IN","directed":true,"notes":null},</t>
  </si>
  <si>
    <t xml:space="preserve">    {"edge_id":"E0865","source_id":"ORG_UK_ROTH","target_id":"SEC_IB_EB","edge_type":"IN_SECTOR","directed":true,"notes":null},</t>
  </si>
  <si>
    <t xml:space="preserve">    {"edge_id":"E0867","source_id":"ORG_UK_ROBEY","target_id":"GEO_H_LON","edge_type":"LOCATED_IN","directed":true,"notes":null},</t>
  </si>
  <si>
    <t xml:space="preserve">    {"edge_id":"E0868","source_id":"ORG_UK_ROBEY","target_id":"SEC_IB_EB","edge_type":"IN_SECTOR","directed":true,"notes":null},</t>
  </si>
  <si>
    <t xml:space="preserve">    {"edge_id":"E0870","source_id":"ORG_UK_PEEL","target_id":"GEO_H_LON","edge_type":"LOCATED_IN","directed":true,"notes":null},</t>
  </si>
  <si>
    <t xml:space="preserve">    {"edge_id":"E0871","source_id":"ORG_UK_PEEL","target_id":"SEC_IB_EB","edge_type":"IN_SECTOR","directed":true,"notes":null},</t>
  </si>
  <si>
    <t xml:space="preserve">    {"edge_id":"E0873","source_id":"ORG_UK_NUMIS","target_id":"GEO_H_LON","edge_type":"LOCATED_IN","directed":true,"notes":null},</t>
  </si>
  <si>
    <t xml:space="preserve">    {"edge_id":"E0874","source_id":"ORG_UK_NUMIS","target_id":"SEC_IB_EB","edge_type":"IN_SECTOR","directed":true,"notes":null},</t>
  </si>
  <si>
    <t xml:space="preserve">    {"edge_id":"E0876","source_id":"ORG_UK_XTX","target_id":"GEO_H_LON","edge_type":"LOCATED_IN","directed":true,"notes":null},</t>
  </si>
  <si>
    <t xml:space="preserve">    {"edge_id":"E0877","source_id":"ORG_UK_XTX","target_id":"SEC_QUANT","edge_type":"IN_SECTOR","directed":true,"notes":null},</t>
  </si>
  <si>
    <t xml:space="preserve">    {"edge_id":"E0879","source_id":"ORG_UK_MAN","target_id":"GEO_H_LON","edge_type":"LOCATED_IN","directed":true,"notes":null},</t>
  </si>
  <si>
    <t xml:space="preserve">    {"edge_id":"E0880","source_id":"ORG_UK_MAN","target_id":"SEC_QUANT","edge_type":"IN_SECTOR","directed":true,"notes":null},</t>
  </si>
  <si>
    <t xml:space="preserve">    {"edge_id":"E0882","source_id":"ORG_UK_MARSHALL","target_id":"GEO_H_LON","edge_type":"LOCATED_IN","directed":true,"notes":null},</t>
  </si>
  <si>
    <t xml:space="preserve">    {"edge_id":"E0883","source_id":"ORG_UK_MARSHALL","target_id":"SEC_QUANT","edge_type":"IN_SECTOR","directed":true,"notes":null},</t>
  </si>
  <si>
    <t xml:space="preserve">    {"edge_id":"E0885","source_id":"ORG_UK_BREVAN","target_id":"GEO_H_LON","edge_type":"LOCATED_IN","directed":true,"notes":null},</t>
  </si>
  <si>
    <t xml:space="preserve">    {"edge_id":"E0886","source_id":"ORG_UK_BREVAN","target_id":"SEC_QUANT","edge_type":"IN_SECTOR","directed":true,"notes":null},</t>
  </si>
  <si>
    <t xml:space="preserve">    {"edge_id":"E0888","source_id":"ORG_UK_WINTON","target_id":"GEO_H_LON","edge_type":"LOCATED_IN","directed":true,"notes":null},</t>
  </si>
  <si>
    <t xml:space="preserve">    {"edge_id":"E0889","source_id":"ORG_UK_WINTON","target_id":"SEC_QUANT","edge_type":"IN_SECTOR","directed":true,"notes":null},</t>
  </si>
  <si>
    <t xml:space="preserve">    {"edge_id":"E0891","source_id":"ORG_UK_QRT","target_id":"GEO_H_LON","edge_type":"LOCATED_IN","directed":true,"notes":null},</t>
  </si>
  <si>
    <t xml:space="preserve">    {"edge_id":"E0892","source_id":"ORG_UK_QRT","target_id":"SEC_QUANT","edge_type":"IN_SECTOR","directed":true,"notes":null},</t>
  </si>
  <si>
    <t xml:space="preserve">    {"edge_id":"E0894","source_id":"ORG_UK_SCHRODERS","target_id":"GEO_H_LON","edge_type":"LOCATED_IN","directed":true,"notes":null},</t>
  </si>
  <si>
    <t xml:space="preserve">    {"edge_id":"E0895","source_id":"ORG_UK_SCHRODERS","target_id":"SEC_AM","edge_type":"IN_SECTOR","directed":true,"notes":null},</t>
  </si>
  <si>
    <t xml:space="preserve">    {"edge_id":"E0897","source_id":"ORG_UK_ABRDN","target_id":"GEO_H_EDI","edge_type":"LOCATED_IN","directed":true,"notes":null},</t>
  </si>
  <si>
    <t xml:space="preserve">    {"edge_id":"E0898","source_id":"ORG_UK_ABRDN","target_id":"SEC_AM","edge_type":"IN_SECTOR","directed":true,"notes":null},</t>
  </si>
  <si>
    <t xml:space="preserve">    {"edge_id":"E0900","source_id":"ORG_UK_MG","target_id":"GEO_H_LON","edge_type":"LOCATED_IN","directed":true,"notes":null},</t>
  </si>
  <si>
    <t xml:space="preserve">    {"edge_id":"E0901","source_id":"ORG_UK_MG","target_id":"SEC_AM","edge_type":"IN_SECTOR","directed":true,"notes":null},</t>
  </si>
  <si>
    <t xml:space="preserve">    {"edge_id":"E0903","source_id":"ORG_UK_LG","target_id":"GEO_H_LON","edge_type":"LOCATED_IN","directed":true,"notes":null},</t>
  </si>
  <si>
    <t xml:space="preserve">    {"edge_id":"E0904","source_id":"ORG_UK_LG","target_id":"SEC_AM","edge_type":"IN_SECTOR","directed":true,"notes":null},</t>
  </si>
  <si>
    <t xml:space="preserve">    {"edge_id":"E0906","source_id":"ORG_UK_BAILLIE","target_id":"GEO_H_EDI","edge_type":"LOCATED_IN","directed":true,"notes":null},</t>
  </si>
  <si>
    <t xml:space="preserve">    {"edge_id":"E0907","source_id":"ORG_UK_BAILLIE","target_id":"SEC_AM","edge_type":"IN_SECTOR","directed":true,"notes":null},</t>
  </si>
  <si>
    <t xml:space="preserve">    {"edge_id":"E0909","source_id":"ORG_UK_JUPITER","target_id":"GEO_H_LON","edge_type":"LOCATED_IN","directed":true,"notes":null},</t>
  </si>
  <si>
    <t xml:space="preserve">    {"edge_id":"E0910","source_id":"ORG_UK_JUPITER","target_id":"SEC_AM","edge_type":"IN_SECTOR","directed":true,"notes":null},</t>
  </si>
  <si>
    <t xml:space="preserve">    {"edge_id":"E0912","source_id":"ORG_UK_ROYALLONDON","target_id":"GEO_H_LON","edge_type":"LOCATED_IN","directed":true,"notes":null},</t>
  </si>
  <si>
    <t xml:space="preserve">    {"edge_id":"E0913","source_id":"ORG_UK_ROYALLONDON","target_id":"SEC_AM","edge_type":"IN_SECTOR","directed":true,"notes":null},</t>
  </si>
  <si>
    <t xml:space="preserve">    {"edge_id":"E0915","source_id":"ORG_UK_HL","target_id":"GEO_H_BRS","edge_type":"LOCATED_IN","directed":true,"notes":null},</t>
  </si>
  <si>
    <t xml:space="preserve">    {"edge_id":"E0916","source_id":"ORG_UK_HL","target_id":"SEC_AM","edge_type":"IN_SECTOR","directed":true,"notes":null},</t>
  </si>
  <si>
    <t xml:space="preserve">    {"edge_id":"E0918","source_id":"ORG_UK_LLOYDSMKT","target_id":"GEO_H_LON","edge_type":"LOCATED_IN","directed":true,"notes":null},</t>
  </si>
  <si>
    <t xml:space="preserve">    {"edge_id":"E0919","source_id":"ORG_UK_LLOYDSMKT","target_id":"SEC_INS","edge_type":"IN_SECTOR","directed":true,"notes":null},</t>
  </si>
  <si>
    <t xml:space="preserve">    {"edge_id":"E0921","source_id":"ORG_UK_AVIVA","target_id":"GEO_H_LON","edge_type":"LOCATED_IN","directed":true,"notes":null},</t>
  </si>
  <si>
    <t xml:space="preserve">    {"edge_id":"E0922","source_id":"ORG_UK_AVIVA","target_id":"SEC_INS","edge_type":"IN_SECTOR","directed":true,"notes":null},</t>
  </si>
  <si>
    <t xml:space="preserve">    {"edge_id":"E0924","source_id":"ORG_UK_PRUPLC","target_id":"GEO_H_LON","edge_type":"LOCATED_IN","directed":true,"notes":null},</t>
  </si>
  <si>
    <t xml:space="preserve">    {"edge_id":"E0925","source_id":"ORG_UK_PRUPLC","target_id":"SEC_INS","edge_type":"IN_SECTOR","directed":true,"notes":null},</t>
  </si>
  <si>
    <t xml:space="preserve">    {"edge_id":"E0927","source_id":"ORG_UK_ADMIRAL","target_id":"GEO_H_UKOTH","edge_type":"LOCATED_IN","directed":true,"notes":null},</t>
  </si>
  <si>
    <t xml:space="preserve">    {"edge_id":"E0928","source_id":"ORG_UK_ADMIRAL","target_id":"SEC_INS","edge_type":"IN_SECTOR","directed":true,"notes":null},</t>
  </si>
  <si>
    <t xml:space="preserve">    {"edge_id":"E0930","source_id":"ORG_UK_DLG","target_id":"GEO_H_LON","edge_type":"LOCATED_IN","directed":true,"notes":null},</t>
  </si>
  <si>
    <t xml:space="preserve">    {"edge_id":"E0931","source_id":"ORG_UK_DLG","target_id":"SEC_INS","edge_type":"IN_SECTOR","directed":true,"notes":null},</t>
  </si>
  <si>
    <t xml:space="preserve">    {"edge_id":"E0933","source_id":"ORG_UK_BEAZLEY","target_id":"GEO_H_LON","edge_type":"LOCATED_IN","directed":true,"notes":null},</t>
  </si>
  <si>
    <t xml:space="preserve">    {"edge_id":"E0934","source_id":"ORG_UK_BEAZLEY","target_id":"SEC_INS","edge_type":"IN_SECTOR","directed":true,"notes":null},</t>
  </si>
  <si>
    <t xml:space="preserve">    {"edge_id":"E0936","source_id":"ORG_UK_HISCOX","target_id":"GEO_H_LON","edge_type":"LOCATED_IN","directed":true,"notes":null},</t>
  </si>
  <si>
    <t xml:space="preserve">    {"edge_id":"E0937","source_id":"ORG_UK_HISCOX","target_id":"SEC_INS","edge_type":"IN_SECTOR","directed":true,"notes":null},</t>
  </si>
  <si>
    <t xml:space="preserve">    {"edge_id":"E0939","source_id":"ORG_UK_AON","target_id":"GEO_H_LON","edge_type":"LOCATED_IN","directed":true,"notes":null},</t>
  </si>
  <si>
    <t xml:space="preserve">    {"edge_id":"E0940","source_id":"ORG_UK_AON","target_id":"SEC_INS","edge_type":"IN_SECTOR","directed":true,"notes":null},</t>
  </si>
  <si>
    <t xml:space="preserve">    {"edge_id":"E0942","source_id":"ORG_UK_WTW","target_id":"GEO_H_LON","edge_type":"LOCATED_IN","directed":true,"notes":null},</t>
  </si>
  <si>
    <t xml:space="preserve">    {"edge_id":"E0943","source_id":"ORG_UK_WTW","target_id":"SEC_INS","edge_type":"IN_SECTOR","directed":true,"notes":null},</t>
  </si>
  <si>
    <t xml:space="preserve">    {"edge_id":"E0945","source_id":"ORG_UK_MARSH","target_id":"GEO_H_LON","edge_type":"LOCATED_IN","directed":true,"notes":null},</t>
  </si>
  <si>
    <t xml:space="preserve">    {"edge_id":"E0946","source_id":"ORG_UK_MARSH","target_id":"SEC_INS","edge_type":"IN_SECTOR","directed":true,"notes":null},</t>
  </si>
  <si>
    <t xml:space="preserve">    {"edge_id":"E0948","source_id":"ORG_UK_LSEG","target_id":"GEO_H_LON","edge_type":"LOCATED_IN","directed":true,"notes":null},</t>
  </si>
  <si>
    <t xml:space="preserve">    {"edge_id":"E0949","source_id":"ORG_UK_LSEG","target_id":"SEC_DATA","edge_type":"IN_SECTOR","directed":true,"notes":null},</t>
  </si>
  <si>
    <t xml:space="preserve">    {"edge_id":"E0951","source_id":"ORG_UK_BIG4","target_id":"GEO_H_LON","edge_type":"LOCATED_IN","directed":true,"notes":null},</t>
  </si>
  <si>
    <t xml:space="preserve">    {"edge_id":"E0952","source_id":"ORG_UK_BIG4","target_id":"SEC_CONS","edge_type":"IN_SECTOR","directed":true,"notes":null},</t>
  </si>
  <si>
    <t xml:space="preserve">    {"edge_id":"E0954","source_id":"ORG_UK_BIG4","target_id":"GEO_H_MAN","edge_type":"LOCATED_IN","directed":true,"notes":"Additional UK site for this programme"},</t>
  </si>
  <si>
    <t xml:space="preserve">    {"edge_id":"E0955","source_id":"ORG_UK_BIG4","target_id":"GEO_H_BHX","edge_type":"LOCATED_IN","directed":true,"notes":"Additional UK site for this programme"},</t>
  </si>
  <si>
    <t xml:space="preserve">    {"edge_id":"E0956","source_id":"ORG_UK_BIG4","target_id":"GEO_H_EDI","edge_type":"LOCATED_IN","directed":true,"notes":"Additional UK site for this programme"},</t>
  </si>
  <si>
    <t xml:space="preserve">    {"edge_id":"E0957","source_id":"ORG_UK_BIG4","target_id":"GEO_H_LDS","edge_type":"LOCATED_IN","directed":true,"notes":"Additional UK site for this programme"},</t>
  </si>
  <si>
    <t xml:space="preserve">    {"edge_id":"E0958","source_id":"ORG_UK_MBB","target_id":"GEO_H_LON","edge_type":"LOCATED_IN","directed":true,"notes":null},</t>
  </si>
  <si>
    <t xml:space="preserve">    {"edge_id":"E0959","source_id":"ORG_UK_MBB","target_id":"SEC_CONS","edge_type":"IN_SECTOR","directed":true,"notes":null},</t>
  </si>
  <si>
    <t xml:space="preserve">    {"edge_id":"E0961","source_id":"ORG_UK_MIDTIER","target_id":"GEO_H_LON","edge_type":"LOCATED_IN","directed":true,"notes":null},</t>
  </si>
  <si>
    <t xml:space="preserve">    {"edge_id":"E0962","source_id":"ORG_UK_MIDTIER","target_id":"SEC_CONS","edge_type":"IN_SECTOR","directed":true,"notes":null},</t>
  </si>
  <si>
    <t xml:space="preserve">    {"edge_id":"E0964","source_id":"ORG_GS","target_id":"GEO_H_LON","edge_type":"LOCATED_IN","directed":true,"notes":"London office - UK graduate/analyst intake"},</t>
  </si>
  <si>
    <t xml:space="preserve">    {"edge_id":"E0966","source_id":"ORG_MS","target_id":"GEO_H_LON","edge_type":"LOCATED_IN","directed":true,"notes":"London office - UK graduate/analyst intake"},</t>
  </si>
  <si>
    <t xml:space="preserve">    {"edge_id":"E0968","source_id":"ORG_JPM","target_id":"GEO_H_LON","edge_type":"LOCATED_IN","directed":true,"notes":"London office - UK graduate/analyst intake"},</t>
  </si>
  <si>
    <t xml:space="preserve">    {"edge_id":"E0970","source_id":"ORG_BAC","target_id":"GEO_H_LON","edge_type":"LOCATED_IN","directed":true,"notes":"London office - UK graduate/analyst intake"},</t>
  </si>
  <si>
    <t xml:space="preserve">    {"edge_id":"E0972","source_id":"ORG_CITI","target_id":"GEO_H_LON","edge_type":"LOCATED_IN","directed":true,"notes":"London office - UK graduate/analyst intake"},</t>
  </si>
  <si>
    <t xml:space="preserve">    {"edge_id":"E0974","source_id":"ORG_WFC","target_id":"GEO_H_LON","edge_type":"LOCATED_IN","directed":true,"notes":"London office - UK graduate/analyst intake"},</t>
  </si>
  <si>
    <t xml:space="preserve">    {"edge_id":"E0976","source_id":"ORG_LAZ","target_id":"GEO_H_LON","edge_type":"LOCATED_IN","directed":true,"notes":"London office - UK graduate/analyst intake"},</t>
  </si>
  <si>
    <t xml:space="preserve">    {"edge_id":"E0978","source_id":"ORG_JEF","target_id":"GEO_H_LON","edge_type":"LOCATED_IN","directed":true,"notes":"London office - UK graduate/analyst intake"},</t>
  </si>
  <si>
    <t xml:space="preserve">    {"edge_id":"E0980","source_id":"ORG_EVR","target_id":"GEO_H_LON","edge_type":"LOCATED_IN","directed":true,"notes":"London office - UK graduate/analyst intake"},</t>
  </si>
  <si>
    <t xml:space="preserve">    {"edge_id":"E0982","source_id":"ORG_MC","target_id":"GEO_H_LON","edge_type":"LOCATED_IN","directed":true,"notes":"London office - UK graduate/analyst intake"},</t>
  </si>
  <si>
    <t xml:space="preserve">    {"edge_id":"E0984","source_id":"ORG_PJT","target_id":"GEO_H_LON","edge_type":"LOCATED_IN","directed":true,"notes":"London office - UK graduate/analyst intake"},</t>
  </si>
  <si>
    <t xml:space="preserve">    {"edge_id":"E0986","source_id":"ORG_PWP","target_id":"GEO_H_LON","edge_type":"LOCATED_IN","directed":true,"notes":"London office - UK graduate/analyst intake"},</t>
  </si>
  <si>
    <t xml:space="preserve">    {"edge_id":"E0988","source_id":"ORG_HLI","target_id":"GEO_H_LON","edge_type":"LOCATED_IN","directed":true,"notes":"London office - UK graduate/analyst intake"},</t>
  </si>
  <si>
    <t xml:space="preserve">    {"edge_id":"E0990","source_id":"ORG_JS","target_id":"GEO_H_LON","edge_type":"LOCATED_IN","directed":true,"notes":"London office - UK graduate/analyst intake"},</t>
  </si>
  <si>
    <t xml:space="preserve">    {"edge_id":"E0992","source_id":"ORG_CITSEC","target_id":"GEO_H_LON","edge_type":"LOCATED_IN","directed":true,"notes":"London office - UK graduate/analyst intake"},</t>
  </si>
  <si>
    <t xml:space="preserve">    {"edge_id":"E0994","source_id":"ORG_2SIG","target_id":"GEO_H_LON","edge_type":"LOCATED_IN","directed":true,"notes":"London office - UK graduate/analyst intake"},</t>
  </si>
  <si>
    <t xml:space="preserve">    {"edge_id":"E0996","source_id":"ORG_JUMP","target_id":"GEO_H_LON","edge_type":"LOCATED_IN","directed":true,"notes":"London office - UK graduate/analyst intake"},</t>
  </si>
  <si>
    <t xml:space="preserve">    {"edge_id":"E0998","source_id":"ORG_DES","target_id":"GEO_H_LON","edge_type":"LOCATED_IN","directed":true,"notes":"London office - UK graduate/analyst intake"},</t>
  </si>
  <si>
    <t xml:space="preserve">    {"edge_id":"E1000","source_id":"ORG_BLK","target_id":"GEO_H_LON","edge_type":"LOCATED_IN","directed":true,"notes":"London office - UK graduate/analyst intake"},</t>
  </si>
  <si>
    <t xml:space="preserve">    {"edge_id":"E1002","source_id":"ORG_DB","target_id":"GEO_H_LON","edge_type":"LOCATED_IN","directed":true,"notes":"London office - UK graduate/analyst intake"},</t>
  </si>
  <si>
    <t xml:space="preserve">    {"edge_id":"E1004","source_id":"ORG_BNP","target_id":"GEO_H_LON","edge_type":"LOCATED_IN","directed":true,"notes":"London office - UK graduate/analyst intake"},</t>
  </si>
  <si>
    <t xml:space="preserve">    {"edge_id":"E1006","source_id":"ORG_SG","target_id":"GEO_H_LON","edge_type":"LOCATED_IN","directed":true,"notes":"London office - UK graduate/analyst intake"},</t>
  </si>
  <si>
    <t xml:space="preserve">    {"edge_id":"E1008","source_id":"ORG_NATIXIS","target_id":"GEO_H_LON","edge_type":"LOCATED_IN","directed":true,"notes":"London office - UK graduate/analyst intake"},</t>
  </si>
  <si>
    <t xml:space="preserve">    {"edge_id":"E1010","source_id":"ORG_UBS","target_id":"GEO_H_LON","edge_type":"LOCATED_IN","directed":true,"notes":"London office - UK graduate/analyst intake"},</t>
  </si>
  <si>
    <t xml:space="preserve">    {"edge_id":"E1012","source_id":"ORG_ING","target_id":"GEO_H_LON","edge_type":"LOCATED_IN","directed":true,"notes":"London office - UK graduate/analyst intake"},</t>
  </si>
  <si>
    <t xml:space="preserve">    {"edge_id":"E1014","source_id":"ORG_SAN","target_id":"GEO_H_LON","edge_type":"LOCATED_IN","directed":true,"notes":"London office - UK graduate/analyst intake"},</t>
  </si>
  <si>
    <t xml:space="preserve">    {"edge_id":"E1016","source_id":"ORG_BBVA","target_id":"GEO_H_LON","edge_type":"LOCATED_IN","directed":true,"notes":"London office - UK graduate/analyst intake"},</t>
  </si>
  <si>
    <t xml:space="preserve">    {"edge_id":"E1018","source_id":"ORG_UCG","target_id":"GEO_H_LON","edge_type":"LOCATED_IN","directed":true,"notes":"London office - UK graduate/analyst intake"},</t>
  </si>
  <si>
    <t xml:space="preserve">    {"edge_id":"E1020","source_id":"ORG_ISP","target_id":"GEO_H_LON","edge_type":"LOCATED_IN","directed":true,"notes":"London office - UK graduate/analyst intake"},</t>
  </si>
  <si>
    <t xml:space="preserve">    {"edge_id":"E1022","source_id":"ORG_BNY","target_id":"GEO_H_LON","edge_type":"LOCATED_IN","directed":true,"notes":"London office - UK graduate intake"},</t>
  </si>
  <si>
    <t xml:space="preserve">    {"edge_id":"E1024","source_id":"ORG_STT","target_id":"GEO_H_LON","edge_type":"LOCATED_IN","directed":true,"notes":"London office - UK graduate intake"},</t>
  </si>
  <si>
    <t xml:space="preserve">    {"edge_id":"E1026","source_id":"ORG_NTRS","target_id":"GEO_H_LON","edge_type":"LOCATED_IN","directed":true,"notes":"London office - UK graduate intake"},</t>
  </si>
  <si>
    <t xml:space="preserve">    {"edge_id":"E1028","source_id":"ORG_SPGI","target_id":"GEO_H_LON","edge_type":"LOCATED_IN","directed":true,"notes":"London office - UK graduate intake"},</t>
  </si>
  <si>
    <t xml:space="preserve">    {"edge_id":"E1030","source_id":"ORG_MCO","target_id":"GEO_H_LON","edge_type":"LOCATED_IN","directed":true,"notes":"London office - UK graduate intake"},</t>
  </si>
  <si>
    <t xml:space="preserve">    {"edge_id":"E1032","source_id":"ORG_FITCH","target_id":"GEO_H_LON","edge_type":"LOCATED_IN","directed":true,"notes":"London office - UK graduate intake"},</t>
  </si>
  <si>
    <t xml:space="preserve">    {"edge_id":"E1034","source_id":"ORG_MSCI","target_id":"GEO_H_LON","edge_type":"LOCATED_IN","directed":true,"notes":"London office - UK graduate intake"},</t>
  </si>
  <si>
    <t xml:space="preserve">    {"edge_id":"E1036","source_id":"ORG_BBG","target_id":"GEO_H_LON","edge_type":"LOCATED_IN","directed":true,"notes":"London office - UK graduate intake"},</t>
  </si>
  <si>
    <t xml:space="preserve">    {"edge_id":"E1038","source_id":"ORG_ICE","target_id":"GEO_H_LON","edge_type":"LOCATED_IN","directed":true,"notes":"London office - UK graduate intake"},</t>
  </si>
  <si>
    <t xml:space="preserve">    {"edge_id":"E1040","source_id":"ORG_NDAQ","target_id":"GEO_H_LON","edge_type":"LOCATED_IN","directed":true,"notes":"London office - UK graduate intake"},</t>
  </si>
  <si>
    <t xml:space="preserve">    {"edge_id":"E1042","source_id":"ORG_FDS","target_id":"GEO_H_LON","edge_type":"LOCATED_IN","directed":true,"notes":"London office - UK graduate intake"},</t>
  </si>
  <si>
    <t xml:space="preserve">    {"edge_id":"E1044","source_id":"ORG_MBB","target_id":"GEO_H_LON","edge_type":"LOCATED_IN","directed":true,"notes":"London office - UK graduate intake"},</t>
  </si>
  <si>
    <t xml:space="preserve">    {"edge_id":"E1046","source_id":"ORG_BIG4","target_id":"GEO_H_LON","edge_type":"LOCATED_IN","directed":true,"notes":"London office - UK graduate intake"},</t>
  </si>
  <si>
    <t xml:space="preserve">    {"edge_id":"E1048","source_id":"ORG_OW","target_id":"GEO_H_LON","edge_type":"LOCATED_IN","directed":true,"notes":"London office - UK graduate intake"},</t>
  </si>
  <si>
    <t xml:space="preserve">    {"edge_id":"E1050","source_id":"ORG_ACN","target_id":"GEO_H_LON","edge_type":"LOCATED_IN","directed":true,"notes":"London office - UK graduate intake"},</t>
  </si>
  <si>
    <t xml:space="preserve">    {"edge_id":"E1055","source_id":"ORG_UK_ROTH","target_id":"ORG_ROTH_US","edge_type":"PARENT_OF","directed":true,"notes":"UK group parent of the US entity"},</t>
  </si>
  <si>
    <t xml:space="preserve">    {"edge_id":"E1056","source_id":"ORG_DB","target_id":"ORG_UK_NUMIS","edge_type":"PARENT_OF","directed":true,"notes":"Deutsche Numis is Deutsche Bank's UK broker/advisory arm"},</t>
  </si>
  <si>
    <t xml:space="preserve">    {"edge_id":"E1057","source_id":"ORG_SAN","target_id":"ORG_UK_SANUK","edge_type":"PARENT_OF","directed":true,"notes":null},</t>
  </si>
  <si>
    <t>JSON EXPORT (sheet: JSON)</t>
  </si>
  <si>
    <t>What it is</t>
  </si>
  <si>
    <t>A ready-to-use JSON document containing only the nodes and edges: {"nodes":[...],"edges":[...]}. One JSON line per spreadsheet cell down column A, so the whole thing is valid JSON when the column is copied out.</t>
  </si>
  <si>
    <t>How to use it</t>
  </si>
  <si>
    <t>Select column A on the JSON sheet, copy, paste into a text editor, save with a .json extension. Nothing else is on that sheet, so the paste needs no cleaning up.</t>
  </si>
  <si>
    <t>Important</t>
  </si>
  <si>
    <t>It is a point-in-time snapshot, not a formula. It does NOT track changes to the Nodes and Edges tables - ask for it to be regenerated after any edit. Keys that were empty on every row (cycle_timing, lead_time_months, edge weight) are omitted.</t>
  </si>
  <si>
    <t>GEO_R_APAC</t>
  </si>
  <si>
    <t>Asia-Pacific (ex-China)</t>
  </si>
  <si>
    <t>Added beyond the source document, which covers five regions only</t>
  </si>
  <si>
    <t>GEO_R_ME</t>
  </si>
  <si>
    <t>Middle East</t>
  </si>
  <si>
    <t>GEO_R_CANADA</t>
  </si>
  <si>
    <t>Canada</t>
  </si>
  <si>
    <t>GEO_C_SG</t>
  </si>
  <si>
    <t>Singapore</t>
  </si>
  <si>
    <t>GEO_C_JP</t>
  </si>
  <si>
    <t>Japan</t>
  </si>
  <si>
    <t>GEO_C_AU</t>
  </si>
  <si>
    <t>Australia</t>
  </si>
  <si>
    <t>GEO_C_AE</t>
  </si>
  <si>
    <t>United Arab Emirates</t>
  </si>
  <si>
    <t>GEO_C_CA</t>
  </si>
  <si>
    <t>GEO_H_SIN</t>
  </si>
  <si>
    <t>GEO_H_TYO</t>
  </si>
  <si>
    <t>Tokyo</t>
  </si>
  <si>
    <t>GEO_H_SYD</t>
  </si>
  <si>
    <t>Sydney</t>
  </si>
  <si>
    <t>GEO_H_AUOTH</t>
  </si>
  <si>
    <t>Other Australia</t>
  </si>
  <si>
    <t>Melbourne / Brisbane / Perth / Gold Coast - Macquarie runs its graduate intake across these alongside Sydney</t>
  </si>
  <si>
    <t>GEO_H_DXB</t>
  </si>
  <si>
    <t>Dubai</t>
  </si>
  <si>
    <t>GEO_H_AUH</t>
  </si>
  <si>
    <t>Abu Dhabi</t>
  </si>
  <si>
    <t>Added beyond the five hubs requested: the UAE's largest graduate employers (FAB, ADIA, Mubadala, the central bank) are Abu Dhabi-based, and placing them in Dubai would be wrong</t>
  </si>
  <si>
    <t>GEO_H_YYZ</t>
  </si>
  <si>
    <t>Toronto</t>
  </si>
  <si>
    <t>GEO_H_CAOTH</t>
  </si>
  <si>
    <t>Other Canada</t>
  </si>
  <si>
    <t>Montreal / Ottawa - RBC runs a Montreal new-grad programme and the Bank of Canada is Ottawa-based</t>
  </si>
  <si>
    <t>E1059</t>
  </si>
  <si>
    <t>E1060</t>
  </si>
  <si>
    <t>E1061</t>
  </si>
  <si>
    <t>E1062</t>
  </si>
  <si>
    <t>E1063</t>
  </si>
  <si>
    <t>E1064</t>
  </si>
  <si>
    <t>E1065</t>
  </si>
  <si>
    <t>E1066</t>
  </si>
  <si>
    <t>E1067</t>
  </si>
  <si>
    <t>E1068</t>
  </si>
  <si>
    <t>E1069</t>
  </si>
  <si>
    <t>E1070</t>
  </si>
  <si>
    <t>E1071</t>
  </si>
  <si>
    <t>MECH_APAC_SCHEME</t>
  </si>
  <si>
    <t>Graduate / management associate scheme, Asia-Pacific hubs</t>
  </si>
  <si>
    <t>MECH_JP_SHINSOTSU</t>
  </si>
  <si>
    <t>Simultaneous mass recruitment of new graduates (shinsotsu), April start - Japanese banks hire very large annual cohorts</t>
  </si>
  <si>
    <t>MECH_AU_GRAD</t>
  </si>
  <si>
    <t>Australian graduate program, February start; typically restricted to AU/NZ citizens and AU permanent residents</t>
  </si>
  <si>
    <t>MECH_ME_NATIONAL</t>
  </si>
  <si>
    <t>National-talent programme (Emiratisation) - nationality-restricted, so cohorts are small relative to bank size</t>
  </si>
  <si>
    <t>MECH_CA_ROTATIONAL</t>
  </si>
  <si>
    <t>Canadian new-grad rotational program, summer-internship fed</t>
  </si>
  <si>
    <t>ORG_SG_DBS</t>
  </si>
  <si>
    <t>DBS Bank</t>
  </si>
  <si>
    <t>Tier 1 domestic (Singapore)</t>
  </si>
  <si>
    <t>Management Associate Programme; Graduate Associate Programme (Ops, 2-year); SEED Programme (12-month technology)</t>
  </si>
  <si>
    <t>Largest Singapore bank; Management Associates based in Singapore with overseas postings via the HIPO programme</t>
  </si>
  <si>
    <t>ORG_SG_OCBC</t>
  </si>
  <si>
    <t>OCBC</t>
  </si>
  <si>
    <t>Graduate Talent Programme (24-month structured, across bank divisions)</t>
  </si>
  <si>
    <t>Singapore's longest-established bank (1932). Programme detail from an aggregator listing, not the bank's own site</t>
  </si>
  <si>
    <t>ORG_SG_UOB</t>
  </si>
  <si>
    <t>UOB</t>
  </si>
  <si>
    <t>Management Associate / graduate programme</t>
  </si>
  <si>
    <t>ORG_SG_GIC</t>
  </si>
  <si>
    <t>GIC</t>
  </si>
  <si>
    <t>Sovereign wealth fund</t>
  </si>
  <si>
    <t>Analyst / graduate programme</t>
  </si>
  <si>
    <t>Manages Singapore's foreign reserves; no equivalent institution type elsewhere in the dataset except ADIA/Mubadala</t>
  </si>
  <si>
    <t>ORG_SG_TEMASEK</t>
  </si>
  <si>
    <t>Temasek</t>
  </si>
  <si>
    <t>State investment company</t>
  </si>
  <si>
    <t>Associate / graduate programme</t>
  </si>
  <si>
    <t>ORG_SG_MAS</t>
  </si>
  <si>
    <t>Monetary Authority of Singapore</t>
  </si>
  <si>
    <t>Central bank and integrated regulator</t>
  </si>
  <si>
    <t>Graduate / scholarship-linked entry</t>
  </si>
  <si>
    <t>Unusual in this dataset: single body combining central bank and full financial regulator</t>
  </si>
  <si>
    <t>ORG_SG_SGX</t>
  </si>
  <si>
    <t>Singapore Exchange (SGX)</t>
  </si>
  <si>
    <t>Exchange</t>
  </si>
  <si>
    <t>ORG_SG_GE</t>
  </si>
  <si>
    <t>Great Eastern</t>
  </si>
  <si>
    <t>Management associate / graduate</t>
  </si>
  <si>
    <t>ORG_SG_INCOME</t>
  </si>
  <si>
    <t>Income Insurance</t>
  </si>
  <si>
    <t>Graduate / management trainee</t>
  </si>
  <si>
    <t>ORG_JP_MUFG</t>
  </si>
  <si>
    <t>MUFG (Mitsubishi UFJ Financial Group)</t>
  </si>
  <si>
    <t>Megabank</t>
  </si>
  <si>
    <t>Shinsotsu new-graduate recruitment, April intake</t>
  </si>
  <si>
    <t>One of Japan's three megabanks; very large annual cohorts</t>
  </si>
  <si>
    <t>ORG_JP_SMBC</t>
  </si>
  <si>
    <t>Sumitomo Mitsui Financial Group (SMBC)</t>
  </si>
  <si>
    <t>ORG_JP_MIZUHO</t>
  </si>
  <si>
    <t>Mizuho Financial Group</t>
  </si>
  <si>
    <t>ORG_JP_NOMURA</t>
  </si>
  <si>
    <t>Nomura</t>
  </si>
  <si>
    <t>Job-specific new-graduate recruitment (fully transitioned April 2025); 5-day internships and 1-day workshops</t>
  </si>
  <si>
    <t>~1,500 people participated in work-experience programmes in FY2023/24</t>
  </si>
  <si>
    <t>ORG_JP_DAIWA</t>
  </si>
  <si>
    <t>Daiwa Securities</t>
  </si>
  <si>
    <t>Shinsotsu new-graduate recruitment</t>
  </si>
  <si>
    <t>ORG_JP_JAPANPOST</t>
  </si>
  <si>
    <t>Japan Post Bank</t>
  </si>
  <si>
    <t>State-linked retail bank</t>
  </si>
  <si>
    <t>ORG_JP_BOJ</t>
  </si>
  <si>
    <t>Bank of Japan</t>
  </si>
  <si>
    <t>ORG_JP_NIPPONLIFE</t>
  </si>
  <si>
    <t>Nippon Life</t>
  </si>
  <si>
    <t>ORG_JP_TOKIOMARINE</t>
  </si>
  <si>
    <t>Tokio Marine</t>
  </si>
  <si>
    <t>P&amp;C insurer</t>
  </si>
  <si>
    <t>ORG_JP_GPIF</t>
  </si>
  <si>
    <t>Government Pension Investment Fund (GPIF)</t>
  </si>
  <si>
    <t>State pension fund</t>
  </si>
  <si>
    <t>Limited specialist intake</t>
  </si>
  <si>
    <t>World's largest pension fund by assets but a very small headcount</t>
  </si>
  <si>
    <t>ORG_JP_JPX</t>
  </si>
  <si>
    <t>Japan Exchange Group</t>
  </si>
  <si>
    <t>E1072</t>
  </si>
  <si>
    <t>E1073</t>
  </si>
  <si>
    <t>E1075</t>
  </si>
  <si>
    <t>E1076</t>
  </si>
  <si>
    <t>E1078</t>
  </si>
  <si>
    <t>E1079</t>
  </si>
  <si>
    <t>E1081</t>
  </si>
  <si>
    <t>E1082</t>
  </si>
  <si>
    <t>E1084</t>
  </si>
  <si>
    <t>E1085</t>
  </si>
  <si>
    <t>E1087</t>
  </si>
  <si>
    <t>E1088</t>
  </si>
  <si>
    <t>E1090</t>
  </si>
  <si>
    <t>E1091</t>
  </si>
  <si>
    <t>E1093</t>
  </si>
  <si>
    <t>E1094</t>
  </si>
  <si>
    <t>E1096</t>
  </si>
  <si>
    <t>E1097</t>
  </si>
  <si>
    <t>E1099</t>
  </si>
  <si>
    <t>E1100</t>
  </si>
  <si>
    <t>E1102</t>
  </si>
  <si>
    <t>E1103</t>
  </si>
  <si>
    <t>E1105</t>
  </si>
  <si>
    <t>E1106</t>
  </si>
  <si>
    <t>E1108</t>
  </si>
  <si>
    <t>E1109</t>
  </si>
  <si>
    <t>E1111</t>
  </si>
  <si>
    <t>E1112</t>
  </si>
  <si>
    <t>E1114</t>
  </si>
  <si>
    <t>E1115</t>
  </si>
  <si>
    <t>E1117</t>
  </si>
  <si>
    <t>E1118</t>
  </si>
  <si>
    <t>E1120</t>
  </si>
  <si>
    <t>E1121</t>
  </si>
  <si>
    <t>E1123</t>
  </si>
  <si>
    <t>E1124</t>
  </si>
  <si>
    <t>E1126</t>
  </si>
  <si>
    <t>E1127</t>
  </si>
  <si>
    <t>E1129</t>
  </si>
  <si>
    <t>E1130</t>
  </si>
  <si>
    <t>ORG_AU_MQG</t>
  </si>
  <si>
    <t>Macquarie Group</t>
  </si>
  <si>
    <t>Global investment bank (Australian heritage)</t>
  </si>
  <si>
    <t>Graduate Program (12-24 months, orientation at Sydney global HQ); Summer Internship Program (Dec-Jan, 10-12 weeks)</t>
  </si>
  <si>
    <t>Eligibility restricted to Australian citizens, New Zealand citizens or Australian permanent residents. 2027 intake advertised across Sydney, Melbourne, Perth, Brisbane and the Gold Coast</t>
  </si>
  <si>
    <t>ORG_AU_CBA</t>
  </si>
  <si>
    <t>Commonwealth Bank of Australia</t>
  </si>
  <si>
    <t>Big Four Australian bank</t>
  </si>
  <si>
    <t>Graduate Program</t>
  </si>
  <si>
    <t>ORG_AU_WBC</t>
  </si>
  <si>
    <t>Westpac</t>
  </si>
  <si>
    <t>ORG_AU_NAB</t>
  </si>
  <si>
    <t>National Australia Bank</t>
  </si>
  <si>
    <t>Melbourne-headquartered</t>
  </si>
  <si>
    <t>ORG_AU_ANZ</t>
  </si>
  <si>
    <t>ANZ</t>
  </si>
  <si>
    <t>ORG_AU_RBA</t>
  </si>
  <si>
    <t>Reserve Bank of Australia</t>
  </si>
  <si>
    <t>Graduate Development Program</t>
  </si>
  <si>
    <t>ORG_AU_QBE</t>
  </si>
  <si>
    <t>QBE Insurance</t>
  </si>
  <si>
    <t>Global P&amp;C insurer</t>
  </si>
  <si>
    <t>ORG_AU_SUN</t>
  </si>
  <si>
    <t>Suncorp</t>
  </si>
  <si>
    <t>Insurer / bank</t>
  </si>
  <si>
    <t>Brisbane-headquartered</t>
  </si>
  <si>
    <t>ORG_AU_ASX</t>
  </si>
  <si>
    <t>ASX</t>
  </si>
  <si>
    <t>ORG_AU_FUTUREFUND</t>
  </si>
  <si>
    <t>Future Fund</t>
  </si>
  <si>
    <t>Analyst / graduate</t>
  </si>
  <si>
    <t>Melbourne-based; very small headcount relative to assets</t>
  </si>
  <si>
    <t>ORG_AU_AMP</t>
  </si>
  <si>
    <t>AMP</t>
  </si>
  <si>
    <t>Wealth manager</t>
  </si>
  <si>
    <t>ORG_AE_FAB</t>
  </si>
  <si>
    <t>First Abu Dhabi Bank</t>
  </si>
  <si>
    <t>Largest UAE bank</t>
  </si>
  <si>
    <t>Ethraa Programme (8-12 months; high-potential Emirati fresh graduates)</t>
  </si>
  <si>
    <t>8-12</t>
  </si>
  <si>
    <t>Sponsored by the Central Bank of the UAE and the Emirates Institute of Finance. Structured learning journey, international qualifications, hands-on projects, coaching; completion leads to senior-track progression. Restricted to UAE nationals</t>
  </si>
  <si>
    <t>ORG_AE_ENBD</t>
  </si>
  <si>
    <t>Emirates NBD</t>
  </si>
  <si>
    <t>Dubai's largest bank</t>
  </si>
  <si>
    <t>National-talent graduate programme</t>
  </si>
  <si>
    <t>ORG_AE_ADCB</t>
  </si>
  <si>
    <t>Abu Dhabi Commercial Bank</t>
  </si>
  <si>
    <t>UAE bank</t>
  </si>
  <si>
    <t>ORG_AE_MASHREQ</t>
  </si>
  <si>
    <t>Mashreq</t>
  </si>
  <si>
    <t>Graduate / national-talent programme</t>
  </si>
  <si>
    <t>ORG_AE_DIB</t>
  </si>
  <si>
    <t>Dubai Islamic Bank</t>
  </si>
  <si>
    <t>Islamic bank</t>
  </si>
  <si>
    <t>Islamic finance is a sector specialism with no counterpart elsewhere in the dataset</t>
  </si>
  <si>
    <t>ORG_AE_ADIB</t>
  </si>
  <si>
    <t>Abu Dhabi Islamic Bank</t>
  </si>
  <si>
    <t>ORG_AE_ADIA</t>
  </si>
  <si>
    <t>Abu Dhabi Investment Authority (ADIA)</t>
  </si>
  <si>
    <t>Graduate / analyst development</t>
  </si>
  <si>
    <t>One of the world's largest sovereign investors</t>
  </si>
  <si>
    <t>ORG_AE_MUBADALA</t>
  </si>
  <si>
    <t>Mubadala</t>
  </si>
  <si>
    <t>Sovereign investor</t>
  </si>
  <si>
    <t>Mubadala Youth / graduate programmes</t>
  </si>
  <si>
    <t>ORG_AE_CBUAE</t>
  </si>
  <si>
    <t>Central Bank of the UAE</t>
  </si>
  <si>
    <t>National-talent graduate programmes</t>
  </si>
  <si>
    <t>Co-sponsor of FAB's Ethraa Programme - a regulator directly underwriting a commercial bank's graduate scheme, which has no parallel elsewhere in this dataset</t>
  </si>
  <si>
    <t>ORG_AE_DFM</t>
  </si>
  <si>
    <t>Dubai Financial Market</t>
  </si>
  <si>
    <t>ORG_CA_RBC</t>
  </si>
  <si>
    <t>RBC (Royal Bank of Canada)</t>
  </si>
  <si>
    <t>Big Five Canadian bank</t>
  </si>
  <si>
    <t>Graduate Rotational Program (24 months, four 6-month rotations); Summer Internship Program as pipeline; Capital Markets Global Investment Banking and Global Markets Programs; 30-month CPA program; Indigenous Peoples Development Program</t>
  </si>
  <si>
    <t>Canada's largest bank. Graduate programmes also run in the UK, Ireland, Luxembourg and Malaysia, so this node understates its global intake</t>
  </si>
  <si>
    <t>ORG_CA_TD</t>
  </si>
  <si>
    <t>TD Bank Group</t>
  </si>
  <si>
    <t>Graduate / rotational programs</t>
  </si>
  <si>
    <t>ORG_CA_SCOTIA</t>
  </si>
  <si>
    <t>Scotiabank</t>
  </si>
  <si>
    <t>ORG_CA_BMO</t>
  </si>
  <si>
    <t>BMO</t>
  </si>
  <si>
    <t>ORG_CA_CIBC</t>
  </si>
  <si>
    <t>CIBC</t>
  </si>
  <si>
    <t>ORG_CA_MFC</t>
  </si>
  <si>
    <t>Manulife</t>
  </si>
  <si>
    <t>Graduate / actuarial programs</t>
  </si>
  <si>
    <t>ORG_CA_SLF</t>
  </si>
  <si>
    <t>Sun Life</t>
  </si>
  <si>
    <t>ORG_CA_CPPIB</t>
  </si>
  <si>
    <t>CPP Investments</t>
  </si>
  <si>
    <t>National pension investment manager</t>
  </si>
  <si>
    <t>Analyst / rotational programs</t>
  </si>
  <si>
    <t>ORG_CA_OTPP</t>
  </si>
  <si>
    <t>Ontario Teachers' Pension Plan</t>
  </si>
  <si>
    <t>Pension investment manager</t>
  </si>
  <si>
    <t>ORG_CA_BN</t>
  </si>
  <si>
    <t>Brookfield</t>
  </si>
  <si>
    <t>Alternative asset manager</t>
  </si>
  <si>
    <t>Analyst program</t>
  </si>
  <si>
    <t>ORG_CA_TMX</t>
  </si>
  <si>
    <t>TMX Group</t>
  </si>
  <si>
    <t>ORG_CA_BOC</t>
  </si>
  <si>
    <t>Bank of Canada</t>
  </si>
  <si>
    <t>Graduate / economist programs</t>
  </si>
  <si>
    <t>Ottawa-based</t>
  </si>
  <si>
    <t>E1132</t>
  </si>
  <si>
    <t>E1133</t>
  </si>
  <si>
    <t>E1135</t>
  </si>
  <si>
    <t>E1136</t>
  </si>
  <si>
    <t>E1138</t>
  </si>
  <si>
    <t>E1139</t>
  </si>
  <si>
    <t>E1141</t>
  </si>
  <si>
    <t>E1142</t>
  </si>
  <si>
    <t>E1144</t>
  </si>
  <si>
    <t>E1145</t>
  </si>
  <si>
    <t>E1147</t>
  </si>
  <si>
    <t>E1148</t>
  </si>
  <si>
    <t>E1150</t>
  </si>
  <si>
    <t>E1151</t>
  </si>
  <si>
    <t>E1153</t>
  </si>
  <si>
    <t>E1154</t>
  </si>
  <si>
    <t>E1156</t>
  </si>
  <si>
    <t>E1157</t>
  </si>
  <si>
    <t>E1159</t>
  </si>
  <si>
    <t>E1160</t>
  </si>
  <si>
    <t>E1162</t>
  </si>
  <si>
    <t>E1163</t>
  </si>
  <si>
    <t>E1165</t>
  </si>
  <si>
    <t>E1166</t>
  </si>
  <si>
    <t>E1168</t>
  </si>
  <si>
    <t>E1169</t>
  </si>
  <si>
    <t>E1171</t>
  </si>
  <si>
    <t>E1172</t>
  </si>
  <si>
    <t>E1174</t>
  </si>
  <si>
    <t>E1175</t>
  </si>
  <si>
    <t>E1177</t>
  </si>
  <si>
    <t>E1178</t>
  </si>
  <si>
    <t>E1180</t>
  </si>
  <si>
    <t>E1181</t>
  </si>
  <si>
    <t>E1183</t>
  </si>
  <si>
    <t>E1184</t>
  </si>
  <si>
    <t>E1186</t>
  </si>
  <si>
    <t>E1187</t>
  </si>
  <si>
    <t>E1189</t>
  </si>
  <si>
    <t>E1190</t>
  </si>
  <si>
    <t>E1192</t>
  </si>
  <si>
    <t>E1193</t>
  </si>
  <si>
    <t>E1195</t>
  </si>
  <si>
    <t>E1196</t>
  </si>
  <si>
    <t>E1198</t>
  </si>
  <si>
    <t>E1199</t>
  </si>
  <si>
    <t>E1201</t>
  </si>
  <si>
    <t>E1202</t>
  </si>
  <si>
    <t>E1204</t>
  </si>
  <si>
    <t>E1205</t>
  </si>
  <si>
    <t>E1207</t>
  </si>
  <si>
    <t>E1208</t>
  </si>
  <si>
    <t>E1210</t>
  </si>
  <si>
    <t>E1211</t>
  </si>
  <si>
    <t>E1213</t>
  </si>
  <si>
    <t>E1214</t>
  </si>
  <si>
    <t>E1216</t>
  </si>
  <si>
    <t>E1217</t>
  </si>
  <si>
    <t>E1219</t>
  </si>
  <si>
    <t>E1220</t>
  </si>
  <si>
    <t>E1222</t>
  </si>
  <si>
    <t>E1223</t>
  </si>
  <si>
    <t>E1225</t>
  </si>
  <si>
    <t>E1226</t>
  </si>
  <si>
    <t>E1228</t>
  </si>
  <si>
    <t>E1229</t>
  </si>
  <si>
    <t>E1230</t>
  </si>
  <si>
    <t>Singapore site - APAC graduate/analyst intake</t>
  </si>
  <si>
    <t>E1231</t>
  </si>
  <si>
    <t>E1232</t>
  </si>
  <si>
    <t>E1233</t>
  </si>
  <si>
    <t>E1234</t>
  </si>
  <si>
    <t>E1235</t>
  </si>
  <si>
    <t>E1236</t>
  </si>
  <si>
    <t>E1237</t>
  </si>
  <si>
    <t>E1238</t>
  </si>
  <si>
    <t>E1239</t>
  </si>
  <si>
    <t>E1240</t>
  </si>
  <si>
    <t>E1241</t>
  </si>
  <si>
    <t>E1242</t>
  </si>
  <si>
    <t>E1243</t>
  </si>
  <si>
    <t>E1244</t>
  </si>
  <si>
    <t>E1245</t>
  </si>
  <si>
    <t>E1246</t>
  </si>
  <si>
    <t>E1247</t>
  </si>
  <si>
    <t>E1248</t>
  </si>
  <si>
    <t>E1249</t>
  </si>
  <si>
    <t>E1250</t>
  </si>
  <si>
    <t>E1251</t>
  </si>
  <si>
    <t>E1252</t>
  </si>
  <si>
    <t>E1253</t>
  </si>
  <si>
    <t>E1254</t>
  </si>
  <si>
    <t>Tokyo site - Japan analyst intake, run separately from domestic shinsotsu hiring</t>
  </si>
  <si>
    <t>E1255</t>
  </si>
  <si>
    <t>E1256</t>
  </si>
  <si>
    <t>E1257</t>
  </si>
  <si>
    <t>E1258</t>
  </si>
  <si>
    <t>E1259</t>
  </si>
  <si>
    <t>E1260</t>
  </si>
  <si>
    <t>E1261</t>
  </si>
  <si>
    <t>E1262</t>
  </si>
  <si>
    <t>E1263</t>
  </si>
  <si>
    <t>E1264</t>
  </si>
  <si>
    <t>E1265</t>
  </si>
  <si>
    <t>E1266</t>
  </si>
  <si>
    <t>E1267</t>
  </si>
  <si>
    <t>E1268</t>
  </si>
  <si>
    <t>E1269</t>
  </si>
  <si>
    <t>E1270</t>
  </si>
  <si>
    <t>Sydney site - Australian graduate intake</t>
  </si>
  <si>
    <t>E1271</t>
  </si>
  <si>
    <t>E1272</t>
  </si>
  <si>
    <t>E1273</t>
  </si>
  <si>
    <t>E1274</t>
  </si>
  <si>
    <t>E1275</t>
  </si>
  <si>
    <t>E1276</t>
  </si>
  <si>
    <t>E1277</t>
  </si>
  <si>
    <t>E1278</t>
  </si>
  <si>
    <t>E1279</t>
  </si>
  <si>
    <t>E1280</t>
  </si>
  <si>
    <t>E1281</t>
  </si>
  <si>
    <t>E1282</t>
  </si>
  <si>
    <t>E1283</t>
  </si>
  <si>
    <t>Dubai / DIFC site - Middle East analyst intake</t>
  </si>
  <si>
    <t>E1284</t>
  </si>
  <si>
    <t>E1285</t>
  </si>
  <si>
    <t>E1286</t>
  </si>
  <si>
    <t>E1287</t>
  </si>
  <si>
    <t>E1288</t>
  </si>
  <si>
    <t>E1289</t>
  </si>
  <si>
    <t>E1290</t>
  </si>
  <si>
    <t>E1291</t>
  </si>
  <si>
    <t>E1292</t>
  </si>
  <si>
    <t>E1293</t>
  </si>
  <si>
    <t>E1294</t>
  </si>
  <si>
    <t>E1295</t>
  </si>
  <si>
    <t>E1296</t>
  </si>
  <si>
    <t>E1297</t>
  </si>
  <si>
    <t>E1298</t>
  </si>
  <si>
    <t>Toronto site - Canadian new-grad intake</t>
  </si>
  <si>
    <t>E1299</t>
  </si>
  <si>
    <t>E1300</t>
  </si>
  <si>
    <t>E1301</t>
  </si>
  <si>
    <t>E1302</t>
  </si>
  <si>
    <t>E1303</t>
  </si>
  <si>
    <t>E1304</t>
  </si>
  <si>
    <t>E1305</t>
  </si>
  <si>
    <t>E1306</t>
  </si>
  <si>
    <t>E1307</t>
  </si>
  <si>
    <t>E1308</t>
  </si>
  <si>
    <t>E1309</t>
  </si>
  <si>
    <t>E1310</t>
  </si>
  <si>
    <t>E1311</t>
  </si>
  <si>
    <t>E1312</t>
  </si>
  <si>
    <t>E1313</t>
  </si>
  <si>
    <t>E1314</t>
  </si>
  <si>
    <t>CHANGE LOG — ASIA-PACIFIC, MIDDLE EAST AND CANADA ADDED</t>
  </si>
  <si>
    <t>What was added</t>
  </si>
  <si>
    <t>Three regions beyond the source document (Asia-Pacific ex-China, Middle East, Canada), 5 countries, 8 hubs and 53 organisations, plus 85 site edges putting existing multinationals into the new hubs. Node count 336 to 405; edge count 676 to 880.</t>
  </si>
  <si>
    <t>The five hubs requested</t>
  </si>
  <si>
    <t>Singapore, Tokyo, Sydney, Dubai and Toronto. Three extra hubs were added out of necessity: Abu Dhabi (the UAE's largest graduate employers - FAB, ADIA, Mubadala, the central bank - are Abu Dhabi-based, so placing them in Dubai would be factually wrong), Other Australia (Macquarie, NAB, ANZ and Suncorp are Melbourne/Brisbane-based) and Other Canada (the Bank of Canada is in Ottawa).</t>
  </si>
  <si>
    <t>DBS (Singapore), Nomura (Tokyo), Macquarie (Sydney), First Abu Dhabi Bank (Abu Dhabi) and RBC (Toronto). URLs are attached as cell notes on the programme, length and notes columns of those five rows. The remaining 48 are [Note] - plausible recruiters not verified to a primary source.</t>
  </si>
  <si>
    <t>New mechanisms</t>
  </si>
  <si>
    <t>Five entries added to the Assumptions mechanism grid: MECH_APAC_SCHEME (1.0), MECH_JP_SHINSOTSU (2.0), MECH_AU_GRAD (1.0), MECH_ME_NATIONAL (0.6), MECH_CA_ROTATIONAL (1.0). The estimate formula's lookup range was widened from B30:B42 to B30:B50 to reach them.</t>
  </si>
  <si>
    <t>Two structural features with no counterpart elsewhere</t>
  </si>
  <si>
    <t>Japanese shinsotsu (simultaneous mass recruitment of new graduates with an April start, cycle beginning about a year before March graduation) is weighted 2.0 and makes Japan the second-largest modelled intake after China. Emiratisation means UAE graduate schemes are nationality-restricted, so they are weighted 0.6 - FAB's Ethraa Programme is co-sponsored by the Central Bank of the UAE, a regulator directly underwriting a commercial bank's graduate scheme.</t>
  </si>
  <si>
    <t>Also new as institution types</t>
  </si>
  <si>
    <t>Sovereign wealth and state investment funds (GIC, Temasek, ADIA, Mubadala, Future Fund, GPIF, CPP Investments, Ontario Teachers') and Islamic banks (Dubai Islamic Bank, Abu Dhabi Islamic Bank). Neither appears anywhere in the original five regions.</t>
  </si>
  <si>
    <t>Still absent</t>
  </si>
  <si>
    <t>Hong Kong, Seoul, Mumbai's offshore rivals in Kuala Lumpur and Jakarta, Riyadh, Johannesburg and Sao Paulo's regional peers. Hong Kong is the most significant omission: it carries APAC graduate intake comparable to Singapore's for most global banks.</t>
  </si>
  <si>
    <t xml:space="preserve">    {"node_id":"ORG_UK_MIDTIER","label":"Grant Thornton / BDO / RSM (UK)","node_type":"Organisation","region":"United Kingdom","country":"United Kingdom","hub_city":"London","sector":"Consulting / Professional Services","subsector_tier":"Mid-tier accountancy","entry_mechanism_id":"MECH_UK_SCHEME","program_name":"Graduate schemes","program_length_months":null,"org_size_band":"Large","size_basis":"inferred - coarse band, verify","annual_intake_low":null,"annual_intake_high":null,"applications_per_cycle":null,"intake_estimate_central":360,"intake_estimate_basis":"Large base x 3.0 sector x 1.0 mechanism","confirmation_status":"[Note]","data_confidence":"Low","geo_source":"research","notes":"Grouped"},</t>
  </si>
  <si>
    <t xml:space="preserve">    {"node_id":"GEO_R_APAC","label":"Asia-Pacific (ex-China)","node_type":"Region","region":"Asia-Pacific (ex-China)","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Added beyond the source document, which covers five regions only"},</t>
  </si>
  <si>
    <t xml:space="preserve">    {"node_id":"GEO_R_ME","label":"Middle East","node_type":"Region","region":"Middle East","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Added beyond the source document, which covers five regions only"},</t>
  </si>
  <si>
    <t xml:space="preserve">    {"node_id":"GEO_R_CANADA","label":"Canada","node_type":"Region","region":"Canada","country":null,"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Added beyond the source document, which covers five regions only"},</t>
  </si>
  <si>
    <t xml:space="preserve">    {"node_id":"GEO_C_SG","label":"Singapore","node_type":"Country","region":"Asia-Pacific (ex-China)","country":"Singapore","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</si>
  <si>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{"node_id":"GEO_C_JP","label":"Japan","node_type":"Country","region":"Asia-Pacific (ex-China)","country":"Japan","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</si>
  <si>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{"node_id":"GEO_C_AU","label":"Australia","node_type":"Country","region":"Asia-Pacific (ex-China)","country":"Australia","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</si>
  <si>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{"node_id":"GEO_C_AE","label":"United Arab Emirates","node_type":"Country","region":"Middle East","country":"United Arab Emirates","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</si>
  <si>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C_CA","label":"Canada","node_type":"Country","region":"Canada","country":"Canada","hub_city":null,"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null,"notes":null},</t>
  </si>
  <si>
    <t xml:space="preserve">    {"node_id":"GEO_H_SIN","label":"Singapore","node_type":"Hub","region":"Asia-Pacific (ex-China)","country":"Singapore","hub_city":"Singapore","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</si>
  <si>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{"node_id":"GEO_H_TYO","label":"Tokyo","node_type":"Hub","region":"Asia-Pacific (ex-China)","country":"Japan","hub_city":"Tokyo","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</si>
  <si>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{"node_id":"GEO_H_SYD","label":"Sydney","node_type":"Hub","region":"Asia-Pacific (ex-China)","country":"Australia","hub_city":"Sydney","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</si>
  <si>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{"node_id":"GEO_H_AUOTH","label":"Other Australia","node_type":"Hub","region":"Asia-Pacific (ex-China)","country":"Australia","hub_city":"Other Australia","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Melbourne / Brisbane / Perth / Gold Coast - Macquarie runs its graduate intake across these alongside Sydney"},</t>
  </si>
  <si>
    <t xml:space="preserve">    {"node_id":"GEO_H_DXB","label":"Dubai","node_type":"Hub","region":"Middle East","country":"United Arab Emirates","hub_city":"Dubai","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</si>
  <si>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{"node_id":"GEO_H_AUH","label":"Abu Dhabi","node_type":"Hub","region":"Middle East","country":"United Arab Emirates","hub_city":"Abu Dhabi","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Added beyond the five hubs requested: the UAE's largest graduate employers (FAB, ADIA, Mubadala, the central bank) are Abu Dhabi-based, and placing them in Dubai would be wrong"},</t>
  </si>
  <si>
    <t xml:space="preserve">    {"node_id":"GEO_H_YYZ","label":"Toronto","node_type":"Hub","region":"Canada","country":"Canada","hub_city":"Toronto","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source","notes":null},</t>
  </si>
  <si>
    <t xml:space="preserve">    {"node_id":"GEO_H_CAOTH","label":"Other Canada","node_type":"Hub","region":"Canada","country":"Canada","hub_city":"Other Canada","sector":null,"subsector_tier":null,"entry_mechanism_id":null,"program_name":null,"program_length_months":null,"org_size_band":null,"size_basis":null,"annual_intake_low":null,"annual_intake_high":null,"applications_per_cycle":null,"intake_estimate_central":null,"intake_estimate_basis":null,"confirmation_status":null,"data_confidence":null,"geo_source":"inferred","notes":"Montreal / Ottawa - RBC runs a Montreal new-grad programme and the Bank of Canada is Ottawa-based"},</t>
  </si>
  <si>
    <t xml:space="preserve">    {"node_id":"ORG_SG_DBS","label":"DBS Bank","node_type":"Organisation","region":"Asia-Pacific (ex-China)","country":"Singapore","hub_city":"Singapore","sector":"Commercial / Retail Banking","subsector_tier":"Tier 1 domestic (Singapore)","entry_mechanism_id":"MECH_APAC_SCHEME","program_name":"Management Associate Programme; Graduate Associate Programme (Ops, 2-year); SEED Programme (12-month technology)","program_length_months":24,"org_size_band":"Mega","size_basis":"inferred - coarse band, verify","annual_intake_low":null,"annual_intake_high":null,"applications_per_cycle":null,"intake_estimate_central":400,"intake_estimate_basis":"Mega base x 1.0 sector x 1.0 mechanism","confirmation_status":"[C-Official]","data_confidence":"High","geo_source":"source","notes":"Largest Singapore bank; Management Associates based in Singapore with overseas postings via the HIPO programme"},</t>
  </si>
  <si>
    <t xml:space="preserve">    {"node_id":"ORG_SG_OCBC","label":"OCBC","node_type":"Organisation","region":"Asia-Pacific (ex-China)","country":"Singapore","hub_city":"Singapore","sector":"Commercial / Retail Banking","subsector_tier":"Tier 1 domestic (Singapore)","entry_mechanism_id":"MECH_APAC_SCHEME","program_name":"Graduate Talent Programme (24-month structured, across bank divisions)","program_length_months":24,"org_size_band":"Mega","size_basis":"inferred - coarse band, verify","annual_intake_low":null,"annual_intake_high":null,"applications_per_cycle":null,"intake_estimate_central":400,"intake_estimate_basis":"Mega base x 1.0 sector x 1.0 mechanism","confirmation_status":"[C-Press]","data_confidence":"Medium","geo_source":"source","notes":"Singapore's longest-established bank (1932). Programme detail from an aggregator listing, not the bank's own site"},</t>
  </si>
  <si>
    <t xml:space="preserve">    {"node_id":"ORG_SG_UOB","label":"UOB","node_type":"Organisation","region":"Asia-Pacific (ex-China)","country":"Singapore","hub_city":"Singapore","sector":"Commercial / Retail Banking","subsector_tier":"Tier 1 domestic (Singapore)","entry_mechanism_id":"MECH_APAC_SCHEME","program_name":"Management Associate / graduate programme","program_length_months":null,"org_size_band":"Mega","size_basis":"inferred - coarse band, verify","annual_intake_low":null,"annual_intake_high":null,"applications_per_cycle":null,"intake_estimate_central":400,"intake_estimate_basis":"Mega base x 1.0 sector x 1.0 mechanism","confirmation_status":"[Note]","data_confidence":"Low","geo_source":"source","notes":null},</t>
  </si>
  <si>
    <t xml:space="preserve">    {"node_id":"ORG_SG_GIC","label":"GIC","node_type":"Organisation","region":"Asia-Pacific (ex-China)","country":"Singapore","hub_city":"Singapore","sector":"Investment / Asset Management","subsector_tier":"Sovereign wealth fund","entry_mechanism_id":"MECH_APAC_SCHEME","program_name":"Analyst / graduate programme","program_length_months":null,"org_size_band":"Mid","size_basis":"inferred - coarse band, verify","annual_intake_low":null,"annual_intake_high":null,"applications_per_cycle":null,"intake_estimate_central":24,"intake_estimate_basis":"Mid base x 0.8 sector x 1.0 mechanism","confirmation_status":"[Note]","data_confidence":"Low","geo_source":"source","notes":"Manages Singapore's foreign reserves; no equivalent institution type elsewhere in the dataset except ADIA/Mubadala"},</t>
  </si>
  <si>
    <t xml:space="preserve">    {"node_id":"ORG_SG_TEMASEK","label":"Temasek","node_type":"Organisation","region":"Asia-Pacific (ex-China)","country":"Singapore","hub_city":"Singapore","sector":"Investment / Asset Management","subsector_tier":"State investment company","entry_mechanism_id":"MECH_APAC_SCHEME","program_name":"Associate / graduate programme","program_length_months":null,"org_size_band":"Mid","size_basis":"inferred - coarse band, verify","annual_intake_low":null,"annual_intake_high":null,"applications_per_cycle":null,"intake_estimate_central":24,"intake_estimate_basis":"Mid base x 0.8 sector x 1.0 mechanism","confirmation_status":"[Note]","data_confidence":"Low","geo_source":"source","notes":null},</t>
  </si>
  <si>
    <t xml:space="preserve">    {"node_id":"ORG_SG_MAS","label":"Monetary Authority of Singapore","node_type":"Organisation","region":"Asia-Pacific (ex-China)","country":"Singapore","hub_city":"Singapore","sector":"Central Bank / Supervisor","subsector_tier":"Central bank and integrated regulator","entry_mechanism_id":"MECH_APAC_SCHEME","program_name":"Graduate / scholarship-linked entry","program_length_months":null,"org_size_band":"Mid","size_basis":"inferred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mechanism","confirmation_status":"[Note]","data_confidence":"Low","geo_source":"source","notes":"Unusual in this dataset: single body combining central bank and full financial regulator"},</t>
  </si>
  <si>
    <t xml:space="preserve">    {"node_id":"ORG_SG_SGX","label":"Singapore Exchange (SGX)","node_type":"Organisation","region":"Asia-Pacific (ex-China)","country":"Singapore","hub_city":"Singapore","sector":"Ratings Agencies &amp; Financial Data","subsector_tier":"Exchange","entry_mechanism_id":"MECH_APAC_SCHEME","program_name":"Graduate / analyst","program_length_months":null,"org_size_band":"Mid","size_basis":"inferred - coarse band, verify","annual_intake_low":null,"annual_intake_high":null,"applications_per_cycle":null,"intake_estimate_central":45,"intake_estimate_basis":"Mid base x 1.5 sector x 1.0 mechanism","confirmation_status":"[Note]","data_confidence":"Low","geo_source":"source","notes":null},</t>
  </si>
  <si>
    <t xml:space="preserve">    {"node_id":"ORG_SG_GE","label":"Great Eastern","node_type":"Organisation","region":"Asia-Pacific (ex-China)","country":"Singapore","hub_city":"Singapore","sector":"Insurance","subsector_tier":"Insurer","entry_mechanism_id":"MECH_APAC_SCHEME","program_name":"Management associate / graduate","program_length_months":null,"org_size_band":"Large","size_basis":"inferred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mechanism","confirmation_status":"[Note]","data_confidence":"Low","geo_source":"source","notes":null},</t>
  </si>
  <si>
    <t xml:space="preserve">    {"node_id":"ORG_SG_INCOME","label":"Income Insurance","node_type":"Organisation","region":"Asia-Pacific (ex-China)","country":"Singapore","hub_city":"Singapore","sector":"Insurance","subsector_tier":"Insurer","entry_mechanism_id":"MECH_APAC_SCHEME","program_name":"Graduate / management trainee","program_length_months":null,"org_size_band":"Mid","size_basis":"inferred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mechanism","confirmation_status":"[Note]","data_confidence":"Low","geo_source":"source","notes":null},</t>
  </si>
  <si>
    <t xml:space="preserve">    {"node_id":"ORG_JP_MUFG","label":"MUFG (Mitsubishi UFJ Financial Group)","node_type":"Organisation","region":"Asia-Pacific (ex-China)","country":"Japan","hub_city":"Tokyo","sector":"Commercial / Retail Banking","subsector_tier":"Megabank","entry_mechanism_id":"MECH_JP_SHINSOTSU","program_name":"Shinsotsu new-graduate recruitment, April intake","program_length_months":null,"org_size_band":"Mega","size_basis":"inferred - coarse band, verify","annual_intake_low":null,"annual_intake_high":null,"applications_per_cycle":null,"intake_estimate_central":800,"intake_estimate_basis":"Mega base x 1.0 sector x 2.0 mechanism","confirmation_status":"[Note]","data_confidence":"Low","geo_source":"source","notes":"One of Japan's three megabanks; very large annual cohorts"},</t>
  </si>
  <si>
    <t xml:space="preserve">    {"node_id":"ORG_JP_SMBC","label":"Sumitomo Mitsui Financial Group (SMBC)","node_type":"Organisation","region":"Asia-Pacific (ex-China)","country":"Japan","hub_city":"Tokyo","sector":"Commercial / Retail Banking","subsector_tier":"Megabank","entry_mechanism_id":"MECH_JP_SHINSOTSU","program_name":"Shinsotsu new-graduate recruitment, April intake","program_length_months":null,"org_size_band":"Mega","size_basis":"inferred - coarse band, verify","annual_intake_low":null,"annual_intake_high":null,"applications_per_cycle":null,"intake_estimate_central":800,"intake_estimate_basis":"Mega base x 1.0 sector x 2.0 mechanism","confirmation_status":"[Note]","data_confidence":"Low","geo_source":"source","notes":null},</t>
  </si>
  <si>
    <t xml:space="preserve">    {"node_id":"ORG_JP_MIZUHO","label":"Mizuho Financial Group","node_type":"Organisation","region":"Asia-Pacific (ex-China)","country":"Japan","hub_city":"Tokyo","sector":"Commercial / Retail Banking","subsector_tier":"Megabank","entry_mechanism_id":"MECH_JP_SHINSOTSU","program_name":"Shinsotsu new-graduate recruitment, April intake","program_length_months":null,"org_size_band":"Mega","size_basis":"inferred - coarse band, verify","annual_intake_low":null,"annual_intake_high":null,"applications_per_cycle":null,"intake_estimate_central":800,"intake_estimate_basis":"Mega base x 1.0 sector x 2.0 mechanism","confirmation_status":"[Note]","data_confidence":"Low","geo_source":"source","notes":null},</t>
  </si>
  <si>
    <t xml:space="preserve">    {"node_id":"ORG_JP_NOMURA","label":"Nomura","node_type":"Organisation","region":"Asia-Pacific (ex-China)","country":"Japan","hub_city":"Tokyo","sector":"Securities / Brokerage","subsector_tier":"Securities / IB","entry_mechanism_id":"MECH_JP_SHINSOTSU","program_name":"Job-specific new-graduate recruitment (fully transitioned April 2025); 5-day internships and 1-day workshops","program_length_months":null,"org_size_band":"Large","size_basis":"inferred - coarse band, verify","annual_intake_low":null,"annual_intake_high":null,"applications_per_cycle":null,"intake_estimate_central":240,"intake_estimate_basis":"Large base x 1.0 sector x 2.0 mechanism","confirmation_status":"[C-Official]","data_confidence":"High","geo_source":"source","notes":"~1,500 people participated in work-experience programmes in FY2023/24"},</t>
  </si>
  <si>
    <t xml:space="preserve">    {"node_id":"ORG_JP_DAIWA","label":"Daiwa Securities","node_type":"Organisation","region":"Asia-Pacific (ex-China)","country":"Japan","hub_city":"Tokyo","sector":"Securities / Brokerage","subsector_tier":"Securities / IB","entry_mechanism_id":"MECH_JP_SHINSOTSU","program_name":"Shinsotsu new-graduate recruitment","program_length_months":null,"org_size_band":"Large","size_basis":"inferred - coarse band, verify","annual_intake_low":null,"annual_intake_high":null,"applications_per_cycle":null,"intake_estimate_central":240,"intake_estimate_basis":"Large base x 1.0 sector x 2.0 mechanism","confirmation_status":"[Note]","data_confidence":"Low","geo_source":"source","notes":null},</t>
  </si>
  <si>
    <t xml:space="preserve">    {"node_id":"ORG_JP_JAPANPOST","label":"Japan Post Bank","node_type":"Organisation","region":"Asia-Pacific (ex-China)","country":"Japan","hub_city":"Tokyo","sector":"Commercial / Retail Banking","subsector_tier":"State-linked retail bank","entry_mechanism_id":"MECH_JP_SHINSOTSU","program_name":"Shinsotsu new-graduate recruitment","program_length_months":null,"org_size_band":"Mega","size_basis":"inferred - coarse band, verify","annual_intake_low":null,"annual_intake_high":null,"applications_per_cycle":null,"intake_estimate_central":800,"intake_estimate_basis":"Mega base x 1.0 sector x 2.0 mechanism","confirmation_status":"[Note]","data_confidence":"Low","geo_source":"source","notes":null},</t>
  </si>
  <si>
    <t xml:space="preserve">    {"node_id":"ORG_JP_BOJ","label":"Bank of Japan","node_type":"Organisation","region":"Asia-Pacific (ex-China)","country":"Japan","hub_city":"Tokyo","sector":"Central Bank / Supervisor","subsector_tier":"National central bank","entry_mechanism_id":"MECH_JP_SHINSOTSU","program_name":"Shinsotsu new-graduate recruitment","program_length_months":null,"org_size_band":"Large","size_basis":"inferred - coarse band, verify","annual_intake_low":null,"annual_intake_high":null,"applications_per_cycle":null,"intake_estimate_central":240,"intake_estimate_basis":"Large base x 1.0 sector x 2.0 mechanism","confirmation_status":"[Note]","data_confidence":"Low","geo_source":"source","notes":null},</t>
  </si>
  <si>
    <t xml:space="preserve">    {"node_id":"ORG_JP_NIPPONLIFE","label":"Nippon Life","node_type":"Organisation","region":"Asia-Pacific (ex-China)","country":"Japan","hub_city":"Tokyo","sector":"Insurance","subsector_tier":"Life insurer","entry_mechanism_id":"MECH_JP_SHINSOTSU","program_name":"Shinsotsu new-graduate recruitment","program_length_months":null,"org_size_band":"Mega","size_basis":"inferred - coarse band, verify","annual_intake_low":null,"annual_intake_high":null,"applications_per_cycle":null,"intake_estimate_central":800,"intake_estimate_basis":"Mega base x 1.0 sector x 2.0 mechanism","confirmation_status":"[Note]","data_confidence":"Low","geo_source":"source","notes":null},</t>
  </si>
  <si>
    <t xml:space="preserve">    {"node_id":"ORG_JP_TOKIOMARINE","label":"Tokio Marine","node_type":"Organisation","region":"Asia-Pacific (ex-China)","country":"Japan","hub_city":"Tokyo","sector":"Insurance","subsector_tier":"P&amp;C insurer","entry_mechanism_id":"MECH_JP_SHINSOTSU","program_name":"Shinsotsu new-graduate recruitment","program_length_months":null,"org_size_band":"Large","size_basis":"inferred - coarse band, verify","annual_intake_low":null,"annual_intake_high":null,"applications_per_cycle":null,"intake_estimate_central":240,"intake_estimate_basis":"Large base x 1.0 sector x 2.0 mechanism","confirmation_status":"[Note]","data_confidence":"Low","geo_source":"source","notes":null},</t>
  </si>
  <si>
    <t xml:space="preserve">    {"node_id":"ORG_JP_GPIF","label":"Government Pension Investment Fund (GPIF)","node_type":"Organisation","region":"Asia-Pacific (ex-China)","country":"Japan","hub_city":"Tokyo","sector":"Investment / Asset Management","subsector_tier":"State pension fund","entry_mechanism_id":"MECH_JP_SHINSOTSU","program_name":"Limited specialist intake","program_length_months":null,"org_size_band":"Mid","size_basis":"inferred - coarse band, verify","annual_intake_low":null,"annual_intake_high":null,"applications_per_cycle":null,"intake_estimate_central":48,"intake_estimate_basis":"Mid base x 0.8 sector x 2.0 mechanism","confirmation_status":"[Note]","data_confidence":"Low","geo_source":"source","notes":"World's largest pension fund by assets but a very small headcount"},</t>
  </si>
  <si>
    <t xml:space="preserve">    {"node_id":"ORG_JP_JPX","label":"Japan Exchange Group","node_type":"Organisation","region":"Asia-Pacific (ex-China)","country":"Japan","hub_city":"Tokyo","sector":"Ratings Agencies &amp; Financial Data","subsector_tier":"Exchange","entry_mechanism_id":"MECH_JP_SHINSOTSU","program_name":"Shinsotsu new-graduate recruitment","program_length_months":null,"org_size_band":"Mid","size_basis":"inferred - coarse band, verify","annual_intake_low":null,"annual_intake_high":null,"applications_per_cycle":null,"intake_estimate_central":90,"intake_estimate_basis":"Mid base x 1.5 sector x 2.0 mechanism","confirmation_status":"[Note]","data_confidence":"Low","geo_source":"source","notes":null},</t>
  </si>
  <si>
    <t xml:space="preserve">    {"node_id":"ORG_AU_MQG","label":"Macquarie Group","node_type":"Organisation","region":"Asia-Pacific (ex-China)","country":"Australia","hub_city":"Sydney","sector":"Investment Banking - Elite Boutique / Independent Advisory","subsector_tier":"Global investment bank (Australian heritage)","entry_mechanism_id":"MECH_AU_GRAD","program_name":"Graduate Program (12-24 months, orientation at Sydney global HQ); Summer Internship Program (Dec-Jan, 10-12 weeks)","program_length_months":"12-24","org_size_band":"Large","size_basis":"inferred - coarse band, verify","annual_intake_low":null,"annual_intake_high":null,"applications_per_cycle":null,"intake_estimate_central":96,"intake_estimate_basis":"Large base x 0.8 sector x 1.0 mechanism","confirmation_status":"[C-Official]","data_confidence":"High","geo_source":"source","notes":"Eligibility restricted to Australian citizens, New Zealand citizens or Australian permanent residents. 2027 intake advertised across Sydney, Melbourne, Perth, Brisbane and the Gold Coast"},</t>
  </si>
  <si>
    <t xml:space="preserve">    {"node_id":"ORG_AU_CBA","label":"Commonwealth Bank of Australia","node_type":"Organisation","region":"Asia-Pacific (ex-China)","country":"Australia","hub_city":"Sydney","sector":"Commercial / Retail Banking","subsector_tier":"Big Four Australian bank","entry_mechanism_id":"MECH_AU_GRAD","program_name":"Graduate Program","program_length_months":null,"org_size_band":"Mega","size_basis":"inferred - coarse band, verify","annual_intake_low":null,"annual_intake_high":null,"applications_per_cycle":null,"intake_estimate_central":400,"intake_estimate_basis":"Mega base x 1.0 sector x 1.0 mechanism","confirmation_status":"[Note]","data_confidence":"Low","geo_source":"source","notes":null},</t>
  </si>
  <si>
    <t xml:space="preserve">    {"node_id":"ORG_AU_WBC","label":"Westpac","node_type":"Organisation","region":"Asia-Pacific (ex-China)","country":"Australia","hub_city":"Sydney","sector":"Commercial / Retail Banking","subsector_tier":"Big Four Australian bank","entry_mechanism_id":"MECH_AU_GRAD","program_name":"Graduate Program","program_length_months":null,"org_size_band":"Mega","size_basis":"inferred - coarse band, verify","annual_intake_low":null,"annual_intake_high":null,"applications_per_cycle":null,"intake_estimate_central":400,"intake_estimate_basis":"Mega base x 1.0 sector x 1.0 mechanism","confirmation_status":"[Note]","data_confidence":"Low","geo_source":"source","notes":null},</t>
  </si>
  <si>
    <t xml:space="preserve">    {"node_id":"ORG_AU_NAB","label":"National Australia Bank","node_type":"Organisation","region":"Asia-Pacific (ex-China)","country":"Australia","hub_city":"Other Australia","sector":"Commercial / Retail Banking","subsector_tier":"Big Four Australian bank","entry_mechanism_id":"MECH_AU_GRAD","program_name":"Graduate Program","program_length_months":null,"org_size_band":"Mega","size_basis":"inferred - coarse band, verify","annual_intake_low":null,"annual_intake_high":null,"applications_per_cycle":null,"intake_estimate_central":400,"intake_estimate_basis":"Mega base x 1.0 sector x 1.0 mechanism","confirmation_status":"[Note]","data_confidence":"Low","geo_source":"inferred","notes":"Melbourne-headquartered"},</t>
  </si>
  <si>
    <t xml:space="preserve">    {"node_id":"ORG_AU_ANZ","label":"ANZ","node_type":"Organisation","region":"Asia-Pacific (ex-China)","country":"Australia","hub_city":"Other Australia","sector":"Commercial / Retail Banking","subsector_tier":"Big Four Australian bank","entry_mechanism_id":"MECH_AU_GRAD","program_name":"Graduate Program","program_length_months":null,"org_size_band":"Mega","size_basis":"inferred - coarse band, verify","annual_intake_low":null,"annual_intake_high":null,"applications_per_cycle":null,"intake_estimate_central":400,"intake_estimate_basis":"Mega base x 1.0 sector x 1.0 mechanism","confirmation_status":"[Note]","data_confidence":"Low","geo_source":"inferred","notes":"Melbourne-headquartered"},</t>
  </si>
  <si>
    <t xml:space="preserve">    {"node_id":"ORG_AU_RBA","label":"Reserve Bank of Australia","node_type":"Organisation","region":"Asia-Pacific (ex-China)","country":"Australia","hub_city":"Sydney","sector":"Central Bank / Supervisor","subsector_tier":"National central bank","entry_mechanism_id":"MECH_AU_GRAD","program_name":"Graduate Development Program","program_length_months":null,"org_size_band":"Mid","size_basis":"inferred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mechanism","confirmation_status":"[Note]","data_confidence":"Low","geo_source":"source","notes":null},</t>
  </si>
  <si>
    <t xml:space="preserve">    {"node_id":"ORG_AU_QBE","label":"QBE Insurance","node_type":"Organisation","region":"Asia-Pacific (ex-China)","country":"Australia","hub_city":"Sydney","sector":"Insurance","subsector_tier":"Global P&amp;C insurer","entry_mechanism_id":"MECH_AU_GRAD","program_name":"Graduate Program","program_length_months":null,"org_size_band":"Large","size_basis":"inferred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mechanism","confirmation_status":"[Note]","data_confidence":"Low","geo_source":"source","notes":null},</t>
  </si>
  <si>
    <t xml:space="preserve">    {"node_id":"ORG_AU_SUN","label":"Suncorp","node_type":"Organisation","region":"Asia-Pacific (ex-China)","country":"Australia","hub_city":"Other Australia","sector":"Insurance","subsector_tier":"Insurer / bank","entry_mechanism_id":"MECH_AU_GRAD","program_name":"Graduate Program","program_length_months":null,"org_size_band":"Large","size_basis":"inferred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mechanism","confirmation_status":"[Note]","data_confidence":"Low","geo_source":"inferred","notes":"Brisbane-headquartered"},</t>
  </si>
  <si>
    <t xml:space="preserve">    {"node_id":"ORG_AU_ASX","label":"ASX","node_type":"Organisation","region":"Asia-Pacific (ex-China)","country":"Australia","hub_city":"Sydney","sector":"Ratings Agencies &amp; Financial Data","subsector_tier":"Exchange","entry_mechanism_id":"MECH_AU_GRAD","program_name":"Graduate Program","program_length_months":null,"org_size_band":"Mid","size_basis":"inferred - coarse band, verify","annual_intake_low":null,"annual_intake_high":null,"applications_per_cycle":null,"intake_estimate_central":45,"intake_estimate_basis":"Mid base x 1.5 sector x 1.0 mechanism","confirmation_status":"[Note]","data_confidence":"Low","geo_source":"source","notes":null},</t>
  </si>
  <si>
    <t xml:space="preserve">    {"node_id":"ORG_AU_FUTUREFUND","label":"Future Fund","node_type":"Organisation","region":"Asia-Pacific (ex-China)","country":"Australia","hub_city":"Other Australia","sector":"Investment / Asset Management","subsector_tier":"Sovereign wealth fund","entry_mechanism_id":"MECH_AU_GRAD","program_name":"Analyst / graduate","program_length_months":null,"org_size_band":"Boutique","size_basis":"inferred - coarse band, verify","annual_intake_low":null,"annual_intake_high":null,"applications_per_cycle":null,"intake_estimate_central":6,"intake_estimate_basis":"Boutique base x 0.8 sector x 1.0 mechanism","confirmation_status":"[Note]","data_confidence":"Low","geo_source":"inferred","notes":"Melbourne-based; very small headcount relative to assets"},</t>
  </si>
  <si>
    <t xml:space="preserve">    {"node_id":"ORG_AU_AMP","label":"AMP","node_type":"Organisation","region":"Asia-Pacific (ex-China)","country":"Australia","hub_city":"Sydney","sector":"Investment / Asset Management","subsector_tier":"Wealth manager","entry_mechanism_id":"MECH_AU_GRAD","program_name":"Graduate Program","program_length_months":null,"org_size_band":"Mid","size_basis":"inferred - coarse band, verify","annual_intake_low":null,"annual_intake_high":null,"applications_per_cycle":null,"intake_estimate_central":24,"intake_estimate_basis":"Mid base x 0.8 sector x 1.0 mechanism","confirmation_status":"[Note]","data_confidence":"Low","geo_source":"source","notes":null},</t>
  </si>
  <si>
    <t xml:space="preserve">    {"node_id":"ORG_AE_FAB","label":"First Abu Dhabi Bank","node_type":"Organisation","region":"Middle East","country":"United Arab Emirates","hub_city":"Abu Dhabi","sector":"Commercial / Retail Banking","subsector_tier":"Largest UAE bank","entry_mechanism_id":"MECH_ME_NATIONAL","program_name":"Ethraa Programme (8-12 months; high-potential Emirati fresh graduates)","program_length_months":"8-12","org_size_band":"Mega","size_basis":"inferred - coarse band, verify","annual_intake_low":null,"annual_intake_high":null,"applications_per_cycle":null,"intake_estimate_central":240,"intake_estimate_basis":"Mega base x 1.0 sector x 0.6 mechanism","confirmation_status":"[C-Official]","data_confidence":"High","geo_source":"source","notes":"Sponsored by the Central Bank of the UAE and the Emirates Institute of Finance. Structured learning journey, international qualifications, hands-on projects, coaching; completion leads to senior-track progression. Restricted to UAE nationals"},</t>
  </si>
  <si>
    <t xml:space="preserve">    {"node_id":"ORG_AE_ENBD","label":"Emirates NBD","node_type":"Organisation","region":"Middle East","country":"United Arab Emirates","hub_city":"Dubai","sector":"Commercial / Retail Banking","subsector_tier":"Dubai's largest bank","entry_mechanism_id":"MECH_ME_NATIONAL","program_name":"National-talent graduate programme","program_length_months":null,"org_size_band":"Mega","size_basis":"inferred - coarse band, verify","annual_intake_low":null,"annual_intake_high":null,"applications_per_cycle":null,"intake_estimate_central":240,"intake_estimate_basis":"Mega base x 1.0 sector x 0.6 mechanism","confirmation_status":"[Note]","data_confidence":"Low","geo_source":"source","notes":null},</t>
  </si>
  <si>
    <t xml:space="preserve">    {"node_id":"ORG_AE_ADCB","label":"Abu Dhabi Commercial Bank","node_type":"Organisation","region":"Middle East","country":"United Arab Emirates","hub_city":"Abu Dhabi","sector":"Commercial / Retail Banking","subsector_tier":"UAE bank","entry_mechanism_id":"MECH_ME_NATIONAL","program_name":"National-talent graduate programme","program_length_months":null,"org_size_band":"Large","size_basis":"inferred - coarse band, verify","annual_intake_low":null,"annual_intake_high":null,"applications_per_cycle":null,"intake_estimate_central":72,"intake_estimate_basis":"Large base x 1.0 sector x 0.6 mechanism","confirmation_status":"[Note]","data_confidence":"Low","geo_source":"source","notes":null},</t>
  </si>
  <si>
    <t xml:space="preserve">    {"node_id":"ORG_AE_MASHREQ","label":"Mashreq","node_type":"Organisation","region":"Middle East","country":"United Arab Emirates","hub_city":"Dubai","sector":"Commercial / Retail Banking","subsector_tier":"UAE bank","entry_mechanism_id":"MECH_ME_NATIONAL","program_name":"Graduate / national-talent programme","program_length_months":null,"org_size_band":"Large","size_basis":"inferred - coarse band, verify","annual_intake_low":null,"annual_intake_high":null,"applications_per_cycle":null,"intake_estimate_central":72,"intake_estimate_basis":"Large base x 1.0 sector x 0.6 mechanism","confirmation_status":"[Note]","data_confidence":"Low","geo_source":"source","notes":null},</t>
  </si>
  <si>
    <t xml:space="preserve">    {"node_id":"ORG_AE_DIB","label":"Dubai Islamic Bank","node_type":"Organisation","region":"Middle East","country":"United Arab Emirates","hub_city":"Dubai","sector":"Commercial / Retail Banking","subsector_tier":"Islamic bank","entry_mechanism_id":"MECH_ME_NATIONAL","program_name":"Graduate / national-talent programme","program_length_months":null,"org_size_band":"Large","size_basis":"inferred - coarse band, verify","annual_intake_low":null,"annual_intake_high":null,"applications_per_cycle":null,"intake_estimate_central":72,"intake_estimate_basis":"Large base x 1.0 sector x 0.6 mechanism","confirmation_status":"[Note]","data_confidence":"Low","geo_source":"source","notes":"Islamic finance is a sector specialism with no counterpart elsewhere in the dataset"},</t>
  </si>
  <si>
    <t xml:space="preserve">    {"node_id":"ORG_AE_ADIB","label":"Abu Dhabi Islamic Bank","node_type":"Organisation","region":"Middle East","country":"United Arab Emirates","hub_city":"Abu Dhabi","sector":"Commercial / Retail Banking","subsector_tier":"Islamic bank","entry_mechanism_id":"MECH_ME_NATIONAL","program_name":"Graduate / national-talent programme","program_length_months":null,"org_size_band":"Large","size_basis":"inferred - coarse band, verify","annual_intake_low":null,"annual_intake_high":null,"applications_per_cycle":null,"intake_estimate_central":72,"intake_estimate_basis":"Large base x 1.0 sector x 0.6 mechanism","confirmation_status":"[Note]","data_confidence":"Low","geo_source":"source","notes":null},</t>
  </si>
  <si>
    <t xml:space="preserve">    {"node_id":"ORG_AE_ADIA","label":"Abu Dhabi Investment Authority (ADIA)","node_type":"Organisation","region":"Middle East","country":"United Arab Emirates","hub_city":"Abu Dhabi","sector":"Investment / Asset Management","subsector_tier":"Sovereign wealth fund","entry_mechanism_id":"MECH_ME_NATIONAL","program_name":"Graduate / analyst development","program_length_months":null,"org_size_band":"Mid","size_basis":"inferred - coarse band, verify","annual_intake_low":null,"annual_intake_high":null,"applications_per_cycle":null,"intake_estimate_central":14,"intake_estimate_basis":"Mid base x 0.8 sector x 0.6 mechanism","confirmation_status":"[Note]","data_confidence":"Low","geo_source":"source","notes":"One of the world's largest sovereign investors"},</t>
  </si>
  <si>
    <t xml:space="preserve">    {"node_id":"ORG_AE_MUBADALA","label":"Mubadala","node_type":"Organisation","region":"Middle East","country":"United Arab Emirates","hub_city":"Abu Dhabi","sector":"Investment / Asset Management","subsector_tier":"Sovereign investor","entry_mechanism_id":"MECH_ME_NATIONAL","program_name":"Mubadala Youth / graduate programmes","program_length_months":null,"org_size_band":"Mid","size_basis":"inferred - coarse band, verify","annual_intake_low":null,"annual_intake_high":null,"applications_per_cycle":null,"intake_estimate_central":14,"intake_estimate_basis":"Mid base x 0.8 sector x 0.6 mechanism","confirmation_status":"[Note]","data_confidence":"Low","geo_source":"source","notes":null},</t>
  </si>
  <si>
    <t xml:space="preserve">    {"node_id":"ORG_AE_CBUAE","label":"Central Bank of the UAE","node_type":"Organisation","region":"Middle East","country":"United Arab Emirates","hub_city":"Abu Dhabi","sector":"Central Bank / Supervisor","subsector_tier":"National central bank","entry_mechanism_id":"MECH_ME_NATIONAL","program_name":"National-talent graduate programmes","program_length_months":null,"org_size_band":"Mid","size_basis":"inferred - coarse band, verify","annual_intake_low":null,"annual_intake_high":null,"applications_per_cycle":null,"intake_estimate_central":18,"intake_estimate_basis":"Mid base x 1.0 sector x 0.6 mechanism","confirmation_status":"[Note]","data_confidence":"Low","geo_source":"source","notes":"Co-sponsor of FAB's Ethraa Programme - a regulator directly underwriting a commercial bank's graduate scheme, which has no parallel elsewhere in this dataset"},</t>
  </si>
  <si>
    <t xml:space="preserve">    {"node_id":"ORG_AE_DFM","label":"Dubai Financial Market","node_type":"Organisation","region":"Middle East","country":"United Arab Emirates","hub_city":"Dubai","sector":"Ratings Agencies &amp; Financial Data","subsector_tier":"Exchange","entry_mechanism_id":"MECH_ME_NATIONAL","program_name":"Graduate / analyst","program_length_months":null,"org_size_band":"Mid","size_basis":"inferred - coarse band, verify","annual_intake_low":null,"annual_intake_high":null,"applications_per_cycle":null,"intake_estimate_central":27,"intake_estimate_basis":"Mid base x 1.5 sector x 0.6 mechanism","confirmation_status":"[Note]","data_confidence":"Low","geo_source":"source","notes":null},</t>
  </si>
  <si>
    <t xml:space="preserve">    {"node_id":"ORG_CA_RBC","label":"RBC (Royal Bank of Canada)","node_type":"Organisation","region":"Canada","country":"Canada","hub_city":"Toronto","sector":"Commercial / Retail Banking","subsector_tier":"Big Five Canadian bank","entry_mechanism_id":"MECH_CA_ROTATIONAL","program_name":"Graduate Rotational Program (24 months, four 6-month rotations); Summer Internship Program as pipeline; Capital Markets Global Investment Banking and Global Markets Programs; 30-month CPA program; Indigenous Peoples Development Program","program_length_months":24,"org_size_band":"Mega","size_basis":"inferred - coarse band, verify","annual_intake_low":null,"annual_intake_high":null,"applications_per_cycle":null,"intake_estimate_central":400,"intake_estimate_basis":"Mega base x 1.0 sector x 1.0 mechanism","confirmation_status":"[C-Official]","data_confidence":"High","geo_source":"source","notes":"Canada's largest bank. Graduate programmes also run in the UK, Ireland, Luxembourg and Malaysia, so this node understates its global intake"},</t>
  </si>
  <si>
    <t xml:space="preserve">    {"node_id":"ORG_CA_TD","label":"TD Bank Group","node_type":"Organisation","region":"Canada","country":"Canada","hub_city":"Toronto","sector":"Commercial / Retail Banking","subsector_tier":"Big Five Canadian bank","entry_mechanism_id":"MECH_CA_ROTATIONAL","program_name":"Graduate / rotational programs","program_length_months":null,"org_size_band":"Mega","size_basis":"inferred - coarse band, verify","annual_intake_low":null,"annual_intake_high":null,"applications_per_cycle":null,"intake_estimate_central":400,"intake_estimate_basis":"Mega base x 1.0 sector x 1.0 mechanism","confirmation_status":"[Note]","data_confidence":"Low","geo_source":"source","notes":null},</t>
  </si>
  <si>
    <t xml:space="preserve">    {"node_id":"ORG_CA_SCOTIA","label":"Scotiabank","node_type":"Organisation","region":"Canada","country":"Canada","hub_city":"Toronto","sector":"Commercial / Retail Banking","subsector_tier":"Big Five Canadian bank","entry_mechanism_id":"MECH_CA_ROTATIONAL","program_name":"Graduate / rotational programs","program_length_months":null,"org_size_band":"Mega","size_basis":"inferred - coarse band, verify","annual_intake_low":null,"annual_intake_high":null,"applications_per_cycle":null,"intake_estimate_central":400,"intake_estimate_basis":"Mega base x 1.0 sector x 1.0 mechanism","confirmation_status":"[Note]","data_confidence":"Low","geo_source":"source","notes":null},</t>
  </si>
  <si>
    <t xml:space="preserve">    {"node_id":"ORG_CA_BMO","label":"BMO","node_type":"Organisation","region":"Canada","country":"Canada","hub_city":"Toronto","sector":"Commercial / Retail Banking","subsector_tier":"Big Five Canadian bank","entry_mechanism_id":"MECH_CA_ROTATIONAL","program_name":"Graduate / rotational programs","program_length_months":null,"org_size_band":"Mega","size_basis":"inferred - coarse band, verify","annual_intake_low":null,"annual_intake_high":null,"applications_per_cycle":null,"intake_estimate_central":400,"intake_estimate_basis":"Mega base x 1.0 sector x 1.0 mechanism","confirmation_status":"[Note]","data_confidence":"Low","geo_source":"source","notes":null},</t>
  </si>
  <si>
    <t xml:space="preserve">    {"node_id":"ORG_CA_CIBC","label":"CIBC","node_type":"Organisation","region":"Canada","country":"Canada","hub_city":"Toronto","sector":"Commercial / Retail Banking","subsector_tier":"Big Five Canadian bank","entry_mechanism_id":"MECH_CA_ROTATIONAL","program_name":"Graduate / rotational programs","program_length_months":null,"org_size_band":"Mega","size_basis":"inferred - coarse band, verify","annual_intake_low":null,"annual_intake_high":null,"applications_per_cycle":null,"intake_estimate_central":400,"intake_estimate_basis":"Mega base x 1.0 sector x 1.0 mechanism","confirmation_status":"[Note]","data_confidence":"Low","geo_source":"source","notes":null},</t>
  </si>
  <si>
    <t xml:space="preserve">    {"node_id":"ORG_CA_MFC","label":"Manulife","node_type":"Organisation","region":"Canada","country":"Canada","hub_city":"Toronto","sector":"Insurance","subsector_tier":"Life insurer","entry_mechanism_id":"MECH_CA_ROTATIONAL","program_name":"Graduate / actuarial programs","program_length_months":null,"org_size_band":"Mega","size_basis":"inferred - coarse band, verify","annual_intake_low":null,"annual_intake_high":null,"applications_per_cycle":null,"intake_estimate_central":400,"intake_estimate_basis":"Mega base x 1.0 sector x 1.0 mechanism","confirmation_status":"[Note]","data_confidence":"Low","geo_source":"source","notes":null},</t>
  </si>
  <si>
    <t xml:space="preserve">    {"node_id":"ORG_CA_SLF","label":"Sun Life","node_type":"Organisation","region":"Canada","country":"Canada","hub_city":"Toronto","sector":"Insurance","subsector_tier":"Life insurer","entry_mechanism_id":"MECH_CA_ROTATIONAL","program_name":"Graduate / actuarial programs","program_length_months":null,"org_size_band":"Large","size_basis":"inferred - coarse band, verify","annual_intake_low":null,"annual_intake_high":null,"applications_per_cycle":null,"intake_estimate_central":120,"intake_estimate_basis":"Large base x 1.0 sector x 1.0 mechanism","confirmation_status":"[Note]","data_confidence":"Low","geo_source":"source","notes":null},</t>
  </si>
  <si>
    <t xml:space="preserve">    {"node_id":"ORG_CA_CPPIB","label":"CPP Investments","node_type":"Organisation","region":"Canada","country":"Canada","hub_city":"Toronto","sector":"Investment / Asset Management","subsector_tier":"National pension investment manager","entry_mechanism_id":"MECH_CA_ROTATIONAL","program_name":"Analyst / rotational programs","program_length_months":null,"org_size_band":"Mid","size_basis":"inferred - coarse band, verify","annual_intake_low":null,"annual_intake_high":null,"applications_per_cycle":null,"intake_estimate_central":24,"intake_estimate_basis":"Mid base x 0.8 sector x 1.0 mechanism","confirmation_status":"[Note]","data_confidence":"Low","geo_source":"source","notes":null},</t>
  </si>
  <si>
    <t xml:space="preserve">    {"node_id":"ORG_CA_OTPP","label":"Ontario Teachers' Pension Plan","node_type":"Organisation","region":"Canada","country":"Canada","hub_city":"Toronto","sector":"Investment / Asset Management","subsector_tier":"Pension investment manager","entry_mechanism_id":"MECH_CA_ROTATIONAL","program_name":"Analyst / graduate","program_length_months":null,"org_size_band":"Mid","size_basis":"inferred - coarse band, verify","annual_intake_low":null,"annual_intake_high":null,"applications_per_cycle":null,"intake_estimate_central":24,"intake_estimate_basis":"Mid base x 0.8 sector x 1.0 mechanism","confirmation_status":"[Note]","data_confidence":"Low","geo_source":"source","notes":null},</t>
  </si>
  <si>
    <t xml:space="preserve">    {"node_id":"ORG_CA_BN","label":"Brookfield","node_type":"Organisation","region":"Canada","country":"Canada","hub_city":"Toronto","sector":"Investment / Asset Management","subsector_tier":"Alternative asset manager","entry_mechanism_id":"MECH_CA_ROTATIONAL","program_name":"Analyst program","program_length_months":null,"org_size_band":"Large","size_basis":"inferred - coarse band, verify","annual_intake_low":null,"annual_intake_high":null,"applications_per_cycle":null,"intake_estimate_central":96,"intake_estimate_basis":"Large base x 0.8 sector x 1.0 mechanism","confirmation_status":"[Note]","data_confidence":"Low","geo_source":"source","notes":null},</t>
  </si>
  <si>
    <t xml:space="preserve">    {"node_id":"ORG_CA_TMX","label":"TMX Group","node_type":"Organisation","region":"Canada","country":"Canada","hub_city":"Toronto","sector":"Ratings Agencies &amp; Financial Data","subsector_tier":"Exchange","entry_mechanism_id":"MECH_CA_ROTATIONAL","program_name":"Graduate / analyst","program_length_months":null,"org_size_band":"Mid","size_basis":"inferred - coarse band, verify","annual_intake_low":null,"annual_intake_high":null,"applications_per_cycle":null,"intake_estimate_central":45,"intake_estimate_basis":"Mid base x 1.5 sector x 1.0 mechanism","confirmation_status":"[Note]","data_confidence":"Low","geo_source":"source","notes":null},</t>
  </si>
  <si>
    <t xml:space="preserve">    {"node_id":"ORG_CA_BOC","label":"Bank of Canada","node_type":"Organisation","region":"Canada","country":"Canada","hub_city":"Other Canada","sector":"Central Bank / Supervisor","subsector_tier":"National central bank","entry_mechanism_id":"MECH_CA_ROTATIONAL","program_name":"Graduate / economist programs","program_length_months":null,"org_size_band":"Mid","size_basis":"inferred - coarse band, verify","annual_intake_low":null,"annual_intake_high":null,"applications_per_cycle":null,"intake_estimate_central":30,"intake_estimate_basis":"Mid base x 1.0 sector x 1.0 mechanism","confirmation_status":"[Note]","data_confidence":"Low","geo_source":"inferred","notes":"Ottawa-based"}</t>
  </si>
  <si>
    <t xml:space="preserve">    {"edge_id":"E1058","source_id":"ORG_UK_LLOYDSBG","target_id":"ORG_UK_LLOYDSMKT","edge_type":"COMPETES_FOR_TALENT","directed":false,"notes":"Distinct institutions with confusingly similar names - Lloyds Banking Group is a retail bank, Lloyd's of London is an insurance market"},</t>
  </si>
  <si>
    <t xml:space="preserve">    {"edge_id":"E1059","source_id":"GEO_C_SG","target_id":"GEO_R_APAC","edge_type":"PART_OF","directed":true,"notes":null},</t>
  </si>
  <si>
    <t xml:space="preserve">    {"edge_id":"E1060","source_id":"GEO_C_JP","target_id":"GEO_R_APAC","edge_type":"PART_OF","directed":true,"notes":null},</t>
  </si>
  <si>
    <t xml:space="preserve">    {"edge_id":"E1061","source_id":"GEO_C_AU","target_id":"GEO_R_APAC","edge_type":"PART_OF","directed":true,"notes":null},</t>
  </si>
  <si>
    <t xml:space="preserve">    {"edge_id":"E1062","source_id":"GEO_C_AE","target_id":"GEO_R_ME","edge_type":"PART_OF","directed":true,"notes":null},</t>
  </si>
  <si>
    <t xml:space="preserve">    {"edge_id":"E1063","source_id":"GEO_C_CA","target_id":"GEO_R_CANADA","edge_type":"PART_OF","directed":true,"notes":null},</t>
  </si>
  <si>
    <t xml:space="preserve">    {"edge_id":"E1064","source_id":"GEO_H_SIN","target_id":"GEO_C_SG","edge_type":"PART_OF","directed":true,"notes":null},</t>
  </si>
  <si>
    <t xml:space="preserve">    {"edge_id":"E1065","source_id":"GEO_H_TYO","target_id":"GEO_C_JP","edge_type":"PART_OF","directed":true,"notes":null},</t>
  </si>
  <si>
    <t xml:space="preserve">    {"edge_id":"E1066","source_id":"GEO_H_SYD","target_id":"GEO_C_AU","edge_type":"PART_OF","directed":true,"notes":null},</t>
  </si>
  <si>
    <t xml:space="preserve">    {"edge_id":"E1067","source_id":"GEO_H_AUOTH","target_id":"GEO_C_AU","edge_type":"PART_OF","directed":true,"notes":null},</t>
  </si>
  <si>
    <t xml:space="preserve">    {"edge_id":"E1068","source_id":"GEO_H_DXB","target_id":"GEO_C_AE","edge_type":"PART_OF","directed":true,"notes":null},</t>
  </si>
  <si>
    <t xml:space="preserve">    {"edge_id":"E1069","source_id":"GEO_H_AUH","target_id":"GEO_C_AE","edge_type":"PART_OF","directed":true,"notes":null},</t>
  </si>
  <si>
    <t xml:space="preserve">    {"edge_id":"E1070","source_id":"GEO_H_YYZ","target_id":"GEO_C_CA","edge_type":"PART_OF","directed":true,"notes":null},</t>
  </si>
  <si>
    <t xml:space="preserve">    {"edge_id":"E1071","source_id":"GEO_H_CAOTH","target_id":"GEO_C_CA","edge_type":"PART_OF","directed":true,"notes":null},</t>
  </si>
  <si>
    <t xml:space="preserve">    {"edge_id":"E1072","source_id":"ORG_SG_DBS","target_id":"GEO_H_SIN","edge_type":"LOCATED_IN","directed":true,"notes":null},</t>
  </si>
  <si>
    <t xml:space="preserve">    {"edge_id":"E1073","source_id":"ORG_SG_DBS","target_id":"SEC_COMM","edge_type":"IN_SECTOR","directed":true,"notes":null},</t>
  </si>
  <si>
    <t xml:space="preserve">    {"edge_id":"E1075","source_id":"ORG_SG_OCBC","target_id":"GEO_H_SIN","edge_type":"LOCATED_IN","directed":true,"notes":null},</t>
  </si>
  <si>
    <t xml:space="preserve">    {"edge_id":"E1076","source_id":"ORG_SG_OCBC","target_id":"SEC_COMM","edge_type":"IN_SECTOR","directed":true,"notes":null},</t>
  </si>
  <si>
    <t xml:space="preserve">    {"edge_id":"E1078","source_id":"ORG_SG_UOB","target_id":"GEO_H_SIN","edge_type":"LOCATED_IN","directed":true,"notes":null},</t>
  </si>
  <si>
    <t xml:space="preserve">    {"edge_id":"E1079","source_id":"ORG_SG_UOB","target_id":"SEC_COMM","edge_type":"IN_SECTOR","directed":true,"notes":null},</t>
  </si>
  <si>
    <t xml:space="preserve">    {"edge_id":"E1081","source_id":"ORG_SG_GIC","target_id":"GEO_H_SIN","edge_type":"LOCATED_IN","directed":true,"notes":null},</t>
  </si>
  <si>
    <t xml:space="preserve">    {"edge_id":"E1082","source_id":"ORG_SG_GIC","target_id":"SEC_AM","edge_type":"IN_SECTOR","directed":true,"notes":null},</t>
  </si>
  <si>
    <t xml:space="preserve">    {"edge_id":"E1084","source_id":"ORG_SG_TEMASEK","target_id":"GEO_H_SIN","edge_type":"LOCATED_IN","directed":true,"notes":null},</t>
  </si>
  <si>
    <t xml:space="preserve">    {"edge_id":"E1085","source_id":"ORG_SG_TEMASEK","target_id":"SEC_AM","edge_type":"IN_SECTOR","directed":true,"notes":null},</t>
  </si>
  <si>
    <t xml:space="preserve">    {"edge_id":"E1087","source_id":"ORG_SG_MAS","target_id":"GEO_H_SIN","edge_type":"LOCATED_IN","directed":true,"notes":null},</t>
  </si>
  <si>
    <t xml:space="preserve">    {"edge_id":"E1088","source_id":"ORG_SG_MAS","target_id":"SEC_CB","edge_type":"IN_SECTOR","directed":true,"notes":null},</t>
  </si>
  <si>
    <t xml:space="preserve">    {"edge_id":"E1090","source_id":"ORG_SG_SGX","target_id":"GEO_H_SIN","edge_type":"LOCATED_IN","directed":true,"notes":null},</t>
  </si>
  <si>
    <t xml:space="preserve">    {"edge_id":"E1091","source_id":"ORG_SG_SGX","target_id":"SEC_DATA","edge_type":"IN_SECTOR","directed":true,"notes":null},</t>
  </si>
  <si>
    <t xml:space="preserve">    {"edge_id":"E1093","source_id":"ORG_SG_GE","target_id":"GEO_H_SIN","edge_type":"LOCATED_IN","directed":true,"notes":null},</t>
  </si>
  <si>
    <t xml:space="preserve">    {"edge_id":"E1094","source_id":"ORG_SG_GE","target_id":"SEC_INS","edge_type":"IN_SECTOR","directed":true,"notes":null},</t>
  </si>
  <si>
    <t xml:space="preserve">    {"edge_id":"E1096","source_id":"ORG_SG_INCOME","target_id":"GEO_H_SIN","edge_type":"LOCATED_IN","directed":true,"notes":null},</t>
  </si>
  <si>
    <t xml:space="preserve">    {"edge_id":"E1097","source_id":"ORG_SG_INCOME","target_id":"SEC_INS","edge_type":"IN_SECTOR","directed":true,"notes":null},</t>
  </si>
  <si>
    <t xml:space="preserve">    {"edge_id":"E1099","source_id":"ORG_JP_MUFG","target_id":"GEO_H_TYO","edge_type":"LOCATED_IN","directed":true,"notes":null},</t>
  </si>
  <si>
    <t xml:space="preserve">    {"edge_id":"E1100","source_id":"ORG_JP_MUFG","target_id":"SEC_COMM","edge_type":"IN_SECTOR","directed":true,"notes":null},</t>
  </si>
  <si>
    <t xml:space="preserve">    {"edge_id":"E1102","source_id":"ORG_JP_SMBC","target_id":"GEO_H_TYO","edge_type":"LOCATED_IN","directed":true,"notes":null},</t>
  </si>
  <si>
    <t xml:space="preserve">    {"edge_id":"E1103","source_id":"ORG_JP_SMBC","target_id":"SEC_COMM","edge_type":"IN_SECTOR","directed":true,"notes":null},</t>
  </si>
  <si>
    <t xml:space="preserve">    {"edge_id":"E1105","source_id":"ORG_JP_MIZUHO","target_id":"GEO_H_TYO","edge_type":"LOCATED_IN","directed":true,"notes":null},</t>
  </si>
  <si>
    <t xml:space="preserve">    {"edge_id":"E1106","source_id":"ORG_JP_MIZUHO","target_id":"SEC_COMM","edge_type":"IN_SECTOR","directed":true,"notes":null},</t>
  </si>
  <si>
    <t xml:space="preserve">    {"edge_id":"E1108","source_id":"ORG_JP_NOMURA","target_id":"GEO_H_TYO","edge_type":"LOCATED_IN","directed":true,"notes":null},</t>
  </si>
  <si>
    <t xml:space="preserve">    {"edge_id":"E1109","source_id":"ORG_JP_NOMURA","target_id":"SEC_SEC","edge_type":"IN_SECTOR","directed":true,"notes":null},</t>
  </si>
  <si>
    <t xml:space="preserve">    {"edge_id":"E1111","source_id":"ORG_JP_DAIWA","target_id":"GEO_H_TYO","edge_type":"LOCATED_IN","directed":true,"notes":null},</t>
  </si>
  <si>
    <t xml:space="preserve">    {"edge_id":"E1112","source_id":"ORG_JP_DAIWA","target_id":"SEC_SEC","edge_type":"IN_SECTOR","directed":true,"notes":null},</t>
  </si>
  <si>
    <t xml:space="preserve">    {"edge_id":"E1114","source_id":"ORG_JP_JAPANPOST","target_id":"GEO_H_TYO","edge_type":"LOCATED_IN","directed":true,"notes":null},</t>
  </si>
  <si>
    <t xml:space="preserve">    {"edge_id":"E1115","source_id":"ORG_JP_JAPANPOST","target_id":"SEC_COMM","edge_type":"IN_SECTOR","directed":true,"notes":null},</t>
  </si>
  <si>
    <t xml:space="preserve">    {"edge_id":"E1117","source_id":"ORG_JP_BOJ","target_id":"GEO_H_TYO","edge_type":"LOCATED_IN","directed":true,"notes":null},</t>
  </si>
  <si>
    <t xml:space="preserve">    {"edge_id":"E1118","source_id":"ORG_JP_BOJ","target_id":"SEC_CB","edge_type":"IN_SECTOR","directed":true,"notes":null},</t>
  </si>
  <si>
    <t xml:space="preserve">    {"edge_id":"E1120","source_id":"ORG_JP_NIPPONLIFE","target_id":"GEO_H_TYO","edge_type":"LOCATED_IN","directed":true,"notes":null},</t>
  </si>
  <si>
    <t xml:space="preserve">    {"edge_id":"E1121","source_id":"ORG_JP_NIPPONLIFE","target_id":"SEC_INS","edge_type":"IN_SECTOR","directed":true,"notes":null},</t>
  </si>
  <si>
    <t xml:space="preserve">    {"edge_id":"E1123","source_id":"ORG_JP_TOKIOMARINE","target_id":"GEO_H_TYO","edge_type":"LOCATED_IN","directed":true,"notes":null},</t>
  </si>
  <si>
    <t xml:space="preserve">    {"edge_id":"E1124","source_id":"ORG_JP_TOKIOMARINE","target_id":"SEC_INS","edge_type":"IN_SECTOR","directed":true,"notes":null},</t>
  </si>
  <si>
    <t xml:space="preserve">    {"edge_id":"E1126","source_id":"ORG_JP_GPIF","target_id":"GEO_H_TYO","edge_type":"LOCATED_IN","directed":true,"notes":null},</t>
  </si>
  <si>
    <t xml:space="preserve">    {"edge_id":"E1127","source_id":"ORG_JP_GPIF","target_id":"SEC_AM","edge_type":"IN_SECTOR","directed":true,"notes":null},</t>
  </si>
  <si>
    <t xml:space="preserve">    {"edge_id":"E1129","source_id":"ORG_JP_JPX","target_id":"GEO_H_TYO","edge_type":"LOCATED_IN","directed":true,"notes":null},</t>
  </si>
  <si>
    <t xml:space="preserve">    {"edge_id":"E1130","source_id":"ORG_JP_JPX","target_id":"SEC_DATA","edge_type":"IN_SECTOR","directed":true,"notes":null},</t>
  </si>
  <si>
    <t xml:space="preserve">    {"edge_id":"E1132","source_id":"ORG_AU_MQG","target_id":"GEO_H_SYD","edge_type":"LOCATED_IN","directed":true,"notes":null},</t>
  </si>
  <si>
    <t xml:space="preserve">    {"edge_id":"E1133","source_id":"ORG_AU_MQG","target_id":"SEC_IB_EB","edge_type":"IN_SECTOR","directed":true,"notes":null},</t>
  </si>
  <si>
    <t xml:space="preserve">    {"edge_id":"E1135","source_id":"ORG_AU_CBA","target_id":"GEO_H_SYD","edge_type":"LOCATED_IN","directed":true,"notes":null},</t>
  </si>
  <si>
    <t xml:space="preserve">    {"edge_id":"E1136","source_id":"ORG_AU_CBA","target_id":"SEC_COMM","edge_type":"IN_SECTOR","directed":true,"notes":null},</t>
  </si>
  <si>
    <t xml:space="preserve">    {"edge_id":"E1138","source_id":"ORG_AU_WBC","target_id":"GEO_H_SYD","edge_type":"LOCATED_IN","directed":true,"notes":null},</t>
  </si>
  <si>
    <t xml:space="preserve">    {"edge_id":"E1139","source_id":"ORG_AU_WBC","target_id":"SEC_COMM","edge_type":"IN_SECTOR","directed":true,"notes":null},</t>
  </si>
  <si>
    <t xml:space="preserve">    {"edge_id":"E1141","source_id":"ORG_AU_NAB","target_id":"GEO_H_AUOTH","edge_type":"LOCATED_IN","directed":true,"notes":null},</t>
  </si>
  <si>
    <t xml:space="preserve">    {"edge_id":"E1142","source_id":"ORG_AU_NAB","target_id":"SEC_COMM","edge_type":"IN_SECTOR","directed":true,"notes":null},</t>
  </si>
  <si>
    <t xml:space="preserve">    {"edge_id":"E1144","source_id":"ORG_AU_ANZ","target_id":"GEO_H_AUOTH","edge_type":"LOCATED_IN","directed":true,"notes":null},</t>
  </si>
  <si>
    <t xml:space="preserve">    {"edge_id":"E1145","source_id":"ORG_AU_ANZ","target_id":"SEC_COMM","edge_type":"IN_SECTOR","directed":true,"notes":null},</t>
  </si>
  <si>
    <t xml:space="preserve">    {"edge_id":"E1147","source_id":"ORG_AU_RBA","target_id":"GEO_H_SYD","edge_type":"LOCATED_IN","directed":true,"notes":null},</t>
  </si>
  <si>
    <t xml:space="preserve">    {"edge_id":"E1148","source_id":"ORG_AU_RBA","target_id":"SEC_CB","edge_type":"IN_SECTOR","directed":true,"notes":null},</t>
  </si>
  <si>
    <t xml:space="preserve">    {"edge_id":"E1150","source_id":"ORG_AU_QBE","target_id":"GEO_H_SYD","edge_type":"LOCATED_IN","directed":true,"notes":null},</t>
  </si>
  <si>
    <t xml:space="preserve">    {"edge_id":"E1151","source_id":"ORG_AU_QBE","target_id":"SEC_INS","edge_type":"IN_SECTOR","directed":true,"notes":null},</t>
  </si>
  <si>
    <t xml:space="preserve">    {"edge_id":"E1153","source_id":"ORG_AU_SUN","target_id":"GEO_H_AUOTH","edge_type":"LOCATED_IN","directed":true,"notes":null},</t>
  </si>
  <si>
    <t xml:space="preserve">    {"edge_id":"E1154","source_id":"ORG_AU_SUN","target_id":"SEC_INS","edge_type":"IN_SECTOR","directed":true,"notes":null},</t>
  </si>
  <si>
    <t xml:space="preserve">    {"edge_id":"E1156","source_id":"ORG_AU_ASX","target_id":"GEO_H_SYD","edge_type":"LOCATED_IN","directed":true,"notes":null},</t>
  </si>
  <si>
    <t xml:space="preserve">    {"edge_id":"E1157","source_id":"ORG_AU_ASX","target_id":"SEC_DATA","edge_type":"IN_SECTOR","directed":true,"notes":null},</t>
  </si>
  <si>
    <t xml:space="preserve">    {"edge_id":"E1159","source_id":"ORG_AU_FUTUREFUND","target_id":"GEO_H_AUOTH","edge_type":"LOCATED_IN","directed":true,"notes":null},</t>
  </si>
  <si>
    <t xml:space="preserve">    {"edge_id":"E1160","source_id":"ORG_AU_FUTUREFUND","target_id":"SEC_AM","edge_type":"IN_SECTOR","directed":true,"notes":null},</t>
  </si>
  <si>
    <t xml:space="preserve">    {"edge_id":"E1162","source_id":"ORG_AU_AMP","target_id":"GEO_H_SYD","edge_type":"LOCATED_IN","directed":true,"notes":null},</t>
  </si>
  <si>
    <t xml:space="preserve">    {"edge_id":"E1163","source_id":"ORG_AU_AMP","target_id":"SEC_AM","edge_type":"IN_SECTOR","directed":true,"notes":null},</t>
  </si>
  <si>
    <t xml:space="preserve">    {"edge_id":"E1165","source_id":"ORG_AE_FAB","target_id":"GEO_H_AUH","edge_type":"LOCATED_IN","directed":true,"notes":null},</t>
  </si>
  <si>
    <t xml:space="preserve">    {"edge_id":"E1166","source_id":"ORG_AE_FAB","target_id":"SEC_COMM","edge_type":"IN_SECTOR","directed":true,"notes":null},</t>
  </si>
  <si>
    <t xml:space="preserve">    {"edge_id":"E1168","source_id":"ORG_AE_ENBD","target_id":"GEO_H_DXB","edge_type":"LOCATED_IN","directed":true,"notes":null},</t>
  </si>
  <si>
    <t xml:space="preserve">    {"edge_id":"E1169","source_id":"ORG_AE_ENBD","target_id":"SEC_COMM","edge_type":"IN_SECTOR","directed":true,"notes":null},</t>
  </si>
  <si>
    <t xml:space="preserve">    {"edge_id":"E1171","source_id":"ORG_AE_ADCB","target_id":"GEO_H_AUH","edge_type":"LOCATED_IN","directed":true,"notes":null},</t>
  </si>
  <si>
    <t xml:space="preserve">    {"edge_id":"E1172","source_id":"ORG_AE_ADCB","target_id":"SEC_COMM","edge_type":"IN_SECTOR","directed":true,"notes":null},</t>
  </si>
  <si>
    <t xml:space="preserve">    {"edge_id":"E1174","source_id":"ORG_AE_MASHREQ","target_id":"GEO_H_DXB","edge_type":"LOCATED_IN","directed":true,"notes":null},</t>
  </si>
  <si>
    <t xml:space="preserve">    {"edge_id":"E1175","source_id":"ORG_AE_MASHREQ","target_id":"SEC_COMM","edge_type":"IN_SECTOR","directed":true,"notes":null},</t>
  </si>
  <si>
    <t xml:space="preserve">    {"edge_id":"E1177","source_id":"ORG_AE_DIB","target_id":"GEO_H_DXB","edge_type":"LOCATED_IN","directed":true,"notes":null},</t>
  </si>
  <si>
    <t xml:space="preserve">    {"edge_id":"E1178","source_id":"ORG_AE_DIB","target_id":"SEC_COMM","edge_type":"IN_SECTOR","directed":true,"notes":null},</t>
  </si>
  <si>
    <t xml:space="preserve">    {"edge_id":"E1180","source_id":"ORG_AE_ADIB","target_id":"GEO_H_AUH","edge_type":"LOCATED_IN","directed":true,"notes":null},</t>
  </si>
  <si>
    <t xml:space="preserve">    {"edge_id":"E1181","source_id":"ORG_AE_ADIB","target_id":"SEC_COMM","edge_type":"IN_SECTOR","directed":true,"notes":null},</t>
  </si>
  <si>
    <t xml:space="preserve">    {"edge_id":"E1183","source_id":"ORG_AE_ADIA","target_id":"GEO_H_AUH","edge_type":"LOCATED_IN","directed":true,"notes":null},</t>
  </si>
  <si>
    <t xml:space="preserve">    {"edge_id":"E1184","source_id":"ORG_AE_ADIA","target_id":"SEC_AM","edge_type":"IN_SECTOR","directed":true,"notes":null},</t>
  </si>
  <si>
    <t xml:space="preserve">    {"edge_id":"E1186","source_id":"ORG_AE_MUBADALA","target_id":"GEO_H_AUH","edge_type":"LOCATED_IN","directed":true,"notes":null},</t>
  </si>
  <si>
    <t xml:space="preserve">    {"edge_id":"E1187","source_id":"ORG_AE_MUBADALA","target_id":"SEC_AM","edge_type":"IN_SECTOR","directed":true,"notes":null},</t>
  </si>
  <si>
    <t xml:space="preserve">    {"edge_id":"E1189","source_id":"ORG_AE_CBUAE","target_id":"GEO_H_AUH","edge_type":"LOCATED_IN","directed":true,"notes":null},</t>
  </si>
  <si>
    <t xml:space="preserve">    {"edge_id":"E1190","source_id":"ORG_AE_CBUAE","target_id":"SEC_CB","edge_type":"IN_SECTOR","directed":true,"notes":null},</t>
  </si>
  <si>
    <t xml:space="preserve">    {"edge_id":"E1192","source_id":"ORG_AE_DFM","target_id":"GEO_H_DXB","edge_type":"LOCATED_IN","directed":true,"notes":null},</t>
  </si>
  <si>
    <t xml:space="preserve">    {"edge_id":"E1193","source_id":"ORG_AE_DFM","target_id":"SEC_DATA","edge_type":"IN_SECTOR","directed":true,"notes":null},</t>
  </si>
  <si>
    <t xml:space="preserve">    {"edge_id":"E1195","source_id":"ORG_CA_RBC","target_id":"GEO_H_YYZ","edge_type":"LOCATED_IN","directed":true,"notes":null},</t>
  </si>
  <si>
    <t xml:space="preserve">    {"edge_id":"E1196","source_id":"ORG_CA_RBC","target_id":"SEC_COMM","edge_type":"IN_SECTOR","directed":true,"notes":null},</t>
  </si>
  <si>
    <t xml:space="preserve">    {"edge_id":"E1198","source_id":"ORG_CA_TD","target_id":"GEO_H_YYZ","edge_type":"LOCATED_IN","directed":true,"notes":null},</t>
  </si>
  <si>
    <t xml:space="preserve">    {"edge_id":"E1199","source_id":"ORG_CA_TD","target_id":"SEC_COMM","edge_type":"IN_SECTOR","directed":true,"notes":null},</t>
  </si>
  <si>
    <t xml:space="preserve">    {"edge_id":"E1201","source_id":"ORG_CA_SCOTIA","target_id":"GEO_H_YYZ","edge_type":"LOCATED_IN","directed":true,"notes":null},</t>
  </si>
  <si>
    <t xml:space="preserve">    {"edge_id":"E1202","source_id":"ORG_CA_SCOTIA","target_id":"SEC_COMM","edge_type":"IN_SECTOR","directed":true,"notes":null},</t>
  </si>
  <si>
    <t xml:space="preserve">    {"edge_id":"E1204","source_id":"ORG_CA_BMO","target_id":"GEO_H_YYZ","edge_type":"LOCATED_IN","directed":true,"notes":null},</t>
  </si>
  <si>
    <t xml:space="preserve">    {"edge_id":"E1205","source_id":"ORG_CA_BMO","target_id":"SEC_COMM","edge_type":"IN_SECTOR","directed":true,"notes":null},</t>
  </si>
  <si>
    <t xml:space="preserve">    {"edge_id":"E1207","source_id":"ORG_CA_CIBC","target_id":"GEO_H_YYZ","edge_type":"LOCATED_IN","directed":true,"notes":null},</t>
  </si>
  <si>
    <t xml:space="preserve">    {"edge_id":"E1208","source_id":"ORG_CA_CIBC","target_id":"SEC_COMM","edge_type":"IN_SECTOR","directed":true,"notes":null},</t>
  </si>
  <si>
    <t xml:space="preserve">    {"edge_id":"E1210","source_id":"ORG_CA_MFC","target_id":"GEO_H_YYZ","edge_type":"LOCATED_IN","directed":true,"notes":null},</t>
  </si>
  <si>
    <t xml:space="preserve">    {"edge_id":"E1211","source_id":"ORG_CA_MFC","target_id":"SEC_INS","edge_type":"IN_SECTOR","directed":true,"notes":null},</t>
  </si>
  <si>
    <t xml:space="preserve">    {"edge_id":"E1213","source_id":"ORG_CA_SLF","target_id":"GEO_H_YYZ","edge_type":"LOCATED_IN","directed":true,"notes":null},</t>
  </si>
  <si>
    <t xml:space="preserve">    {"edge_id":"E1214","source_id":"ORG_CA_SLF","target_id":"SEC_INS","edge_type":"IN_SECTOR","directed":true,"notes":null},</t>
  </si>
  <si>
    <t xml:space="preserve">    {"edge_id":"E1216","source_id":"ORG_CA_CPPIB","target_id":"GEO_H_YYZ","edge_type":"LOCATED_IN","directed":true,"notes":null},</t>
  </si>
  <si>
    <t xml:space="preserve">    {"edge_id":"E1217","source_id":"ORG_CA_CPPIB","target_id":"SEC_AM","edge_type":"IN_SECTOR","directed":true,"notes":null},</t>
  </si>
  <si>
    <t xml:space="preserve">    {"edge_id":"E1219","source_id":"ORG_CA_OTPP","target_id":"GEO_H_YYZ","edge_type":"LOCATED_IN","directed":true,"notes":null},</t>
  </si>
  <si>
    <t xml:space="preserve">    {"edge_id":"E1220","source_id":"ORG_CA_OTPP","target_id":"SEC_AM","edge_type":"IN_SECTOR","directed":true,"notes":null},</t>
  </si>
  <si>
    <t xml:space="preserve">    {"edge_id":"E1222","source_id":"ORG_CA_BN","target_id":"GEO_H_YYZ","edge_type":"LOCATED_IN","directed":true,"notes":null},</t>
  </si>
  <si>
    <t xml:space="preserve">    {"edge_id":"E1223","source_id":"ORG_CA_BN","target_id":"SEC_AM","edge_type":"IN_SECTOR","directed":true,"notes":null},</t>
  </si>
  <si>
    <t xml:space="preserve">    {"edge_id":"E1225","source_id":"ORG_CA_TMX","target_id":"GEO_H_YYZ","edge_type":"LOCATED_IN","directed":true,"notes":null},</t>
  </si>
  <si>
    <t xml:space="preserve">    {"edge_id":"E1226","source_id":"ORG_CA_TMX","target_id":"SEC_DATA","edge_type":"IN_SECTOR","directed":true,"notes":null},</t>
  </si>
  <si>
    <t xml:space="preserve">    {"edge_id":"E1228","source_id":"ORG_CA_BOC","target_id":"GEO_H_CAOTH","edge_type":"LOCATED_IN","directed":true,"notes":null},</t>
  </si>
  <si>
    <t xml:space="preserve">    {"edge_id":"E1229","source_id":"ORG_CA_BOC","target_id":"SEC_CB","edge_type":"IN_SECTOR","directed":true,"notes":null},</t>
  </si>
  <si>
    <t xml:space="preserve">    {"edge_id":"E1230","source_id":"ORG_GS","target_id":"GEO_H_SIN","edge_type":"LOCATED_IN","directed":true,"notes":"Singapore site - APAC graduate/analyst intake"},</t>
  </si>
  <si>
    <t xml:space="preserve">    {"edge_id":"E1231","source_id":"ORG_MS","target_id":"GEO_H_SIN","edge_type":"LOCATED_IN","directed":true,"notes":"Singapore site - APAC graduate/analyst intake"},</t>
  </si>
  <si>
    <t xml:space="preserve">    {"edge_id":"E1232","source_id":"ORG_JPM","target_id":"GEO_H_SIN","edge_type":"LOCATED_IN","directed":true,"notes":"Singapore site - APAC graduate/analyst intake"},</t>
  </si>
  <si>
    <t xml:space="preserve">    {"edge_id":"E1233","source_id":"ORG_BAC","target_id":"GEO_H_SIN","edge_type":"LOCATED_IN","directed":true,"notes":"Singapore site - APAC graduate/analyst intake"},</t>
  </si>
  <si>
    <t xml:space="preserve">    {"edge_id":"E1234","source_id":"ORG_CITI","target_id":"GEO_H_SIN","edge_type":"LOCATED_IN","directed":true,"notes":"Singapore site - APAC graduate/analyst intake"},</t>
  </si>
  <si>
    <t xml:space="preserve">    {"edge_id":"E1235","source_id":"ORG_HSBC","target_id":"GEO_H_SIN","edge_type":"LOCATED_IN","directed":true,"notes":"Singapore site - APAC graduate/analyst intake"},</t>
  </si>
  <si>
    <t xml:space="preserve">    {"edge_id":"E1236","source_id":"ORG_STAN","target_id":"GEO_H_SIN","edge_type":"LOCATED_IN","directed":true,"notes":"Singapore site - APAC graduate/analyst intake"},</t>
  </si>
  <si>
    <t xml:space="preserve">    {"edge_id":"E1237","source_id":"ORG_BARC","target_id":"GEO_H_SIN","edge_type":"LOCATED_IN","directed":true,"notes":"Singapore site - APAC graduate/analyst intake"},</t>
  </si>
  <si>
    <t xml:space="preserve">    {"edge_id":"E1238","source_id":"ORG_DB","target_id":"GEO_H_SIN","edge_type":"LOCATED_IN","directed":true,"notes":"Singapore site - APAC graduate/analyst intake"},</t>
  </si>
  <si>
    <t xml:space="preserve">    {"edge_id":"E1239","source_id":"ORG_UBS","target_id":"GEO_H_SIN","edge_type":"LOCATED_IN","directed":true,"notes":"Singapore site - APAC graduate/analyst intake"},</t>
  </si>
  <si>
    <t xml:space="preserve">    {"edge_id":"E1240","source_id":"ORG_BNP","target_id":"GEO_H_SIN","edge_type":"LOCATED_IN","directed":true,"notes":"Singapore site - APAC graduate/analyst intake"},</t>
  </si>
  <si>
    <t xml:space="preserve">    {"edge_id":"E1241","source_id":"ORG_SG","target_id":"GEO_H_SIN","edge_type":"LOCATED_IN","directed":true,"notes":"Singapore site - APAC graduate/analyst intake"},</t>
  </si>
  <si>
    <t xml:space="preserve">    {"edge_id":"E1242","source_id":"ORG_JS","target_id":"GEO_H_SIN","edge_type":"LOCATED_IN","directed":true,"notes":"Singapore site - APAC graduate/analyst intake"},</t>
  </si>
  <si>
    <t xml:space="preserve">    {"edge_id":"E1243","source_id":"ORG_CITSEC","target_id":"GEO_H_SIN","edge_type":"LOCATED_IN","directed":true,"notes":"Singapore site - APAC graduate/analyst intake"},</t>
  </si>
  <si>
    <t xml:space="preserve">    {"edge_id":"E1244","source_id":"ORG_BLK","target_id":"GEO_H_SIN","edge_type":"LOCATED_IN","directed":true,"notes":"Singapore site - APAC graduate/analyst intake"},</t>
  </si>
  <si>
    <t xml:space="preserve">    {"edge_id":"E1245","source_id":"ORG_STT","target_id":"GEO_H_SIN","edge_type":"LOCATED_IN","directed":true,"notes":"Singapore site - APAC graduate/analyst intake"},</t>
  </si>
  <si>
    <t xml:space="preserve">    {"edge_id":"E1246","source_id":"ORG_BNY","target_id":"GEO_H_SIN","edge_type":"LOCATED_IN","directed":true,"notes":"Singapore site - APAC graduate/analyst intake"},</t>
  </si>
  <si>
    <t xml:space="preserve">    {"edge_id":"E1247","source_id":"ORG_NTRS","target_id":"GEO_H_SIN","edge_type":"LOCATED_IN","directed":true,"notes":"Singapore site - APAC graduate/analyst intake"},</t>
  </si>
  <si>
    <t xml:space="preserve">    {"edge_id":"E1248","source_id":"ORG_SPGI","target_id":"GEO_H_SIN","edge_type":"LOCATED_IN","directed":true,"notes":"Singapore site - APAC graduate/analyst intake"},</t>
  </si>
  <si>
    <t xml:space="preserve">    {"edge_id":"E1249","source_id":"ORG_BBG","target_id":"GEO_H_SIN","edge_type":"LOCATED_IN","directed":true,"notes":"Singapore site - APAC graduate/analyst intake"},</t>
  </si>
  <si>
    <t xml:space="preserve">    {"edge_id":"E1250","source_id":"ORG_MBB","target_id":"GEO_H_SIN","edge_type":"LOCATED_IN","directed":true,"notes":"Singapore site - APAC graduate/analyst intake"},</t>
  </si>
  <si>
    <t xml:space="preserve">    {"edge_id":"E1251","source_id":"ORG_BIG4","target_id":"GEO_H_SIN","edge_type":"LOCATED_IN","directed":true,"notes":"Singapore site - APAC graduate/analyst intake"},</t>
  </si>
  <si>
    <t xml:space="preserve">    {"edge_id":"E1252","source_id":"ORG_OW","target_id":"GEO_H_SIN","edge_type":"LOCATED_IN","directed":true,"notes":"Singapore site - APAC graduate/analyst intake"},</t>
  </si>
  <si>
    <t xml:space="preserve">    {"edge_id":"E1253","source_id":"ORG_ACN","target_id":"GEO_H_SIN","edge_type":"LOCATED_IN","directed":true,"notes":"Singapore site - APAC graduate/analyst intake"},</t>
  </si>
  <si>
    <t xml:space="preserve">    {"edge_id":"E1254","source_id":"ORG_GS","target_id":"GEO_H_TYO","edge_type":"LOCATED_IN","directed":true,"notes":"Tokyo site - Japan analyst intake, run separately from domestic shinsotsu hiring"},</t>
  </si>
  <si>
    <t xml:space="preserve">    {"edge_id":"E1255","source_id":"ORG_MS","target_id":"GEO_H_TYO","edge_type":"LOCATED_IN","directed":true,"notes":"Tokyo site - Japan analyst intake, run separately from domestic shinsotsu hiring"},</t>
  </si>
  <si>
    <t xml:space="preserve">    {"edge_id":"E1256","source_id":"ORG_JPM","target_id":"GEO_H_TYO","edge_type":"LOCATED_IN","directed":true,"notes":"Tokyo site - Japan analyst intake, run separately from domestic shinsotsu hiring"},</t>
  </si>
  <si>
    <t xml:space="preserve">    {"edge_id":"E1257","source_id":"ORG_BAC","target_id":"GEO_H_TYO","edge_type":"LOCATED_IN","directed":true,"notes":"Tokyo site - Japan analyst intake, run separately from domestic shinsotsu hiring"},</t>
  </si>
  <si>
    <t xml:space="preserve">    {"edge_id":"E1258","source_id":"ORG_CITI","target_id":"GEO_H_TYO","edge_type":"LOCATED_IN","directed":true,"notes":"Tokyo site - Japan analyst intake, run separately from domestic shinsotsu hiring"},</t>
  </si>
  <si>
    <t xml:space="preserve">    {"edge_id":"E1259","source_id":"ORG_BARC","target_id":"GEO_H_TYO","edge_type":"LOCATED_IN","directed":true,"notes":"Tokyo site - Japan analyst intake, run separately from domestic shinsotsu hiring"},</t>
  </si>
  <si>
    <t xml:space="preserve">    {"edge_id":"E1260","source_id":"ORG_DB","target_id":"GEO_H_TYO","edge_type":"LOCATED_IN","directed":true,"notes":"Tokyo site - Japan analyst intake, run separately from domestic shinsotsu hiring"},</t>
  </si>
  <si>
    <t xml:space="preserve">    {"edge_id":"E1261","source_id":"ORG_UBS","target_id":"GEO_H_TYO","edge_type":"LOCATED_IN","directed":true,"notes":"Tokyo site - Japan analyst intake, run separately from domestic shinsotsu hiring"},</t>
  </si>
  <si>
    <t xml:space="preserve">    {"edge_id":"E1262","source_id":"ORG_BNP","target_id":"GEO_H_TYO","edge_type":"LOCATED_IN","directed":true,"notes":"Tokyo site - Japan analyst intake, run separately from domestic shinsotsu hiring"},</t>
  </si>
  <si>
    <t xml:space="preserve">    {"edge_id":"E1263","source_id":"ORG_SG","target_id":"GEO_H_TYO","edge_type":"LOCATED_IN","directed":true,"notes":"Tokyo site - Japan analyst intake, run separately from domestic shinsotsu hiring"},</t>
  </si>
  <si>
    <t xml:space="preserve">    {"edge_id":"E1264","source_id":"ORG_BLK","target_id":"GEO_H_TYO","edge_type":"LOCATED_IN","directed":true,"notes":"Tokyo site - Japan analyst intake, run separately from domestic shinsotsu hiring"},</t>
  </si>
  <si>
    <t xml:space="preserve">    {"edge_id":"E1265","source_id":"ORG_STT","target_id":"GEO_H_TYO","edge_type":"LOCATED_IN","directed":true,"notes":"Tokyo site - Japan analyst intake, run separately from domestic shinsotsu hiring"},</t>
  </si>
  <si>
    <t xml:space="preserve">    {"edge_id":"E1266","source_id":"ORG_BBG","target_id":"GEO_H_TYO","edge_type":"LOCATED_IN","directed":true,"notes":"Tokyo site - Japan analyst intake, run separately from domestic shinsotsu hiring"},</t>
  </si>
  <si>
    <t xml:space="preserve">    {"edge_id":"E1267","source_id":"ORG_MCO","target_id":"GEO_H_TYO","edge_type":"LOCATED_IN","directed":true,"notes":"Tokyo site - Japan analyst intake, run separately from domestic shinsotsu hiring"},</t>
  </si>
  <si>
    <t xml:space="preserve">    {"edge_id":"E1268","source_id":"ORG_MBB","target_id":"GEO_H_TYO","edge_type":"LOCATED_IN","directed":true,"notes":"Tokyo site - Japan analyst intake, run separately from domestic shinsotsu hiring"},</t>
  </si>
  <si>
    <t xml:space="preserve">    {"edge_id":"E1269","source_id":"ORG_BIG4","target_id":"GEO_H_TYO","edge_type":"LOCATED_IN","directed":true,"notes":"Tokyo site - Japan analyst intake, run separately from domestic shinsotsu hiring"},</t>
  </si>
  <si>
    <t xml:space="preserve">    {"edge_id":"E1270","source_id":"ORG_GS","target_id":"GEO_H_SYD","edge_type":"LOCATED_IN","directed":true,"notes":"Sydney site - Australian graduate intake"},</t>
  </si>
  <si>
    <t xml:space="preserve">    {"edge_id":"E1271","source_id":"ORG_MS","target_id":"GEO_H_SYD","edge_type":"LOCATED_IN","directed":true,"notes":"Sydney site - Australian graduate intake"},</t>
  </si>
  <si>
    <t xml:space="preserve">    {"edge_id":"E1272","source_id":"ORG_JPM","target_id":"GEO_H_SYD","edge_type":"LOCATED_IN","directed":true,"notes":"Sydney site - Australian graduate intake"},</t>
  </si>
  <si>
    <t xml:space="preserve">    {"edge_id":"E1273","source_id":"ORG_CITI","target_id":"GEO_H_SYD","edge_type":"LOCATED_IN","directed":true,"notes":"Sydney site - Australian graduate intake"},</t>
  </si>
  <si>
    <t xml:space="preserve">    {"edge_id":"E1274","source_id":"ORG_BARC","target_id":"GEO_H_SYD","edge_type":"LOCATED_IN","directed":true,"notes":"Sydney site - Australian graduate intake"},</t>
  </si>
  <si>
    <t xml:space="preserve">    {"edge_id":"E1275","source_id":"ORG_DB","target_id":"GEO_H_SYD","edge_type":"LOCATED_IN","directed":true,"notes":"Sydney site - Australian graduate intake"},</t>
  </si>
  <si>
    <t xml:space="preserve">    {"edge_id":"E1276","source_id":"ORG_UBS","target_id":"GEO_H_SYD","edge_type":"LOCATED_IN","directed":true,"notes":"Sydney site - Australian graduate intake"},</t>
  </si>
  <si>
    <t xml:space="preserve">    {"edge_id":"E1277","source_id":"ORG_BLK","target_id":"GEO_H_SYD","edge_type":"LOCATED_IN","directed":true,"notes":"Sydney site - Australian graduate intake"},</t>
  </si>
  <si>
    <t xml:space="preserve">    {"edge_id":"E1278","source_id":"ORG_STT","target_id":"GEO_H_SYD","edge_type":"LOCATED_IN","directed":true,"notes":"Sydney site - Australian graduate intake"},</t>
  </si>
  <si>
    <t xml:space="preserve">    {"edge_id":"E1279","source_id":"ORG_BBG","target_id":"GEO_H_SYD","edge_type":"LOCATED_IN","directed":true,"notes":"Sydney site - Australian graduate intake"},</t>
  </si>
  <si>
    <t xml:space="preserve">    {"edge_id":"E1280","source_id":"ORG_MBB","target_id":"GEO_H_SYD","edge_type":"LOCATED_IN","directed":true,"notes":"Sydney site - Australian graduate intake"},</t>
  </si>
  <si>
    <t xml:space="preserve">    {"edge_id":"E1281","source_id":"ORG_BIG4","target_id":"GEO_H_SYD","edge_type":"LOCATED_IN","directed":true,"notes":"Sydney site - Australian graduate intake"},</t>
  </si>
  <si>
    <t xml:space="preserve">    {"edge_id":"E1282","source_id":"ORG_ACN","target_id":"GEO_H_SYD","edge_type":"LOCATED_IN","directed":true,"notes":"Sydney site - Australian graduate intake"},</t>
  </si>
  <si>
    <t xml:space="preserve">    {"edge_id":"E1283","source_id":"ORG_GS","target_id":"GEO_H_DXB","edge_type":"LOCATED_IN","directed":true,"notes":"Dubai / DIFC site - Middle East analyst intake"},</t>
  </si>
  <si>
    <t xml:space="preserve">    {"edge_id":"E1284","source_id":"ORG_MS","target_id":"GEO_H_DXB","edge_type":"LOCATED_IN","directed":true,"notes":"Dubai / DIFC site - Middle East analyst intake"},</t>
  </si>
  <si>
    <t xml:space="preserve">    {"edge_id":"E1285","source_id":"ORG_JPM","target_id":"GEO_H_DXB","edge_type":"LOCATED_IN","directed":true,"notes":"Dubai / DIFC site - Middle East analyst intake"},</t>
  </si>
  <si>
    <t xml:space="preserve">    {"edge_id":"E1286","source_id":"ORG_CITI","target_id":"GEO_H_DXB","edge_type":"LOCATED_IN","directed":true,"notes":"Dubai / DIFC site - Middle East analyst intake"},</t>
  </si>
  <si>
    <t xml:space="preserve">    {"edge_id":"E1287","source_id":"ORG_HSBC","target_id":"GEO_H_DXB","edge_type":"LOCATED_IN","directed":true,"notes":"Dubai / DIFC site - Middle East analyst intake"},</t>
  </si>
  <si>
    <t xml:space="preserve">    {"edge_id":"E1288","source_id":"ORG_STAN","target_id":"GEO_H_DXB","edge_type":"LOCATED_IN","directed":true,"notes":"Dubai / DIFC site - Middle East analyst intake"},</t>
  </si>
  <si>
    <t xml:space="preserve">    {"edge_id":"E1289","source_id":"ORG_BARC","target_id":"GEO_H_DXB","edge_type":"LOCATED_IN","directed":true,"notes":"Dubai / DIFC site - Middle East analyst intake"},</t>
  </si>
  <si>
    <t xml:space="preserve">    {"edge_id":"E1290","source_id":"ORG_DB","target_id":"GEO_H_DXB","edge_type":"LOCATED_IN","directed":true,"notes":"Dubai / DIFC site - Middle East analyst intake"},</t>
  </si>
  <si>
    <t xml:space="preserve">    {"edge_id":"E1291","source_id":"ORG_UBS","target_id":"GEO_H_DXB","edge_type":"LOCATED_IN","directed":true,"notes":"Dubai / DIFC site - Middle East analyst intake"},</t>
  </si>
  <si>
    <t xml:space="preserve">    {"edge_id":"E1292","source_id":"ORG_BNP","target_id":"GEO_H_DXB","edge_type":"LOCATED_IN","directed":true,"notes":"Dubai / DIFC site - Middle East analyst intake"},</t>
  </si>
  <si>
    <t xml:space="preserve">    {"edge_id":"E1293","source_id":"ORG_BLK","target_id":"GEO_H_DXB","edge_type":"LOCATED_IN","directed":true,"notes":"Dubai / DIFC site - Middle East analyst intake"},</t>
  </si>
  <si>
    <t xml:space="preserve">    {"edge_id":"E1294","source_id":"ORG_BBG","target_id":"GEO_H_DXB","edge_type":"LOCATED_IN","directed":true,"notes":"Dubai / DIFC site - Middle East analyst intake"},</t>
  </si>
  <si>
    <t xml:space="preserve">    {"edge_id":"E1295","source_id":"ORG_MBB","target_id":"GEO_H_DXB","edge_type":"LOCATED_IN","directed":true,"notes":"Dubai / DIFC site - Middle East analyst intake"},</t>
  </si>
  <si>
    <t xml:space="preserve">    {"edge_id":"E1296","source_id":"ORG_BIG4","target_id":"GEO_H_DXB","edge_type":"LOCATED_IN","directed":true,"notes":"Dubai / DIFC site - Middle East analyst intake"},</t>
  </si>
  <si>
    <t xml:space="preserve">    {"edge_id":"E1297","source_id":"ORG_OW","target_id":"GEO_H_DXB","edge_type":"LOCATED_IN","directed":true,"notes":"Dubai / DIFC site - Middle East analyst intake"},</t>
  </si>
  <si>
    <t xml:space="preserve">    {"edge_id":"E1298","source_id":"ORG_GS","target_id":"GEO_H_YYZ","edge_type":"LOCATED_IN","directed":true,"notes":"Toronto site - Canadian new-grad intake"},</t>
  </si>
  <si>
    <t xml:space="preserve">    {"edge_id":"E1299","source_id":"ORG_MS","target_id":"GEO_H_YYZ","edge_type":"LOCATED_IN","directed":true,"notes":"Toronto site - Canadian new-grad intake"},</t>
  </si>
  <si>
    <t xml:space="preserve">    {"edge_id":"E1300","source_id":"ORG_JPM","target_id":"GEO_H_YYZ","edge_type":"LOCATED_IN","directed":true,"notes":"Toronto site - Canadian new-grad intake"},</t>
  </si>
  <si>
    <t xml:space="preserve">    {"edge_id":"E1301","source_id":"ORG_BAC","target_id":"GEO_H_YYZ","edge_type":"LOCATED_IN","directed":true,"notes":"Toronto site - Canadian new-grad intake"},</t>
  </si>
  <si>
    <t xml:space="preserve">    {"edge_id":"E1302","source_id":"ORG_CITI","target_id":"GEO_H_YYZ","edge_type":"LOCATED_IN","directed":true,"notes":"Toronto site - Canadian new-grad intake"},</t>
  </si>
  <si>
    <t xml:space="preserve">    {"edge_id":"E1303","source_id":"ORG_BARC","target_id":"GEO_H_YYZ","edge_type":"LOCATED_IN","directed":true,"notes":"Toronto site - Canadian new-grad intake"},</t>
  </si>
  <si>
    <t xml:space="preserve">    {"edge_id":"E1304","source_id":"ORG_DB","target_id":"GEO_H_YYZ","edge_type":"LOCATED_IN","directed":true,"notes":"Toronto site - Canadian new-grad intake"},</t>
  </si>
  <si>
    <t xml:space="preserve">    {"edge_id":"E1305","source_id":"ORG_UBS","target_id":"GEO_H_YYZ","edge_type":"LOCATED_IN","directed":true,"notes":"Toronto site - Canadian new-grad intake"},</t>
  </si>
  <si>
    <t xml:space="preserve">    {"edge_id":"E1306","source_id":"ORG_BLK","target_id":"GEO_H_YYZ","edge_type":"LOCATED_IN","directed":true,"notes":"Toronto site - Canadian new-grad intake"},</t>
  </si>
  <si>
    <t xml:space="preserve">    {"edge_id":"E1307","source_id":"ORG_STT","target_id":"GEO_H_YYZ","edge_type":"LOCATED_IN","directed":true,"notes":"Toronto site - Canadian new-grad intake"},</t>
  </si>
  <si>
    <t xml:space="preserve">    {"edge_id":"E1308","source_id":"ORG_BNY","target_id":"GEO_H_YYZ","edge_type":"LOCATED_IN","directed":true,"notes":"Toronto site - Canadian new-grad intake"},</t>
  </si>
  <si>
    <t xml:space="preserve">    {"edge_id":"E1309","source_id":"ORG_NTRS","target_id":"GEO_H_YYZ","edge_type":"LOCATED_IN","directed":true,"notes":"Toronto site - Canadian new-grad intake"},</t>
  </si>
  <si>
    <t xml:space="preserve">    {"edge_id":"E1310","source_id":"ORG_BBG","target_id":"GEO_H_YYZ","edge_type":"LOCATED_IN","directed":true,"notes":"Toronto site - Canadian new-grad intake"},</t>
  </si>
  <si>
    <t xml:space="preserve">    {"edge_id":"E1311","source_id":"ORG_MCO","target_id":"GEO_H_YYZ","edge_type":"LOCATED_IN","directed":true,"notes":"Toronto site - Canadian new-grad intake"},</t>
  </si>
  <si>
    <t xml:space="preserve">    {"edge_id":"E1312","source_id":"ORG_MBB","target_id":"GEO_H_YYZ","edge_type":"LOCATED_IN","directed":true,"notes":"Toronto site - Canadian new-grad intake"},</t>
  </si>
  <si>
    <t xml:space="preserve">    {"edge_id":"E1313","source_id":"ORG_BIG4","target_id":"GEO_H_YYZ","edge_type":"LOCATED_IN","directed":true,"notes":"Toronto site - Canadian new-grad intake"},</t>
  </si>
  <si>
    <t xml:space="preserve">    {"edge_id":"E1314","source_id":"ORG_ACN","target_id":"GEO_H_YYZ","edge_type":"LOCATED_IN","directed":true,"notes":"Toronto site - Canadian new-grad intake"}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</si>
</sst>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9" x14ac:knownFonts="1">
    <font>
      <sz val="12"/>
      <color theme="1"/>
      <name val="Aptos Narrow"/>
      <family val="2"/>
      <scheme val="minor"/>
    </font>
    <font>
      <b/>
      <sz val="12"/>
      <color theme="1"/>
      <name val="Aptos Narrow"/>
      <family val="2"/>
      <scheme val="minor"/>
    </font>
    <font>
      <b/>
      <sz val="12"/>
      <color rgb="FFFFFFFF"/>
      <name val="Aptos Narrow"/>
      <family val="2"/>
      <scheme val="minor"/>
    </font>
    <font>
      <b/>
      <sz val="14"/>
      <color theme="1"/>
      <name val="Aptos Narrow"/>
      <family val="2"/>
      <scheme val="minor"/>
    </font>
    <font>
      <i/>
      <sz val="12"/>
      <color theme="1"/>
      <name val="Aptos Narrow"/>
      <family val="2"/>
      <scheme val="minor"/>
    </font>
    <font>
      <sz val="10"/>
      <color rgb="FF000000"/>
      <name val="Tahoma"/>
      <family val="2"/>
    </font>
    <font>
      <b/>
      <sz val="10"/>
      <color rgb="FF000000"/>
      <name val="Tahoma"/>
      <family val="2"/>
    </font>
    <font>
      <sz val="9"/>
      <color theme="1"/>
      <name val="Consolas"/>
      <family val="2"/>
    </font>
    <font>
      <sz val="12"/>
      <color rgb="FF0000FF"/>
      <name val="Aptos Narrow"/>
      <family val="2"/>
      <scheme val="minor"/>
    </font>
  </fonts>
  <fills count="6">
    <fill>
      <patternFill patternType="none"/>
    </fill>
    <fill>
      <patternFill patternType="gray125"/>
    </fill>
    <fill>
      <patternFill patternType="solid">
        <fgColor rgb="FF1F3864"/>
        <bgColor indexed="64"/>
      </patternFill>
    </fill>
    <fill>
      <patternFill patternType="solid">
        <fgColor rgb="FFDDEBF7"/>
        <bgColor indexed="64"/>
      </patternFill>
    </fill>
    <fill>
      <patternFill patternType="solid">
        <fgColor rgb="FFFCE4D6"/>
        <bgColor indexed="64"/>
      </patternFill>
    </fill>
    <fill>
      <patternFill patternType="solid">
        <fgColor rgb="FFE2EFDA"/>
        <bgColor indexed="64"/>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1" fillId="3" borderId="0" xfId="0" applyFont="1" applyFill="1"/>
    <xf numFmtId="0" fontId="3" fillId="0" borderId="0" xfId="0" applyFont="1" applyAlignment="1">
      <alignment vertical="top"/>
    </xf>
    <xf numFmtId="0" fontId="0" fillId="0" borderId="0" xfId="0" applyAlignment="1">
      <alignment vertical="top" wrapText="1"/>
    </xf>
    <xf numFmtId="0" fontId="1" fillId="0" borderId="0" xfId="0" applyFont="1" applyAlignment="1">
      <alignment vertical="top"/>
    </xf>
    <xf numFmtId="0" fontId="1" fillId="3" borderId="0" xfId="0" applyFont="1" applyFill="1" applyAlignment="1">
      <alignment vertical="top"/>
    </xf>
    <xf numFmtId="0" fontId="4" fillId="0" borderId="0" xfId="0" applyFont="1"/>
    <xf numFmtId="0" fontId="0" fillId="0" borderId="0" xfId="0" applyAlignment="1">
      <alignment horizontal="right"/>
    </xf>
    <xf numFmtId="0" fontId="1" fillId="3" borderId="0" xfId="0" applyFont="1" applyFill="1" applyAlignment="1">
      <alignment horizontal="right"/>
    </xf>
    <xf numFmtId="0" fontId="1" fillId="0" borderId="0" xfId="0" applyFont="1" applyAlignment="1">
      <alignment horizontal="right"/>
    </xf>
    <xf numFmtId="0" fontId="0" fillId="0" borderId="0" xfId="0" applyAlignment="1">
      <alignment horizontal="left"/>
    </xf>
    <xf numFmtId="0" fontId="4" fillId="0" borderId="0" xfId="0" applyFont="1" applyAlignment="1">
      <alignment horizontal="left"/>
    </xf>
    <xf numFmtId="0" fontId="1" fillId="0" borderId="0" xfId="0" applyFont="1" applyAlignment="1">
      <alignment horizontal="left"/>
    </xf>
    <xf numFmtId="3" fontId="0" fillId="0" borderId="0" xfId="0" applyNumberFormat="1" applyAlignment="1">
      <alignment horizontal="left"/>
    </xf>
    <xf numFmtId="0" fontId="0" fillId="0" borderId="0" xfId="0" applyAlignment="1">
      <alignment horizontal="center"/>
    </xf>
    <xf numFmtId="0" fontId="0" fillId="0" borderId="0" xfId="0" applyFont="1" applyAlignment="1">
      <alignment horizontal="right"/>
    </xf>
    <xf numFmtId="49" fontId="0" fillId="0" borderId="0" xfId="0" applyNumberFormat="1" applyAlignment="1">
      <alignment horizontal="center"/>
    </xf>
    <xf numFmtId="0" fontId="4" fillId="0" borderId="0" xfId="0" applyFont="1" applyAlignment="1">
      <alignment vertical="top" wrapText="1"/>
    </xf>
    <xf numFmtId="164" fontId="0" fillId="0" borderId="0" xfId="0" applyNumberFormat="1" applyAlignment="1">
      <alignment horizontal="left"/>
    </xf>
    <xf numFmtId="164" fontId="0" fillId="0" borderId="0" xfId="0" applyNumberFormat="1"/>
    <xf numFmtId="164" fontId="1" fillId="0" borderId="0" xfId="0" applyNumberFormat="1" applyFont="1"/>
    <xf numFmtId="0" fontId="0" fillId="3" borderId="0" xfId="0" applyFill="1" applyAlignment="1">
      <alignment horizontal="right" vertical="top"/>
    </xf>
    <xf numFmtId="0" fontId="0" fillId="0" borderId="0" xfId="0" applyAlignment="1">
      <alignment vertical="top"/>
    </xf>
    <xf numFmtId="0" fontId="0" fillId="0" borderId="0" xfId="0" applyAlignment="1">
      <alignment horizontal="right" vertical="top"/>
    </xf>
    <xf numFmtId="0" fontId="0" fillId="3" borderId="0" xfId="0" applyFill="1" applyAlignment="1">
      <alignment vertical="top" wrapText="1"/>
    </xf>
    <xf numFmtId="0" fontId="1" fillId="4" borderId="0" xfId="0" applyFont="1" applyFill="1" applyAlignment="1">
      <alignment vertical="top"/>
    </xf>
    <xf numFmtId="0" fontId="0" fillId="4" borderId="0" xfId="0" applyFill="1" applyAlignment="1">
      <alignment vertical="top" wrapText="1"/>
    </xf>
    <xf numFmtId="0" fontId="7" fillId="0" borderId="0" xfId="0" applyFont="1"/>
    <xf numFmtId="0" fontId="8" fillId="0" borderId="0" xfId="0" applyFont="1"/>
    <xf numFmtId="0" fontId="1" fillId="5" borderId="0" xfId="0" applyFont="1" applyFill="1" applyAlignment="1">
      <alignment vertical="top"/>
    </xf>
    <xf numFmtId="0" fontId="0" fillId="5" borderId="0" xfId="0" applyFill="1" applyAlignment="1">
      <alignment vertical="top" wrapText="1"/>
    </xf>
  </cellXfs>
  <cellStyles count="1">
    <cellStyle name="Normal" xfId="0" builtinId="0"/>
  </cellStyles>
  <dxfs count="27">
    <dxf>
      <numFmt numFmtId="3" formatCode="#,##0"/>
      <alignment horizontal="left" vertical="bottom" textRotation="0" wrapText="0" indent="0" justifyLastLine="0" shrinkToFit="0" readingOrder="0"/>
    </dxf>
    <dxf>
      <numFmt numFmtId="3" formatCode="#,##0"/>
      <alignment horizontal="left" vertical="bottom" textRotation="0" wrapText="0" indent="0" justifyLastLine="0" shrinkToFit="0" readingOrder="0"/>
    </dxf>
    <dxf>
      <numFmt numFmtId="30" formatCode="@"/>
      <alignment horizontal="center"/>
    </dxf>
    <dxf>
      <alignment horizontal="left" wrapText="0"/>
    </dxf>
    <dxf>
      <alignment horizontal="center"/>
    </dxf>
    <dxf>
      <alignment horizontal="center"/>
    </dxf>
    <dxf>
      <numFmt numFmtId="3" formatCode="#,##0"/>
      <alignment horizontal="left"/>
    </dxf>
    <dxf>
      <numFmt numFmtId="3" formatCode="#,##0"/>
      <alignment horizontal="left"/>
    </dxf>
    <dxf>
      <numFmt numFmtId="3" formatCode="#,##0"/>
      <alignment horizontal="left"/>
    </dxf>
    <dxf>
      <alignment horizontal="left"/>
    </dxf>
    <dxf>
      <font>
        <b/>
      </font>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B59F44-44C3-204B-B9EA-994AC0426AFB}" name="tblNodes" displayName="tblNodes" ref="A1:X406" totalsRowShown="0" headerRowDxfId="10" dataDxfId="9">
  <autoFilter ref="A1:X406" xr:uid="{7AB59F44-44C3-204B-B9EA-994AC0426AFB}"/>
  <tableColumns count="24">
    <tableColumn id="1" xr3:uid="{B3E3C2A5-2980-DD41-95A0-DDD677B01EC1}" name="node_id" dataDxfId="25"/>
    <tableColumn id="2" xr3:uid="{F0C55653-46C7-2B49-8F5D-79346E2CC846}" name="label" dataDxfId="24"/>
    <tableColumn id="3" xr3:uid="{7EF56C18-35E9-CB41-B9B7-53E92B66AD7E}" name="node_type" dataDxfId="23"/>
    <tableColumn id="4" xr3:uid="{21F9018D-C674-0A4A-8E0C-F1F31A4DBD40}" name="region" dataDxfId="22"/>
    <tableColumn id="5" xr3:uid="{9F723A48-481B-CF49-BD95-55E1CC20A2E6}" name="country" dataDxfId="21"/>
    <tableColumn id="6" xr3:uid="{E7038FBD-7999-D94D-83A0-421C216070D5}" name="hub_city" dataDxfId="20"/>
    <tableColumn id="7" xr3:uid="{24A9A635-18A6-8A4D-9721-BD0EBE52D468}" name="sector" dataDxfId="19"/>
    <tableColumn id="8" xr3:uid="{2AD1FA73-EF42-6149-A97C-E8C2EB5BF7EA}" name="subsector_tier" dataDxfId="18"/>
    <tableColumn id="9" xr3:uid="{8735E10C-8459-F641-AA60-BB6891E2D05A}" name="entry_mechanism_id" dataDxfId="17"/>
    <tableColumn id="10" xr3:uid="{CA473E44-8322-764D-AC28-827E170F1383}" name="program_name" dataDxfId="16"/>
    <tableColumn id="11" xr3:uid="{102D8FE2-D8C8-1445-BEAE-86D970595547}" name="program_length_months" dataDxfId="2"/>
    <tableColumn id="12" xr3:uid="{CC2BFDBD-940D-7648-8F59-D010CC15FFAC}" name="cycle_timing" dataDxfId="5"/>
    <tableColumn id="13" xr3:uid="{E52E00A0-E430-AF4F-A2F3-41ED1C2626A3}" name="lead_time_months" dataDxfId="4"/>
    <tableColumn id="14" xr3:uid="{2A513331-39C7-5044-B867-687D040725C8}" name="org_size_band" dataDxfId="15"/>
    <tableColumn id="15" xr3:uid="{72A7CB96-4A38-EA46-B5A3-F9ABB179F3E9}" name="size_basis" dataDxfId="14"/>
    <tableColumn id="16" xr3:uid="{94B81894-51C0-C14F-BA6C-14EBC004E2C0}" name="annual_intake_low" dataDxfId="8"/>
    <tableColumn id="17" xr3:uid="{AD325B77-3722-284B-8F20-0C26FC8E4264}" name="annual_intake_high" dataDxfId="7"/>
    <tableColumn id="18" xr3:uid="{58044138-1CED-6C40-B2D4-04B408977524}" name="applications_per_cycle" dataDxfId="6"/>
    <tableColumn id="23" xr3:uid="{50F76455-5D85-D249-8A90-4C642B8B89F9}" name="intake_estimate_central" dataDxfId="1">
      <calculatedColumnFormula>IF($C2&lt;&gt;"Organisation","",IF(OR($P2&lt;&gt;"",$Q2&lt;&gt;""),IF($P2&lt;&gt;"",IF($Q2&lt;&gt;"",($P2+$Q2)/2,$P2),$Q2),ROUND(_xlfn.XLOOKUP($N2,Assumptions!$B$5:$B$9,Assumptions!$C$5:$C$9,0)*_xlfn.XLOOKUP($G2,Assumptions!$B$13:$B$26,Assumptions!$C$13:$C$26,0)*_xlfn.XLOOKUP($I2,Assumptions!$B$30:$B$42,Assumptions!$C$30:$C$42,0),0)))</calculatedColumnFormula>
    </tableColumn>
    <tableColumn id="24" xr3:uid="{2EFF3070-9138-4046-93E9-D702027F8D0B}" name="intake_estimate_basis" dataDxfId="0">
      <calculatedColumnFormula>IF($C2&lt;&gt;"Organisation","",IF(OR($P2&lt;&gt;"",$Q2&lt;&gt;""),"Documented in source - midpoint of annual_intake_low/high",IF($I2="","No confirmed programme - modelled as zero",$N2&amp;" base x "&amp;TEXT(_xlfn.XLOOKUP($G2,Assumptions!$B$13:$B$26,Assumptions!$C$13:$C$26,0),"0.0#")&amp;" sector x "&amp;TEXT(_xlfn.XLOOKUP($I2,Assumptions!$B$30:$B$42,Assumptions!$C$30:$C$42,0),"0.0#")&amp;" mechanism")))</calculatedColumnFormula>
    </tableColumn>
    <tableColumn id="19" xr3:uid="{C9B99589-8A67-7447-B3DC-E83EAB0FDD1A}" name="confirmation_status" dataDxfId="13"/>
    <tableColumn id="20" xr3:uid="{AAD6545A-CC74-B443-A862-44CE790747E8}" name="data_confidence" dataDxfId="12"/>
    <tableColumn id="21" xr3:uid="{DBB20042-28EA-A648-918E-73F0957832CD}" name="geo_source" dataDxfId="11"/>
    <tableColumn id="22" xr3:uid="{23CBF9FF-63B7-EE43-8E0E-92B3B0DAD80D}" name="notes" dataDxfId="3"/>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15B5BC-1BB3-1D4A-9A74-7E79F688C736}" name="tblEdges" displayName="tblEdges" ref="A1:G881" totalsRowShown="0" headerRowDxfId="26">
  <autoFilter ref="A1:G881" xr:uid="{E415B5BC-1BB3-1D4A-9A74-7E79F688C736}"/>
  <tableColumns count="7">
    <tableColumn id="1" xr3:uid="{9BEF97EB-80FE-764A-83B8-1690EECDC9D9}" name="edge_id"/>
    <tableColumn id="2" xr3:uid="{309D5019-34F8-BC40-B69B-E0994B64AA7F}" name="source_id"/>
    <tableColumn id="3" xr3:uid="{29A2FE09-F3AD-F644-9DC7-80C9C46AFCAA}" name="target_id"/>
    <tableColumn id="4" xr3:uid="{7EF01A73-5FE6-BE4C-A198-2EC64516F162}" name="edge_type"/>
    <tableColumn id="5" xr3:uid="{D1239D13-A1BD-EC4E-A22A-48F62DE4AC53}" name="directed"/>
    <tableColumn id="6" xr3:uid="{212B197D-91DD-DB4F-A919-117BE5299F3C}" name="weight"/>
    <tableColumn id="7" xr3:uid="{AA84967B-D211-164F-86E5-2C505DEA3CA2}" name="notes"/>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75C5DB9-80E5-E346-8864-65A99A9146EC}">
  <we:reference id="WA200009404" version="1.0.0.8" store="Omex" storeType="OMEX"/>
  <we:alternateReferences>
    <we:reference id="WA200009404" version="1.0.0.8" store="WA200009404" storeType="OMEX"/>
  </we:alternateReferences>
  <we:properties>
    <we:property name="claude.fileId" value="&quot;64393c50-71ce-4b9a-aa56-f2af80aa8cba&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D241E-40FB-974D-9A96-F30724648CB8}">
  <dimension ref="A1:B78"/>
  <sheetViews>
    <sheetView workbookViewId="0"/>
  </sheetViews>
  <sheetFormatPr baseColWidth="10" defaultRowHeight="16" x14ac:dyDescent="0.2"/>
  <cols>
    <col min="1" max="1" width="35" style="7" customWidth="1"/>
    <col min="2" max="2" width="103.33203125" style="6" customWidth="1"/>
  </cols>
  <sheetData>
    <row r="1" spans="1:2" ht="19" x14ac:dyDescent="0.2">
      <c r="A1" s="5" t="s">
        <v>1356</v>
      </c>
    </row>
    <row r="2" spans="1:2" ht="17" x14ac:dyDescent="0.2">
      <c r="A2" s="7" t="s">
        <v>1357</v>
      </c>
      <c r="B2" s="6" t="s">
        <v>1358</v>
      </c>
    </row>
    <row r="3" spans="1:2" ht="34" x14ac:dyDescent="0.2">
      <c r="A3" s="7" t="s">
        <v>1359</v>
      </c>
      <c r="B3" s="6" t="s">
        <v>1360</v>
      </c>
    </row>
    <row r="5" spans="1:2" x14ac:dyDescent="0.2">
      <c r="A5" s="8" t="s">
        <v>1361</v>
      </c>
    </row>
    <row r="6" spans="1:2" ht="17" x14ac:dyDescent="0.2">
      <c r="A6" s="7" t="s">
        <v>1362</v>
      </c>
      <c r="B6" s="6" t="s">
        <v>1363</v>
      </c>
    </row>
    <row r="7" spans="1:2" ht="17" x14ac:dyDescent="0.2">
      <c r="A7" s="7" t="s">
        <v>1364</v>
      </c>
      <c r="B7" s="6" t="s">
        <v>1365</v>
      </c>
    </row>
    <row r="8" spans="1:2" ht="17" x14ac:dyDescent="0.2">
      <c r="A8" s="7" t="s">
        <v>1366</v>
      </c>
      <c r="B8" s="6" t="s">
        <v>1367</v>
      </c>
    </row>
    <row r="9" spans="1:2" ht="17" x14ac:dyDescent="0.2">
      <c r="A9" s="7" t="s">
        <v>1368</v>
      </c>
      <c r="B9" s="6" t="s">
        <v>1369</v>
      </c>
    </row>
    <row r="11" spans="1:2" x14ac:dyDescent="0.2">
      <c r="A11" s="8" t="s">
        <v>1370</v>
      </c>
    </row>
    <row r="12" spans="1:2" ht="51" x14ac:dyDescent="0.2">
      <c r="A12" s="7" t="s">
        <v>1371</v>
      </c>
      <c r="B12" s="6" t="s">
        <v>1372</v>
      </c>
    </row>
    <row r="13" spans="1:2" ht="34" x14ac:dyDescent="0.2">
      <c r="A13" s="7" t="s">
        <v>1373</v>
      </c>
      <c r="B13" s="6" t="s">
        <v>1374</v>
      </c>
    </row>
    <row r="14" spans="1:2" ht="34" x14ac:dyDescent="0.2">
      <c r="A14" s="7" t="s">
        <v>1375</v>
      </c>
      <c r="B14" s="6" t="s">
        <v>1376</v>
      </c>
    </row>
    <row r="15" spans="1:2" ht="34" x14ac:dyDescent="0.2">
      <c r="A15" s="7" t="s">
        <v>1377</v>
      </c>
      <c r="B15" s="6" t="s">
        <v>1378</v>
      </c>
    </row>
    <row r="16" spans="1:2" ht="17" x14ac:dyDescent="0.2">
      <c r="A16" s="7" t="s">
        <v>1379</v>
      </c>
      <c r="B16" s="6" t="s">
        <v>1380</v>
      </c>
    </row>
    <row r="18" spans="1:2" x14ac:dyDescent="0.2">
      <c r="A18" s="8" t="s">
        <v>1381</v>
      </c>
    </row>
    <row r="19" spans="1:2" ht="51" x14ac:dyDescent="0.2">
      <c r="A19" s="7" t="s">
        <v>1382</v>
      </c>
      <c r="B19" s="6" t="s">
        <v>1383</v>
      </c>
    </row>
    <row r="20" spans="1:2" ht="34" x14ac:dyDescent="0.2">
      <c r="A20" s="7" t="s">
        <v>1384</v>
      </c>
      <c r="B20" s="6" t="s">
        <v>1385</v>
      </c>
    </row>
    <row r="21" spans="1:2" ht="34" x14ac:dyDescent="0.2">
      <c r="A21" s="7" t="s">
        <v>1386</v>
      </c>
      <c r="B21" s="6" t="s">
        <v>1387</v>
      </c>
    </row>
    <row r="22" spans="1:2" ht="17" x14ac:dyDescent="0.2">
      <c r="A22" s="7" t="s">
        <v>1388</v>
      </c>
      <c r="B22" s="6" t="s">
        <v>1389</v>
      </c>
    </row>
    <row r="23" spans="1:2" ht="34" x14ac:dyDescent="0.2">
      <c r="A23" s="7" t="s">
        <v>1390</v>
      </c>
      <c r="B23" s="6" t="s">
        <v>1391</v>
      </c>
    </row>
    <row r="24" spans="1:2" ht="34" x14ac:dyDescent="0.2">
      <c r="A24" s="7" t="s">
        <v>1392</v>
      </c>
      <c r="B24" s="6" t="s">
        <v>1393</v>
      </c>
    </row>
    <row r="25" spans="1:2" ht="34" x14ac:dyDescent="0.2">
      <c r="A25" s="7" t="s">
        <v>1394</v>
      </c>
      <c r="B25" s="6" t="s">
        <v>1395</v>
      </c>
    </row>
    <row r="27" spans="1:2" x14ac:dyDescent="0.2">
      <c r="A27" s="7" t="s">
        <v>1396</v>
      </c>
    </row>
    <row r="28" spans="1:2" ht="17" x14ac:dyDescent="0.2">
      <c r="A28" s="8" t="s">
        <v>1397</v>
      </c>
      <c r="B28" s="6" t="s">
        <v>1398</v>
      </c>
    </row>
    <row r="29" spans="1:2" ht="34" x14ac:dyDescent="0.2">
      <c r="A29" s="7" t="s">
        <v>1399</v>
      </c>
      <c r="B29" s="6" t="s">
        <v>1400</v>
      </c>
    </row>
    <row r="30" spans="1:2" ht="17" x14ac:dyDescent="0.2">
      <c r="A30" s="7" t="s">
        <v>1401</v>
      </c>
      <c r="B30" s="6" t="s">
        <v>1402</v>
      </c>
    </row>
    <row r="31" spans="1:2" ht="17" x14ac:dyDescent="0.2">
      <c r="A31" s="7" t="s">
        <v>1403</v>
      </c>
      <c r="B31" s="6" t="s">
        <v>1404</v>
      </c>
    </row>
    <row r="33" spans="1:2" x14ac:dyDescent="0.2">
      <c r="A33" s="8" t="s">
        <v>1798</v>
      </c>
    </row>
    <row r="34" spans="1:2" ht="51" x14ac:dyDescent="0.2">
      <c r="A34" s="7" t="s">
        <v>1799</v>
      </c>
      <c r="B34" s="6" t="s">
        <v>1800</v>
      </c>
    </row>
    <row r="35" spans="1:2" ht="51" x14ac:dyDescent="0.2">
      <c r="A35" s="7" t="s">
        <v>1801</v>
      </c>
      <c r="B35" s="6" t="s">
        <v>1802</v>
      </c>
    </row>
    <row r="36" spans="1:2" ht="85" x14ac:dyDescent="0.2">
      <c r="A36" s="7" t="s">
        <v>1803</v>
      </c>
      <c r="B36" s="6" t="s">
        <v>1804</v>
      </c>
    </row>
    <row r="37" spans="1:2" ht="51" x14ac:dyDescent="0.2">
      <c r="A37" s="7" t="s">
        <v>1805</v>
      </c>
      <c r="B37" s="6" t="s">
        <v>1806</v>
      </c>
    </row>
    <row r="38" spans="1:2" ht="51" x14ac:dyDescent="0.2">
      <c r="A38" s="7" t="s">
        <v>1807</v>
      </c>
      <c r="B38" s="6" t="s">
        <v>1808</v>
      </c>
    </row>
    <row r="39" spans="1:2" ht="34" x14ac:dyDescent="0.2">
      <c r="A39" s="7" t="s">
        <v>1809</v>
      </c>
      <c r="B39" s="6" t="s">
        <v>1810</v>
      </c>
    </row>
    <row r="40" spans="1:2" ht="34" x14ac:dyDescent="0.2">
      <c r="A40" s="7" t="s">
        <v>1811</v>
      </c>
      <c r="B40" s="6" t="s">
        <v>1812</v>
      </c>
    </row>
    <row r="41" spans="1:2" ht="17" x14ac:dyDescent="0.2">
      <c r="A41" s="7" t="s">
        <v>1813</v>
      </c>
      <c r="B41" s="6" t="s">
        <v>1814</v>
      </c>
    </row>
    <row r="43" spans="1:2" x14ac:dyDescent="0.2">
      <c r="A43" s="8" t="s">
        <v>1864</v>
      </c>
      <c r="B43" s="27"/>
    </row>
    <row r="44" spans="1:2" ht="51" x14ac:dyDescent="0.2">
      <c r="A44" s="7" t="s">
        <v>1799</v>
      </c>
      <c r="B44" s="6" t="s">
        <v>1865</v>
      </c>
    </row>
    <row r="45" spans="1:2" ht="51" x14ac:dyDescent="0.2">
      <c r="A45" s="7" t="s">
        <v>1866</v>
      </c>
      <c r="B45" s="6" t="s">
        <v>1867</v>
      </c>
    </row>
    <row r="46" spans="1:2" ht="34" x14ac:dyDescent="0.2">
      <c r="A46" s="7" t="s">
        <v>1868</v>
      </c>
      <c r="B46" s="6" t="s">
        <v>1869</v>
      </c>
    </row>
    <row r="47" spans="1:2" ht="34" x14ac:dyDescent="0.2">
      <c r="A47" s="7" t="s">
        <v>1870</v>
      </c>
      <c r="B47" s="6" t="s">
        <v>1871</v>
      </c>
    </row>
    <row r="48" spans="1:2" ht="51" x14ac:dyDescent="0.2">
      <c r="A48" s="7" t="s">
        <v>1872</v>
      </c>
      <c r="B48" s="6" t="s">
        <v>1873</v>
      </c>
    </row>
    <row r="49" spans="1:2" ht="34" x14ac:dyDescent="0.2">
      <c r="A49" s="7" t="s">
        <v>1874</v>
      </c>
      <c r="B49" s="6" t="s">
        <v>1875</v>
      </c>
    </row>
    <row r="51" spans="1:2" x14ac:dyDescent="0.2">
      <c r="A51" s="28" t="s">
        <v>1889</v>
      </c>
      <c r="B51" s="29"/>
    </row>
    <row r="52" spans="1:2" ht="34" x14ac:dyDescent="0.2">
      <c r="A52" s="7" t="s">
        <v>1890</v>
      </c>
      <c r="B52" s="6" t="s">
        <v>1891</v>
      </c>
    </row>
    <row r="53" spans="1:2" ht="34" x14ac:dyDescent="0.2">
      <c r="A53" s="7" t="s">
        <v>1892</v>
      </c>
      <c r="B53" s="6" t="s">
        <v>1893</v>
      </c>
    </row>
    <row r="54" spans="1:2" ht="85" x14ac:dyDescent="0.2">
      <c r="A54" s="7" t="s">
        <v>1894</v>
      </c>
      <c r="B54" s="6" t="s">
        <v>1895</v>
      </c>
    </row>
    <row r="55" spans="1:2" ht="51" x14ac:dyDescent="0.2">
      <c r="A55" s="7" t="s">
        <v>1896</v>
      </c>
      <c r="B55" s="6" t="s">
        <v>1897</v>
      </c>
    </row>
    <row r="57" spans="1:2" x14ac:dyDescent="0.2">
      <c r="A57" s="28" t="s">
        <v>1902</v>
      </c>
      <c r="B57" s="29"/>
    </row>
    <row r="58" spans="1:2" ht="34" x14ac:dyDescent="0.2">
      <c r="A58" s="7" t="s">
        <v>1890</v>
      </c>
      <c r="B58" s="6" t="s">
        <v>1903</v>
      </c>
    </row>
    <row r="59" spans="1:2" ht="85" x14ac:dyDescent="0.2">
      <c r="A59" s="7" t="s">
        <v>1894</v>
      </c>
      <c r="B59" s="6" t="s">
        <v>1904</v>
      </c>
    </row>
    <row r="60" spans="1:2" ht="34" x14ac:dyDescent="0.2">
      <c r="A60" s="7" t="s">
        <v>1892</v>
      </c>
      <c r="B60" s="6" t="s">
        <v>1905</v>
      </c>
    </row>
    <row r="62" spans="1:2" x14ac:dyDescent="0.2">
      <c r="A62" s="28" t="s">
        <v>1907</v>
      </c>
      <c r="B62" s="29"/>
    </row>
    <row r="63" spans="1:2" ht="51" x14ac:dyDescent="0.2">
      <c r="A63" s="7" t="s">
        <v>1890</v>
      </c>
      <c r="B63" s="6" t="s">
        <v>1908</v>
      </c>
    </row>
    <row r="64" spans="1:2" ht="51" x14ac:dyDescent="0.2">
      <c r="A64" s="7" t="s">
        <v>1417</v>
      </c>
      <c r="B64" s="6" t="s">
        <v>1909</v>
      </c>
    </row>
    <row r="66" spans="1:2" x14ac:dyDescent="0.2">
      <c r="A66" s="8" t="s">
        <v>2926</v>
      </c>
      <c r="B66" s="27"/>
    </row>
    <row r="67" spans="1:2" ht="34" x14ac:dyDescent="0.2">
      <c r="A67" s="7" t="s">
        <v>2927</v>
      </c>
      <c r="B67" s="6" t="s">
        <v>2928</v>
      </c>
    </row>
    <row r="68" spans="1:2" ht="34" x14ac:dyDescent="0.2">
      <c r="A68" s="7" t="s">
        <v>2929</v>
      </c>
      <c r="B68" s="6" t="s">
        <v>2930</v>
      </c>
    </row>
    <row r="69" spans="1:2" ht="34" x14ac:dyDescent="0.2">
      <c r="A69" s="7" t="s">
        <v>2931</v>
      </c>
      <c r="B69" s="6" t="s">
        <v>2932</v>
      </c>
    </row>
    <row r="71" spans="1:2" x14ac:dyDescent="0.2">
      <c r="A71" s="32" t="s">
        <v>3361</v>
      </c>
      <c r="B71" s="33"/>
    </row>
    <row r="72" spans="1:2" ht="51" x14ac:dyDescent="0.2">
      <c r="A72" s="7" t="s">
        <v>3362</v>
      </c>
      <c r="B72" s="6" t="s">
        <v>3363</v>
      </c>
    </row>
    <row r="73" spans="1:2" ht="68" x14ac:dyDescent="0.2">
      <c r="A73" s="7" t="s">
        <v>3364</v>
      </c>
      <c r="B73" s="6" t="s">
        <v>3365</v>
      </c>
    </row>
    <row r="74" spans="1:2" ht="51" x14ac:dyDescent="0.2">
      <c r="A74" s="7" t="s">
        <v>1803</v>
      </c>
      <c r="B74" s="6" t="s">
        <v>3366</v>
      </c>
    </row>
    <row r="75" spans="1:2" ht="51" x14ac:dyDescent="0.2">
      <c r="A75" s="7" t="s">
        <v>3367</v>
      </c>
      <c r="B75" s="6" t="s">
        <v>3368</v>
      </c>
    </row>
    <row r="76" spans="1:2" ht="68" x14ac:dyDescent="0.2">
      <c r="A76" s="7" t="s">
        <v>3369</v>
      </c>
      <c r="B76" s="6" t="s">
        <v>3370</v>
      </c>
    </row>
    <row r="77" spans="1:2" ht="51" x14ac:dyDescent="0.2">
      <c r="A77" s="7" t="s">
        <v>3371</v>
      </c>
      <c r="B77" s="6" t="s">
        <v>3372</v>
      </c>
    </row>
    <row r="78" spans="1:2" ht="34" x14ac:dyDescent="0.2">
      <c r="A78" s="7" t="s">
        <v>3373</v>
      </c>
      <c r="B78" s="6" t="s">
        <v>3374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ADE03-4F4A-6A47-81AB-8DF5E9FD7FD5}">
  <dimension ref="A1:X406"/>
  <sheetViews>
    <sheetView tabSelected="1" workbookViewId="0">
      <pane ySplit="1" topLeftCell="A240" activePane="bottomLeft" state="frozen"/>
      <selection pane="bottomLeft" activeCell="A256" sqref="A256:XFD256"/>
    </sheetView>
  </sheetViews>
  <sheetFormatPr baseColWidth="10" defaultRowHeight="16" x14ac:dyDescent="0.2"/>
  <cols>
    <col min="1" max="1" width="25" style="13" customWidth="1"/>
    <col min="2" max="2" width="41.6640625" style="13" customWidth="1"/>
    <col min="3" max="3" width="18.33203125" style="13" customWidth="1"/>
    <col min="4" max="4" width="22.5" style="13" customWidth="1"/>
    <col min="5" max="5" width="20" style="13" customWidth="1"/>
    <col min="6" max="6" width="21.6640625" style="13" customWidth="1"/>
    <col min="7" max="7" width="38.33203125" style="13" customWidth="1"/>
    <col min="8" max="8" width="33.33203125" style="13" customWidth="1"/>
    <col min="9" max="9" width="25" style="13" customWidth="1"/>
    <col min="10" max="10" width="46.6640625" style="13" customWidth="1"/>
    <col min="11" max="11" width="15.83203125" style="13" customWidth="1"/>
    <col min="12" max="12" width="38.33203125" style="13" customWidth="1"/>
    <col min="13" max="14" width="15.83203125" style="13" customWidth="1"/>
    <col min="15" max="15" width="25" style="13" customWidth="1"/>
    <col min="16" max="17" width="15.83203125" style="13" customWidth="1"/>
    <col min="18" max="18" width="18.33203125" style="13" customWidth="1"/>
    <col min="19" max="19" width="21.6640625" style="13" customWidth="1"/>
    <col min="20" max="20" width="18.33203125" style="13" customWidth="1"/>
    <col min="21" max="21" width="15" style="13" customWidth="1"/>
    <col min="22" max="22" width="70" style="13" customWidth="1"/>
  </cols>
  <sheetData>
    <row r="1" spans="1:24" x14ac:dyDescent="0.2">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1847</v>
      </c>
      <c r="T1" s="15" t="s">
        <v>1848</v>
      </c>
      <c r="U1" s="15" t="s">
        <v>18</v>
      </c>
      <c r="V1" s="15" t="s">
        <v>19</v>
      </c>
      <c r="W1" s="15" t="s">
        <v>20</v>
      </c>
      <c r="X1" s="15" t="s">
        <v>21</v>
      </c>
    </row>
    <row r="2" spans="1:24" x14ac:dyDescent="0.2">
      <c r="A2" s="13" t="s">
        <v>22</v>
      </c>
      <c r="B2" s="13" t="s">
        <v>23</v>
      </c>
      <c r="C2" s="13" t="s">
        <v>24</v>
      </c>
      <c r="D2" s="13" t="s">
        <v>23</v>
      </c>
      <c r="K2" s="19" t="s">
        <v>1815</v>
      </c>
      <c r="L2" s="17"/>
      <c r="M2" s="17"/>
      <c r="P2" s="16"/>
      <c r="Q2" s="16"/>
      <c r="R2" s="16"/>
      <c r="S2" s="21" t="str">
        <f>IF($C2&lt;&gt;"Organisation","",IF(OR($P2&lt;&gt;"",$Q2&lt;&gt;""),IF($P2&lt;&gt;"",IF($Q2&lt;&gt;"",($P2+$Q2)/2,$P2),$Q2),ROUND(_xlfn.XLOOKUP($N2,Assumptions!$B$5:$B$9,Assumptions!$C$5:$C$9,0)*_xlfn.XLOOKUP($G2,Assumptions!$B$13:$B$26,Assumptions!$C$13:$C$26,0)*_xlfn.XLOOKUP($I2,Assumptions!$B$30:$B$50,Assumptions!$C$30:$C$50,0),0)))</f>
        <v/>
      </c>
      <c r="T2" s="16" t="str">
        <f>IF($C2&lt;&gt;"Organisation","",IF(OR($P2&lt;&gt;"",$Q2&lt;&gt;""),"Documented in source - midpoint of annual_intake_low/high",IF($I2="","No confirmed programme - modelled as zero",$N2&amp;" base x "&amp;TEXT(_xlfn.XLOOKUP($G2,Assumptions!$B$13:$B$26,Assumptions!$C$13:$C$26,0),"0.0#")&amp;" sector x "&amp;TEXT(_xlfn.XLOOKUP($I2,Assumptions!$B$30:$B$50,Assumptions!$C$30:$C$50,0),"0.0#")&amp;" mechanism")))</f>
        <v/>
      </c>
      <c r="W2" s="13"/>
      <c r="X2" s="13" t="s">
        <v>25</v>
      </c>
    </row>
    <row r="3" spans="1:24" x14ac:dyDescent="0.2">
      <c r="A3" s="13" t="s">
        <v>26</v>
      </c>
      <c r="B3" s="13" t="s">
        <v>27</v>
      </c>
      <c r="C3" s="13" t="s">
        <v>24</v>
      </c>
      <c r="D3" s="13" t="s">
        <v>27</v>
      </c>
      <c r="K3" s="19" t="s">
        <v>1815</v>
      </c>
      <c r="L3" s="17"/>
      <c r="M3" s="17"/>
      <c r="P3" s="16"/>
      <c r="Q3" s="16"/>
      <c r="R3" s="16"/>
      <c r="S3" s="21" t="str">
        <f>IF($C3&lt;&gt;"Organisation","",IF(OR($P3&lt;&gt;"",$Q3&lt;&gt;""),IF($P3&lt;&gt;"",IF($Q3&lt;&gt;"",($P3+$Q3)/2,$P3),$Q3),ROUND(_xlfn.XLOOKUP($N3,Assumptions!$B$5:$B$9,Assumptions!$C$5:$C$9,0)*_xlfn.XLOOKUP($G3,Assumptions!$B$13:$B$26,Assumptions!$C$13:$C$26,0)*_xlfn.XLOOKUP($I3,Assumptions!$B$30:$B$50,Assumptions!$C$30:$C$50,0),0)))</f>
        <v/>
      </c>
      <c r="T3" s="16" t="str">
        <f>IF($C3&lt;&gt;"Organisation","",IF(OR($P3&lt;&gt;"",$Q3&lt;&gt;""),"Documented in source - midpoint of annual_intake_low/high",IF($I3="","No confirmed programme - modelled as zero",$N3&amp;" base x "&amp;TEXT(_xlfn.XLOOKUP($G3,Assumptions!$B$13:$B$26,Assumptions!$C$13:$C$26,0),"0.0#")&amp;" sector x "&amp;TEXT(_xlfn.XLOOKUP($I3,Assumptions!$B$30:$B$50,Assumptions!$C$30:$C$50,0),"0.0#")&amp;" mechanism")))</f>
        <v/>
      </c>
      <c r="W3" s="13"/>
      <c r="X3" s="13" t="s">
        <v>25</v>
      </c>
    </row>
    <row r="4" spans="1:24" x14ac:dyDescent="0.2">
      <c r="A4" s="13" t="s">
        <v>28</v>
      </c>
      <c r="B4" s="13" t="s">
        <v>29</v>
      </c>
      <c r="C4" s="13" t="s">
        <v>24</v>
      </c>
      <c r="D4" s="13" t="s">
        <v>29</v>
      </c>
      <c r="K4" s="19" t="s">
        <v>1815</v>
      </c>
      <c r="L4" s="17"/>
      <c r="M4" s="17"/>
      <c r="P4" s="16"/>
      <c r="Q4" s="16"/>
      <c r="R4" s="16"/>
      <c r="S4" s="21" t="str">
        <f>IF($C4&lt;&gt;"Organisation","",IF(OR($P4&lt;&gt;"",$Q4&lt;&gt;""),IF($P4&lt;&gt;"",IF($Q4&lt;&gt;"",($P4+$Q4)/2,$P4),$Q4),ROUND(_xlfn.XLOOKUP($N4,Assumptions!$B$5:$B$9,Assumptions!$C$5:$C$9,0)*_xlfn.XLOOKUP($G4,Assumptions!$B$13:$B$26,Assumptions!$C$13:$C$26,0)*_xlfn.XLOOKUP($I4,Assumptions!$B$30:$B$50,Assumptions!$C$30:$C$50,0),0)))</f>
        <v/>
      </c>
      <c r="T4" s="16" t="str">
        <f>IF($C4&lt;&gt;"Organisation","",IF(OR($P4&lt;&gt;"",$Q4&lt;&gt;""),"Documented in source - midpoint of annual_intake_low/high",IF($I4="","No confirmed programme - modelled as zero",$N4&amp;" base x "&amp;TEXT(_xlfn.XLOOKUP($G4,Assumptions!$B$13:$B$26,Assumptions!$C$13:$C$26,0),"0.0#")&amp;" sector x "&amp;TEXT(_xlfn.XLOOKUP($I4,Assumptions!$B$30:$B$50,Assumptions!$C$30:$C$50,0),"0.0#")&amp;" mechanism")))</f>
        <v/>
      </c>
      <c r="W4" s="13"/>
      <c r="X4" s="13" t="s">
        <v>25</v>
      </c>
    </row>
    <row r="5" spans="1:24" x14ac:dyDescent="0.2">
      <c r="A5" s="13" t="s">
        <v>30</v>
      </c>
      <c r="B5" s="13" t="s">
        <v>31</v>
      </c>
      <c r="C5" s="13" t="s">
        <v>24</v>
      </c>
      <c r="D5" s="13" t="s">
        <v>31</v>
      </c>
      <c r="K5" s="19" t="s">
        <v>1815</v>
      </c>
      <c r="L5" s="17"/>
      <c r="M5" s="17"/>
      <c r="P5" s="16"/>
      <c r="Q5" s="16"/>
      <c r="R5" s="16"/>
      <c r="S5" s="21" t="str">
        <f>IF($C5&lt;&gt;"Organisation","",IF(OR($P5&lt;&gt;"",$Q5&lt;&gt;""),IF($P5&lt;&gt;"",IF($Q5&lt;&gt;"",($P5+$Q5)/2,$P5),$Q5),ROUND(_xlfn.XLOOKUP($N5,Assumptions!$B$5:$B$9,Assumptions!$C$5:$C$9,0)*_xlfn.XLOOKUP($G5,Assumptions!$B$13:$B$26,Assumptions!$C$13:$C$26,0)*_xlfn.XLOOKUP($I5,Assumptions!$B$30:$B$50,Assumptions!$C$30:$C$50,0),0)))</f>
        <v/>
      </c>
      <c r="T5" s="16" t="str">
        <f>IF($C5&lt;&gt;"Organisation","",IF(OR($P5&lt;&gt;"",$Q5&lt;&gt;""),"Documented in source - midpoint of annual_intake_low/high",IF($I5="","No confirmed programme - modelled as zero",$N5&amp;" base x "&amp;TEXT(_xlfn.XLOOKUP($G5,Assumptions!$B$13:$B$26,Assumptions!$C$13:$C$26,0),"0.0#")&amp;" sector x "&amp;TEXT(_xlfn.XLOOKUP($I5,Assumptions!$B$30:$B$50,Assumptions!$C$30:$C$50,0),"0.0#")&amp;" mechanism")))</f>
        <v/>
      </c>
      <c r="W5" s="13"/>
      <c r="X5" s="13" t="s">
        <v>25</v>
      </c>
    </row>
    <row r="6" spans="1:24" x14ac:dyDescent="0.2">
      <c r="A6" s="13" t="s">
        <v>32</v>
      </c>
      <c r="B6" s="13" t="s">
        <v>33</v>
      </c>
      <c r="C6" s="13" t="s">
        <v>24</v>
      </c>
      <c r="D6" s="13" t="s">
        <v>33</v>
      </c>
      <c r="K6" s="19" t="s">
        <v>1815</v>
      </c>
      <c r="L6" s="17"/>
      <c r="M6" s="17"/>
      <c r="P6" s="16"/>
      <c r="Q6" s="16"/>
      <c r="R6" s="16"/>
      <c r="S6" s="21" t="str">
        <f>IF($C6&lt;&gt;"Organisation","",IF(OR($P6&lt;&gt;"",$Q6&lt;&gt;""),IF($P6&lt;&gt;"",IF($Q6&lt;&gt;"",($P6+$Q6)/2,$P6),$Q6),ROUND(_xlfn.XLOOKUP($N6,Assumptions!$B$5:$B$9,Assumptions!$C$5:$C$9,0)*_xlfn.XLOOKUP($G6,Assumptions!$B$13:$B$26,Assumptions!$C$13:$C$26,0)*_xlfn.XLOOKUP($I6,Assumptions!$B$30:$B$50,Assumptions!$C$30:$C$50,0),0)))</f>
        <v/>
      </c>
      <c r="T6" s="16" t="str">
        <f>IF($C6&lt;&gt;"Organisation","",IF(OR($P6&lt;&gt;"",$Q6&lt;&gt;""),"Documented in source - midpoint of annual_intake_low/high",IF($I6="","No confirmed programme - modelled as zero",$N6&amp;" base x "&amp;TEXT(_xlfn.XLOOKUP($G6,Assumptions!$B$13:$B$26,Assumptions!$C$13:$C$26,0),"0.0#")&amp;" sector x "&amp;TEXT(_xlfn.XLOOKUP($I6,Assumptions!$B$30:$B$50,Assumptions!$C$30:$C$50,0),"0.0#")&amp;" mechanism")))</f>
        <v/>
      </c>
      <c r="W6" s="13"/>
      <c r="X6" s="13" t="s">
        <v>25</v>
      </c>
    </row>
    <row r="7" spans="1:24" x14ac:dyDescent="0.2">
      <c r="A7" s="13" t="s">
        <v>1434</v>
      </c>
      <c r="B7" s="13" t="s">
        <v>76</v>
      </c>
      <c r="C7" s="13" t="s">
        <v>24</v>
      </c>
      <c r="D7" s="13" t="s">
        <v>76</v>
      </c>
      <c r="K7" s="19" t="s">
        <v>1815</v>
      </c>
      <c r="L7" s="17"/>
      <c r="M7" s="17"/>
      <c r="P7" s="16"/>
      <c r="Q7" s="16"/>
      <c r="R7" s="16"/>
      <c r="S7" s="21" t="str">
        <f>IF($C7&lt;&gt;"Organisation","",IF(OR($P7&lt;&gt;"",$Q7&lt;&gt;""),IF($P7&lt;&gt;"",IF($Q7&lt;&gt;"",($P7+$Q7)/2,$P7),$Q7),ROUND(_xlfn.XLOOKUP($N7,Assumptions!$B$5:$B$9,Assumptions!$C$5:$C$9,0)*_xlfn.XLOOKUP($G7,Assumptions!$B$13:$B$26,Assumptions!$C$13:$C$26,0)*_xlfn.XLOOKUP($I7,Assumptions!$B$30:$B$50,Assumptions!$C$30:$C$50,0),0)))</f>
        <v/>
      </c>
      <c r="T7" s="16" t="str">
        <f>IF($C7&lt;&gt;"Organisation","",IF(OR($P7&lt;&gt;"",$Q7&lt;&gt;""),"Documented in source - midpoint of annual_intake_low/high",IF($I7="","No confirmed programme - modelled as zero",$N7&amp;" base x "&amp;TEXT(_xlfn.XLOOKUP($G7,Assumptions!$B$13:$B$26,Assumptions!$C$13:$C$26,0),"0.0#")&amp;" sector x "&amp;TEXT(_xlfn.XLOOKUP($I7,Assumptions!$B$30:$B$50,Assumptions!$C$30:$C$50,0),"0.0#")&amp;" mechanism")))</f>
        <v/>
      </c>
      <c r="W7" s="13"/>
      <c r="X7" s="13" t="s">
        <v>1435</v>
      </c>
    </row>
    <row r="8" spans="1:24" x14ac:dyDescent="0.2">
      <c r="A8" s="13" t="s">
        <v>34</v>
      </c>
      <c r="B8" s="13" t="s">
        <v>35</v>
      </c>
      <c r="C8" s="13" t="s">
        <v>36</v>
      </c>
      <c r="D8" s="13" t="s">
        <v>23</v>
      </c>
      <c r="E8" s="13" t="s">
        <v>35</v>
      </c>
      <c r="K8" s="19" t="s">
        <v>1815</v>
      </c>
      <c r="L8" s="17"/>
      <c r="M8" s="17"/>
      <c r="P8" s="16"/>
      <c r="Q8" s="16"/>
      <c r="R8" s="16"/>
      <c r="S8" s="21" t="str">
        <f>IF($C8&lt;&gt;"Organisation","",IF(OR($P8&lt;&gt;"",$Q8&lt;&gt;""),IF($P8&lt;&gt;"",IF($Q8&lt;&gt;"",($P8+$Q8)/2,$P8),$Q8),ROUND(_xlfn.XLOOKUP($N8,Assumptions!$B$5:$B$9,Assumptions!$C$5:$C$9,0)*_xlfn.XLOOKUP($G8,Assumptions!$B$13:$B$26,Assumptions!$C$13:$C$26,0)*_xlfn.XLOOKUP($I8,Assumptions!$B$30:$B$50,Assumptions!$C$30:$C$50,0),0)))</f>
        <v/>
      </c>
      <c r="T8" s="16" t="str">
        <f>IF($C8&lt;&gt;"Organisation","",IF(OR($P8&lt;&gt;"",$Q8&lt;&gt;""),"Documented in source - midpoint of annual_intake_low/high",IF($I8="","No confirmed programme - modelled as zero",$N8&amp;" base x "&amp;TEXT(_xlfn.XLOOKUP($G8,Assumptions!$B$13:$B$26,Assumptions!$C$13:$C$26,0),"0.0#")&amp;" sector x "&amp;TEXT(_xlfn.XLOOKUP($I8,Assumptions!$B$30:$B$50,Assumptions!$C$30:$C$50,0),"0.0#")&amp;" mechanism")))</f>
        <v/>
      </c>
      <c r="W8" s="13"/>
      <c r="X8" s="13"/>
    </row>
    <row r="9" spans="1:24" x14ac:dyDescent="0.2">
      <c r="A9" s="13" t="s">
        <v>37</v>
      </c>
      <c r="B9" s="13" t="s">
        <v>27</v>
      </c>
      <c r="C9" s="13" t="s">
        <v>36</v>
      </c>
      <c r="D9" s="13" t="s">
        <v>27</v>
      </c>
      <c r="E9" s="13" t="s">
        <v>27</v>
      </c>
      <c r="K9" s="19" t="s">
        <v>1815</v>
      </c>
      <c r="L9" s="17"/>
      <c r="M9" s="17"/>
      <c r="P9" s="16"/>
      <c r="Q9" s="16"/>
      <c r="R9" s="16"/>
      <c r="S9" s="21" t="str">
        <f>IF($C9&lt;&gt;"Organisation","",IF(OR($P9&lt;&gt;"",$Q9&lt;&gt;""),IF($P9&lt;&gt;"",IF($Q9&lt;&gt;"",($P9+$Q9)/2,$P9),$Q9),ROUND(_xlfn.XLOOKUP($N9,Assumptions!$B$5:$B$9,Assumptions!$C$5:$C$9,0)*_xlfn.XLOOKUP($G9,Assumptions!$B$13:$B$26,Assumptions!$C$13:$C$26,0)*_xlfn.XLOOKUP($I9,Assumptions!$B$30:$B$50,Assumptions!$C$30:$C$50,0),0)))</f>
        <v/>
      </c>
      <c r="T9" s="16" t="str">
        <f>IF($C9&lt;&gt;"Organisation","",IF(OR($P9&lt;&gt;"",$Q9&lt;&gt;""),"Documented in source - midpoint of annual_intake_low/high",IF($I9="","No confirmed programme - modelled as zero",$N9&amp;" base x "&amp;TEXT(_xlfn.XLOOKUP($G9,Assumptions!$B$13:$B$26,Assumptions!$C$13:$C$26,0),"0.0#")&amp;" sector x "&amp;TEXT(_xlfn.XLOOKUP($I9,Assumptions!$B$30:$B$50,Assumptions!$C$30:$C$50,0),"0.0#")&amp;" mechanism")))</f>
        <v/>
      </c>
      <c r="W9" s="13"/>
      <c r="X9" s="13"/>
    </row>
    <row r="10" spans="1:24" x14ac:dyDescent="0.2">
      <c r="A10" s="13" t="s">
        <v>38</v>
      </c>
      <c r="B10" s="13" t="s">
        <v>29</v>
      </c>
      <c r="C10" s="13" t="s">
        <v>36</v>
      </c>
      <c r="D10" s="13" t="s">
        <v>29</v>
      </c>
      <c r="E10" s="13" t="s">
        <v>29</v>
      </c>
      <c r="K10" s="19" t="s">
        <v>1815</v>
      </c>
      <c r="L10" s="17"/>
      <c r="M10" s="17"/>
      <c r="P10" s="16"/>
      <c r="Q10" s="16"/>
      <c r="R10" s="16"/>
      <c r="S10" s="21" t="str">
        <f>IF($C10&lt;&gt;"Organisation","",IF(OR($P10&lt;&gt;"",$Q10&lt;&gt;""),IF($P10&lt;&gt;"",IF($Q10&lt;&gt;"",($P10+$Q10)/2,$P10),$Q10),ROUND(_xlfn.XLOOKUP($N10,Assumptions!$B$5:$B$9,Assumptions!$C$5:$C$9,0)*_xlfn.XLOOKUP($G10,Assumptions!$B$13:$B$26,Assumptions!$C$13:$C$26,0)*_xlfn.XLOOKUP($I10,Assumptions!$B$30:$B$50,Assumptions!$C$30:$C$50,0),0)))</f>
        <v/>
      </c>
      <c r="T10" s="16" t="str">
        <f>IF($C10&lt;&gt;"Organisation","",IF(OR($P10&lt;&gt;"",$Q10&lt;&gt;""),"Documented in source - midpoint of annual_intake_low/high",IF($I10="","No confirmed programme - modelled as zero",$N10&amp;" base x "&amp;TEXT(_xlfn.XLOOKUP($G10,Assumptions!$B$13:$B$26,Assumptions!$C$13:$C$26,0),"0.0#")&amp;" sector x "&amp;TEXT(_xlfn.XLOOKUP($I10,Assumptions!$B$30:$B$50,Assumptions!$C$30:$C$50,0),"0.0#")&amp;" mechanism")))</f>
        <v/>
      </c>
      <c r="W10" s="13"/>
      <c r="X10" s="13"/>
    </row>
    <row r="11" spans="1:24" x14ac:dyDescent="0.2">
      <c r="A11" s="13" t="s">
        <v>39</v>
      </c>
      <c r="B11" s="13" t="s">
        <v>40</v>
      </c>
      <c r="C11" s="13" t="s">
        <v>36</v>
      </c>
      <c r="D11" s="13" t="s">
        <v>31</v>
      </c>
      <c r="E11" s="13" t="s">
        <v>40</v>
      </c>
      <c r="K11" s="19" t="s">
        <v>1815</v>
      </c>
      <c r="L11" s="17"/>
      <c r="M11" s="17"/>
      <c r="P11" s="16"/>
      <c r="Q11" s="16"/>
      <c r="R11" s="16"/>
      <c r="S11" s="21" t="str">
        <f>IF($C11&lt;&gt;"Organisation","",IF(OR($P11&lt;&gt;"",$Q11&lt;&gt;""),IF($P11&lt;&gt;"",IF($Q11&lt;&gt;"",($P11+$Q11)/2,$P11),$Q11),ROUND(_xlfn.XLOOKUP($N11,Assumptions!$B$5:$B$9,Assumptions!$C$5:$C$9,0)*_xlfn.XLOOKUP($G11,Assumptions!$B$13:$B$26,Assumptions!$C$13:$C$26,0)*_xlfn.XLOOKUP($I11,Assumptions!$B$30:$B$50,Assumptions!$C$30:$C$50,0),0)))</f>
        <v/>
      </c>
      <c r="T11" s="16" t="str">
        <f>IF($C11&lt;&gt;"Organisation","",IF(OR($P11&lt;&gt;"",$Q11&lt;&gt;""),"Documented in source - midpoint of annual_intake_low/high",IF($I11="","No confirmed programme - modelled as zero",$N11&amp;" base x "&amp;TEXT(_xlfn.XLOOKUP($G11,Assumptions!$B$13:$B$26,Assumptions!$C$13:$C$26,0),"0.0#")&amp;" sector x "&amp;TEXT(_xlfn.XLOOKUP($I11,Assumptions!$B$30:$B$50,Assumptions!$C$30:$C$50,0),"0.0#")&amp;" mechanism")))</f>
        <v/>
      </c>
      <c r="W11" s="13"/>
      <c r="X11" s="13"/>
    </row>
    <row r="12" spans="1:24" x14ac:dyDescent="0.2">
      <c r="A12" s="13" t="s">
        <v>41</v>
      </c>
      <c r="B12" s="13" t="s">
        <v>42</v>
      </c>
      <c r="C12" s="13" t="s">
        <v>36</v>
      </c>
      <c r="D12" s="13" t="s">
        <v>31</v>
      </c>
      <c r="E12" s="13" t="s">
        <v>42</v>
      </c>
      <c r="K12" s="19" t="s">
        <v>1815</v>
      </c>
      <c r="L12" s="17"/>
      <c r="M12" s="17"/>
      <c r="P12" s="16"/>
      <c r="Q12" s="16"/>
      <c r="R12" s="16"/>
      <c r="S12" s="21" t="str">
        <f>IF($C12&lt;&gt;"Organisation","",IF(OR($P12&lt;&gt;"",$Q12&lt;&gt;""),IF($P12&lt;&gt;"",IF($Q12&lt;&gt;"",($P12+$Q12)/2,$P12),$Q12),ROUND(_xlfn.XLOOKUP($N12,Assumptions!$B$5:$B$9,Assumptions!$C$5:$C$9,0)*_xlfn.XLOOKUP($G12,Assumptions!$B$13:$B$26,Assumptions!$C$13:$C$26,0)*_xlfn.XLOOKUP($I12,Assumptions!$B$30:$B$50,Assumptions!$C$30:$C$50,0),0)))</f>
        <v/>
      </c>
      <c r="T12" s="16" t="str">
        <f>IF($C12&lt;&gt;"Organisation","",IF(OR($P12&lt;&gt;"",$Q12&lt;&gt;""),"Documented in source - midpoint of annual_intake_low/high",IF($I12="","No confirmed programme - modelled as zero",$N12&amp;" base x "&amp;TEXT(_xlfn.XLOOKUP($G12,Assumptions!$B$13:$B$26,Assumptions!$C$13:$C$26,0),"0.0#")&amp;" sector x "&amp;TEXT(_xlfn.XLOOKUP($I12,Assumptions!$B$30:$B$50,Assumptions!$C$30:$C$50,0),"0.0#")&amp;" mechanism")))</f>
        <v/>
      </c>
      <c r="W12" s="13"/>
      <c r="X12" s="13"/>
    </row>
    <row r="13" spans="1:24" x14ac:dyDescent="0.2">
      <c r="A13" s="13" t="s">
        <v>43</v>
      </c>
      <c r="B13" s="13" t="s">
        <v>44</v>
      </c>
      <c r="C13" s="13" t="s">
        <v>36</v>
      </c>
      <c r="D13" s="13" t="s">
        <v>31</v>
      </c>
      <c r="E13" s="13" t="s">
        <v>44</v>
      </c>
      <c r="K13" s="19" t="s">
        <v>1815</v>
      </c>
      <c r="L13" s="17"/>
      <c r="M13" s="17"/>
      <c r="P13" s="16"/>
      <c r="Q13" s="16"/>
      <c r="R13" s="16"/>
      <c r="S13" s="21" t="str">
        <f>IF($C13&lt;&gt;"Organisation","",IF(OR($P13&lt;&gt;"",$Q13&lt;&gt;""),IF($P13&lt;&gt;"",IF($Q13&lt;&gt;"",($P13+$Q13)/2,$P13),$Q13),ROUND(_xlfn.XLOOKUP($N13,Assumptions!$B$5:$B$9,Assumptions!$C$5:$C$9,0)*_xlfn.XLOOKUP($G13,Assumptions!$B$13:$B$26,Assumptions!$C$13:$C$26,0)*_xlfn.XLOOKUP($I13,Assumptions!$B$30:$B$50,Assumptions!$C$30:$C$50,0),0)))</f>
        <v/>
      </c>
      <c r="T13" s="16" t="str">
        <f>IF($C13&lt;&gt;"Organisation","",IF(OR($P13&lt;&gt;"",$Q13&lt;&gt;""),"Documented in source - midpoint of annual_intake_low/high",IF($I13="","No confirmed programme - modelled as zero",$N13&amp;" base x "&amp;TEXT(_xlfn.XLOOKUP($G13,Assumptions!$B$13:$B$26,Assumptions!$C$13:$C$26,0),"0.0#")&amp;" sector x "&amp;TEXT(_xlfn.XLOOKUP($I13,Assumptions!$B$30:$B$50,Assumptions!$C$30:$C$50,0),"0.0#")&amp;" mechanism")))</f>
        <v/>
      </c>
      <c r="W13" s="13"/>
      <c r="X13" s="13"/>
    </row>
    <row r="14" spans="1:24" x14ac:dyDescent="0.2">
      <c r="A14" s="13" t="s">
        <v>45</v>
      </c>
      <c r="B14" s="13" t="s">
        <v>46</v>
      </c>
      <c r="C14" s="13" t="s">
        <v>36</v>
      </c>
      <c r="D14" s="13" t="s">
        <v>31</v>
      </c>
      <c r="E14" s="13" t="s">
        <v>46</v>
      </c>
      <c r="K14" s="19" t="s">
        <v>1815</v>
      </c>
      <c r="L14" s="17"/>
      <c r="M14" s="17"/>
      <c r="P14" s="16"/>
      <c r="Q14" s="16"/>
      <c r="R14" s="16"/>
      <c r="S14" s="21" t="str">
        <f>IF($C14&lt;&gt;"Organisation","",IF(OR($P14&lt;&gt;"",$Q14&lt;&gt;""),IF($P14&lt;&gt;"",IF($Q14&lt;&gt;"",($P14+$Q14)/2,$P14),$Q14),ROUND(_xlfn.XLOOKUP($N14,Assumptions!$B$5:$B$9,Assumptions!$C$5:$C$9,0)*_xlfn.XLOOKUP($G14,Assumptions!$B$13:$B$26,Assumptions!$C$13:$C$26,0)*_xlfn.XLOOKUP($I14,Assumptions!$B$30:$B$50,Assumptions!$C$30:$C$50,0),0)))</f>
        <v/>
      </c>
      <c r="T14" s="16" t="str">
        <f>IF($C14&lt;&gt;"Organisation","",IF(OR($P14&lt;&gt;"",$Q14&lt;&gt;""),"Documented in source - midpoint of annual_intake_low/high",IF($I14="","No confirmed programme - modelled as zero",$N14&amp;" base x "&amp;TEXT(_xlfn.XLOOKUP($G14,Assumptions!$B$13:$B$26,Assumptions!$C$13:$C$26,0),"0.0#")&amp;" sector x "&amp;TEXT(_xlfn.XLOOKUP($I14,Assumptions!$B$30:$B$50,Assumptions!$C$30:$C$50,0),"0.0#")&amp;" mechanism")))</f>
        <v/>
      </c>
      <c r="W14" s="13"/>
      <c r="X14" s="13"/>
    </row>
    <row r="15" spans="1:24" x14ac:dyDescent="0.2">
      <c r="A15" s="13" t="s">
        <v>47</v>
      </c>
      <c r="B15" s="13" t="s">
        <v>48</v>
      </c>
      <c r="C15" s="13" t="s">
        <v>36</v>
      </c>
      <c r="D15" s="13" t="s">
        <v>31</v>
      </c>
      <c r="E15" s="13" t="s">
        <v>48</v>
      </c>
      <c r="K15" s="19" t="s">
        <v>1815</v>
      </c>
      <c r="L15" s="17"/>
      <c r="M15" s="17"/>
      <c r="P15" s="16"/>
      <c r="Q15" s="16"/>
      <c r="R15" s="16"/>
      <c r="S15" s="21" t="str">
        <f>IF($C15&lt;&gt;"Organisation","",IF(OR($P15&lt;&gt;"",$Q15&lt;&gt;""),IF($P15&lt;&gt;"",IF($Q15&lt;&gt;"",($P15+$Q15)/2,$P15),$Q15),ROUND(_xlfn.XLOOKUP($N15,Assumptions!$B$5:$B$9,Assumptions!$C$5:$C$9,0)*_xlfn.XLOOKUP($G15,Assumptions!$B$13:$B$26,Assumptions!$C$13:$C$26,0)*_xlfn.XLOOKUP($I15,Assumptions!$B$30:$B$50,Assumptions!$C$30:$C$50,0),0)))</f>
        <v/>
      </c>
      <c r="T15" s="16" t="str">
        <f>IF($C15&lt;&gt;"Organisation","",IF(OR($P15&lt;&gt;"",$Q15&lt;&gt;""),"Documented in source - midpoint of annual_intake_low/high",IF($I15="","No confirmed programme - modelled as zero",$N15&amp;" base x "&amp;TEXT(_xlfn.XLOOKUP($G15,Assumptions!$B$13:$B$26,Assumptions!$C$13:$C$26,0),"0.0#")&amp;" sector x "&amp;TEXT(_xlfn.XLOOKUP($I15,Assumptions!$B$30:$B$50,Assumptions!$C$30:$C$50,0),"0.0#")&amp;" mechanism")))</f>
        <v/>
      </c>
      <c r="W15" s="13"/>
      <c r="X15" s="13"/>
    </row>
    <row r="16" spans="1:24" x14ac:dyDescent="0.2">
      <c r="A16" s="13" t="s">
        <v>49</v>
      </c>
      <c r="B16" s="13" t="s">
        <v>50</v>
      </c>
      <c r="C16" s="13" t="s">
        <v>36</v>
      </c>
      <c r="D16" s="13" t="s">
        <v>31</v>
      </c>
      <c r="E16" s="13" t="s">
        <v>50</v>
      </c>
      <c r="K16" s="19" t="s">
        <v>1815</v>
      </c>
      <c r="L16" s="17"/>
      <c r="M16" s="17"/>
      <c r="P16" s="16"/>
      <c r="Q16" s="16"/>
      <c r="R16" s="16"/>
      <c r="S16" s="21" t="str">
        <f>IF($C16&lt;&gt;"Organisation","",IF(OR($P16&lt;&gt;"",$Q16&lt;&gt;""),IF($P16&lt;&gt;"",IF($Q16&lt;&gt;"",($P16+$Q16)/2,$P16),$Q16),ROUND(_xlfn.XLOOKUP($N16,Assumptions!$B$5:$B$9,Assumptions!$C$5:$C$9,0)*_xlfn.XLOOKUP($G16,Assumptions!$B$13:$B$26,Assumptions!$C$13:$C$26,0)*_xlfn.XLOOKUP($I16,Assumptions!$B$30:$B$50,Assumptions!$C$30:$C$50,0),0)))</f>
        <v/>
      </c>
      <c r="T16" s="16" t="str">
        <f>IF($C16&lt;&gt;"Organisation","",IF(OR($P16&lt;&gt;"",$Q16&lt;&gt;""),"Documented in source - midpoint of annual_intake_low/high",IF($I16="","No confirmed programme - modelled as zero",$N16&amp;" base x "&amp;TEXT(_xlfn.XLOOKUP($G16,Assumptions!$B$13:$B$26,Assumptions!$C$13:$C$26,0),"0.0#")&amp;" sector x "&amp;TEXT(_xlfn.XLOOKUP($I16,Assumptions!$B$30:$B$50,Assumptions!$C$30:$C$50,0),"0.0#")&amp;" mechanism")))</f>
        <v/>
      </c>
      <c r="W16" s="13"/>
      <c r="X16" s="13"/>
    </row>
    <row r="17" spans="1:24" x14ac:dyDescent="0.2">
      <c r="A17" s="13" t="s">
        <v>51</v>
      </c>
      <c r="B17" s="13" t="s">
        <v>52</v>
      </c>
      <c r="C17" s="13" t="s">
        <v>36</v>
      </c>
      <c r="D17" s="13" t="s">
        <v>33</v>
      </c>
      <c r="E17" s="13" t="s">
        <v>52</v>
      </c>
      <c r="K17" s="19" t="s">
        <v>1815</v>
      </c>
      <c r="L17" s="17"/>
      <c r="M17" s="17"/>
      <c r="P17" s="16"/>
      <c r="Q17" s="16"/>
      <c r="R17" s="16"/>
      <c r="S17" s="21" t="str">
        <f>IF($C17&lt;&gt;"Organisation","",IF(OR($P17&lt;&gt;"",$Q17&lt;&gt;""),IF($P17&lt;&gt;"",IF($Q17&lt;&gt;"",($P17+$Q17)/2,$P17),$Q17),ROUND(_xlfn.XLOOKUP($N17,Assumptions!$B$5:$B$9,Assumptions!$C$5:$C$9,0)*_xlfn.XLOOKUP($G17,Assumptions!$B$13:$B$26,Assumptions!$C$13:$C$26,0)*_xlfn.XLOOKUP($I17,Assumptions!$B$30:$B$50,Assumptions!$C$30:$C$50,0),0)))</f>
        <v/>
      </c>
      <c r="T17" s="16" t="str">
        <f>IF($C17&lt;&gt;"Organisation","",IF(OR($P17&lt;&gt;"",$Q17&lt;&gt;""),"Documented in source - midpoint of annual_intake_low/high",IF($I17="","No confirmed programme - modelled as zero",$N17&amp;" base x "&amp;TEXT(_xlfn.XLOOKUP($G17,Assumptions!$B$13:$B$26,Assumptions!$C$13:$C$26,0),"0.0#")&amp;" sector x "&amp;TEXT(_xlfn.XLOOKUP($I17,Assumptions!$B$30:$B$50,Assumptions!$C$30:$C$50,0),"0.0#")&amp;" mechanism")))</f>
        <v/>
      </c>
      <c r="W17" s="13"/>
      <c r="X17" s="13"/>
    </row>
    <row r="18" spans="1:24" x14ac:dyDescent="0.2">
      <c r="A18" s="13" t="s">
        <v>53</v>
      </c>
      <c r="B18" s="13" t="s">
        <v>54</v>
      </c>
      <c r="C18" s="13" t="s">
        <v>36</v>
      </c>
      <c r="D18" s="13" t="s">
        <v>33</v>
      </c>
      <c r="E18" s="13" t="s">
        <v>54</v>
      </c>
      <c r="K18" s="19" t="s">
        <v>1815</v>
      </c>
      <c r="L18" s="17"/>
      <c r="M18" s="17"/>
      <c r="P18" s="16"/>
      <c r="Q18" s="16"/>
      <c r="R18" s="16"/>
      <c r="S18" s="21" t="str">
        <f>IF($C18&lt;&gt;"Organisation","",IF(OR($P18&lt;&gt;"",$Q18&lt;&gt;""),IF($P18&lt;&gt;"",IF($Q18&lt;&gt;"",($P18+$Q18)/2,$P18),$Q18),ROUND(_xlfn.XLOOKUP($N18,Assumptions!$B$5:$B$9,Assumptions!$C$5:$C$9,0)*_xlfn.XLOOKUP($G18,Assumptions!$B$13:$B$26,Assumptions!$C$13:$C$26,0)*_xlfn.XLOOKUP($I18,Assumptions!$B$30:$B$50,Assumptions!$C$30:$C$50,0),0)))</f>
        <v/>
      </c>
      <c r="T18" s="16" t="str">
        <f>IF($C18&lt;&gt;"Organisation","",IF(OR($P18&lt;&gt;"",$Q18&lt;&gt;""),"Documented in source - midpoint of annual_intake_low/high",IF($I18="","No confirmed programme - modelled as zero",$N18&amp;" base x "&amp;TEXT(_xlfn.XLOOKUP($G18,Assumptions!$B$13:$B$26,Assumptions!$C$13:$C$26,0),"0.0#")&amp;" sector x "&amp;TEXT(_xlfn.XLOOKUP($I18,Assumptions!$B$30:$B$50,Assumptions!$C$30:$C$50,0),"0.0#")&amp;" mechanism")))</f>
        <v/>
      </c>
      <c r="W18" s="13"/>
      <c r="X18" s="13"/>
    </row>
    <row r="19" spans="1:24" x14ac:dyDescent="0.2">
      <c r="A19" s="13" t="s">
        <v>55</v>
      </c>
      <c r="B19" s="13" t="s">
        <v>56</v>
      </c>
      <c r="C19" s="13" t="s">
        <v>36</v>
      </c>
      <c r="D19" s="13" t="s">
        <v>33</v>
      </c>
      <c r="E19" s="13" t="s">
        <v>56</v>
      </c>
      <c r="K19" s="19" t="s">
        <v>1815</v>
      </c>
      <c r="L19" s="17"/>
      <c r="M19" s="17"/>
      <c r="P19" s="16"/>
      <c r="Q19" s="16"/>
      <c r="R19" s="16"/>
      <c r="S19" s="21" t="str">
        <f>IF($C19&lt;&gt;"Organisation","",IF(OR($P19&lt;&gt;"",$Q19&lt;&gt;""),IF($P19&lt;&gt;"",IF($Q19&lt;&gt;"",($P19+$Q19)/2,$P19),$Q19),ROUND(_xlfn.XLOOKUP($N19,Assumptions!$B$5:$B$9,Assumptions!$C$5:$C$9,0)*_xlfn.XLOOKUP($G19,Assumptions!$B$13:$B$26,Assumptions!$C$13:$C$26,0)*_xlfn.XLOOKUP($I19,Assumptions!$B$30:$B$50,Assumptions!$C$30:$C$50,0),0)))</f>
        <v/>
      </c>
      <c r="T19" s="16" t="str">
        <f>IF($C19&lt;&gt;"Organisation","",IF(OR($P19&lt;&gt;"",$Q19&lt;&gt;""),"Documented in source - midpoint of annual_intake_low/high",IF($I19="","No confirmed programme - modelled as zero",$N19&amp;" base x "&amp;TEXT(_xlfn.XLOOKUP($G19,Assumptions!$B$13:$B$26,Assumptions!$C$13:$C$26,0),"0.0#")&amp;" sector x "&amp;TEXT(_xlfn.XLOOKUP($I19,Assumptions!$B$30:$B$50,Assumptions!$C$30:$C$50,0),"0.0#")&amp;" mechanism")))</f>
        <v/>
      </c>
      <c r="W19" s="13"/>
      <c r="X19" s="13"/>
    </row>
    <row r="20" spans="1:24" x14ac:dyDescent="0.2">
      <c r="A20" s="13" t="s">
        <v>57</v>
      </c>
      <c r="B20" s="13" t="s">
        <v>58</v>
      </c>
      <c r="C20" s="13" t="s">
        <v>36</v>
      </c>
      <c r="D20" s="13" t="s">
        <v>33</v>
      </c>
      <c r="E20" s="13" t="s">
        <v>58</v>
      </c>
      <c r="K20" s="19" t="s">
        <v>1815</v>
      </c>
      <c r="L20" s="17"/>
      <c r="M20" s="17"/>
      <c r="P20" s="16"/>
      <c r="Q20" s="16"/>
      <c r="R20" s="16"/>
      <c r="S20" s="21" t="str">
        <f>IF($C20&lt;&gt;"Organisation","",IF(OR($P20&lt;&gt;"",$Q20&lt;&gt;""),IF($P20&lt;&gt;"",IF($Q20&lt;&gt;"",($P20+$Q20)/2,$P20),$Q20),ROUND(_xlfn.XLOOKUP($N20,Assumptions!$B$5:$B$9,Assumptions!$C$5:$C$9,0)*_xlfn.XLOOKUP($G20,Assumptions!$B$13:$B$26,Assumptions!$C$13:$C$26,0)*_xlfn.XLOOKUP($I20,Assumptions!$B$30:$B$50,Assumptions!$C$30:$C$50,0),0)))</f>
        <v/>
      </c>
      <c r="T20" s="16" t="str">
        <f>IF($C20&lt;&gt;"Organisation","",IF(OR($P20&lt;&gt;"",$Q20&lt;&gt;""),"Documented in source - midpoint of annual_intake_low/high",IF($I20="","No confirmed programme - modelled as zero",$N20&amp;" base x "&amp;TEXT(_xlfn.XLOOKUP($G20,Assumptions!$B$13:$B$26,Assumptions!$C$13:$C$26,0),"0.0#")&amp;" sector x "&amp;TEXT(_xlfn.XLOOKUP($I20,Assumptions!$B$30:$B$50,Assumptions!$C$30:$C$50,0),"0.0#")&amp;" mechanism")))</f>
        <v/>
      </c>
      <c r="W20" s="13"/>
      <c r="X20" s="13"/>
    </row>
    <row r="21" spans="1:24" x14ac:dyDescent="0.2">
      <c r="A21" s="13" t="s">
        <v>59</v>
      </c>
      <c r="B21" s="13" t="s">
        <v>60</v>
      </c>
      <c r="C21" s="13" t="s">
        <v>36</v>
      </c>
      <c r="D21" s="13" t="s">
        <v>33</v>
      </c>
      <c r="E21" s="13" t="s">
        <v>60</v>
      </c>
      <c r="K21" s="19" t="s">
        <v>1815</v>
      </c>
      <c r="L21" s="17"/>
      <c r="M21" s="17"/>
      <c r="P21" s="16"/>
      <c r="Q21" s="16"/>
      <c r="R21" s="16"/>
      <c r="S21" s="21" t="str">
        <f>IF($C21&lt;&gt;"Organisation","",IF(OR($P21&lt;&gt;"",$Q21&lt;&gt;""),IF($P21&lt;&gt;"",IF($Q21&lt;&gt;"",($P21+$Q21)/2,$P21),$Q21),ROUND(_xlfn.XLOOKUP($N21,Assumptions!$B$5:$B$9,Assumptions!$C$5:$C$9,0)*_xlfn.XLOOKUP($G21,Assumptions!$B$13:$B$26,Assumptions!$C$13:$C$26,0)*_xlfn.XLOOKUP($I21,Assumptions!$B$30:$B$50,Assumptions!$C$30:$C$50,0),0)))</f>
        <v/>
      </c>
      <c r="T21" s="16" t="str">
        <f>IF($C21&lt;&gt;"Organisation","",IF(OR($P21&lt;&gt;"",$Q21&lt;&gt;""),"Documented in source - midpoint of annual_intake_low/high",IF($I21="","No confirmed programme - modelled as zero",$N21&amp;" base x "&amp;TEXT(_xlfn.XLOOKUP($G21,Assumptions!$B$13:$B$26,Assumptions!$C$13:$C$26,0),"0.0#")&amp;" sector x "&amp;TEXT(_xlfn.XLOOKUP($I21,Assumptions!$B$30:$B$50,Assumptions!$C$30:$C$50,0),"0.0#")&amp;" mechanism")))</f>
        <v/>
      </c>
      <c r="W21" s="13"/>
      <c r="X21" s="13"/>
    </row>
    <row r="22" spans="1:24" x14ac:dyDescent="0.2">
      <c r="A22" s="13" t="s">
        <v>61</v>
      </c>
      <c r="B22" s="13" t="s">
        <v>62</v>
      </c>
      <c r="C22" s="13" t="s">
        <v>36</v>
      </c>
      <c r="D22" s="13" t="s">
        <v>33</v>
      </c>
      <c r="E22" s="13" t="s">
        <v>62</v>
      </c>
      <c r="K22" s="19" t="s">
        <v>1815</v>
      </c>
      <c r="L22" s="17"/>
      <c r="M22" s="17"/>
      <c r="P22" s="16"/>
      <c r="Q22" s="16"/>
      <c r="R22" s="16"/>
      <c r="S22" s="21" t="str">
        <f>IF($C22&lt;&gt;"Organisation","",IF(OR($P22&lt;&gt;"",$Q22&lt;&gt;""),IF($P22&lt;&gt;"",IF($Q22&lt;&gt;"",($P22+$Q22)/2,$P22),$Q22),ROUND(_xlfn.XLOOKUP($N22,Assumptions!$B$5:$B$9,Assumptions!$C$5:$C$9,0)*_xlfn.XLOOKUP($G22,Assumptions!$B$13:$B$26,Assumptions!$C$13:$C$26,0)*_xlfn.XLOOKUP($I22,Assumptions!$B$30:$B$50,Assumptions!$C$30:$C$50,0),0)))</f>
        <v/>
      </c>
      <c r="T22" s="16" t="str">
        <f>IF($C22&lt;&gt;"Organisation","",IF(OR($P22&lt;&gt;"",$Q22&lt;&gt;""),"Documented in source - midpoint of annual_intake_low/high",IF($I22="","No confirmed programme - modelled as zero",$N22&amp;" base x "&amp;TEXT(_xlfn.XLOOKUP($G22,Assumptions!$B$13:$B$26,Assumptions!$C$13:$C$26,0),"0.0#")&amp;" sector x "&amp;TEXT(_xlfn.XLOOKUP($I22,Assumptions!$B$30:$B$50,Assumptions!$C$30:$C$50,0),"0.0#")&amp;" mechanism")))</f>
        <v/>
      </c>
      <c r="W22" s="13"/>
      <c r="X22" s="13"/>
    </row>
    <row r="23" spans="1:24" x14ac:dyDescent="0.2">
      <c r="A23" s="13" t="s">
        <v>63</v>
      </c>
      <c r="B23" s="13" t="s">
        <v>64</v>
      </c>
      <c r="C23" s="13" t="s">
        <v>36</v>
      </c>
      <c r="D23" s="13" t="s">
        <v>33</v>
      </c>
      <c r="E23" s="13" t="s">
        <v>64</v>
      </c>
      <c r="K23" s="19" t="s">
        <v>1815</v>
      </c>
      <c r="L23" s="17"/>
      <c r="M23" s="17"/>
      <c r="P23" s="16"/>
      <c r="Q23" s="16"/>
      <c r="R23" s="16"/>
      <c r="S23" s="21" t="str">
        <f>IF($C23&lt;&gt;"Organisation","",IF(OR($P23&lt;&gt;"",$Q23&lt;&gt;""),IF($P23&lt;&gt;"",IF($Q23&lt;&gt;"",($P23+$Q23)/2,$P23),$Q23),ROUND(_xlfn.XLOOKUP($N23,Assumptions!$B$5:$B$9,Assumptions!$C$5:$C$9,0)*_xlfn.XLOOKUP($G23,Assumptions!$B$13:$B$26,Assumptions!$C$13:$C$26,0)*_xlfn.XLOOKUP($I23,Assumptions!$B$30:$B$50,Assumptions!$C$30:$C$50,0),0)))</f>
        <v/>
      </c>
      <c r="T23" s="16" t="str">
        <f>IF($C23&lt;&gt;"Organisation","",IF(OR($P23&lt;&gt;"",$Q23&lt;&gt;""),"Documented in source - midpoint of annual_intake_low/high",IF($I23="","No confirmed programme - modelled as zero",$N23&amp;" base x "&amp;TEXT(_xlfn.XLOOKUP($G23,Assumptions!$B$13:$B$26,Assumptions!$C$13:$C$26,0),"0.0#")&amp;" sector x "&amp;TEXT(_xlfn.XLOOKUP($I23,Assumptions!$B$30:$B$50,Assumptions!$C$30:$C$50,0),"0.0#")&amp;" mechanism")))</f>
        <v/>
      </c>
      <c r="W23" s="13"/>
      <c r="X23" s="13"/>
    </row>
    <row r="24" spans="1:24" x14ac:dyDescent="0.2">
      <c r="A24" s="13" t="s">
        <v>65</v>
      </c>
      <c r="B24" s="13" t="s">
        <v>66</v>
      </c>
      <c r="C24" s="13" t="s">
        <v>36</v>
      </c>
      <c r="D24" s="13" t="s">
        <v>33</v>
      </c>
      <c r="E24" s="13" t="s">
        <v>66</v>
      </c>
      <c r="K24" s="19" t="s">
        <v>1815</v>
      </c>
      <c r="L24" s="17"/>
      <c r="M24" s="17"/>
      <c r="P24" s="16"/>
      <c r="Q24" s="16"/>
      <c r="R24" s="16"/>
      <c r="S24" s="21" t="str">
        <f>IF($C24&lt;&gt;"Organisation","",IF(OR($P24&lt;&gt;"",$Q24&lt;&gt;""),IF($P24&lt;&gt;"",IF($Q24&lt;&gt;"",($P24+$Q24)/2,$P24),$Q24),ROUND(_xlfn.XLOOKUP($N24,Assumptions!$B$5:$B$9,Assumptions!$C$5:$C$9,0)*_xlfn.XLOOKUP($G24,Assumptions!$B$13:$B$26,Assumptions!$C$13:$C$26,0)*_xlfn.XLOOKUP($I24,Assumptions!$B$30:$B$50,Assumptions!$C$30:$C$50,0),0)))</f>
        <v/>
      </c>
      <c r="T24" s="16" t="str">
        <f>IF($C24&lt;&gt;"Organisation","",IF(OR($P24&lt;&gt;"",$Q24&lt;&gt;""),"Documented in source - midpoint of annual_intake_low/high",IF($I24="","No confirmed programme - modelled as zero",$N24&amp;" base x "&amp;TEXT(_xlfn.XLOOKUP($G24,Assumptions!$B$13:$B$26,Assumptions!$C$13:$C$26,0),"0.0#")&amp;" sector x "&amp;TEXT(_xlfn.XLOOKUP($I24,Assumptions!$B$30:$B$50,Assumptions!$C$30:$C$50,0),"0.0#")&amp;" mechanism")))</f>
        <v/>
      </c>
      <c r="W24" s="13"/>
      <c r="X24" s="13"/>
    </row>
    <row r="25" spans="1:24" x14ac:dyDescent="0.2">
      <c r="A25" s="13" t="s">
        <v>67</v>
      </c>
      <c r="B25" s="13" t="s">
        <v>68</v>
      </c>
      <c r="C25" s="13" t="s">
        <v>36</v>
      </c>
      <c r="D25" s="13" t="s">
        <v>33</v>
      </c>
      <c r="E25" s="13" t="s">
        <v>68</v>
      </c>
      <c r="K25" s="19" t="s">
        <v>1815</v>
      </c>
      <c r="L25" s="17"/>
      <c r="M25" s="17"/>
      <c r="P25" s="16"/>
      <c r="Q25" s="16"/>
      <c r="R25" s="16"/>
      <c r="S25" s="21" t="str">
        <f>IF($C25&lt;&gt;"Organisation","",IF(OR($P25&lt;&gt;"",$Q25&lt;&gt;""),IF($P25&lt;&gt;"",IF($Q25&lt;&gt;"",($P25+$Q25)/2,$P25),$Q25),ROUND(_xlfn.XLOOKUP($N25,Assumptions!$B$5:$B$9,Assumptions!$C$5:$C$9,0)*_xlfn.XLOOKUP($G25,Assumptions!$B$13:$B$26,Assumptions!$C$13:$C$26,0)*_xlfn.XLOOKUP($I25,Assumptions!$B$30:$B$50,Assumptions!$C$30:$C$50,0),0)))</f>
        <v/>
      </c>
      <c r="T25" s="16" t="str">
        <f>IF($C25&lt;&gt;"Organisation","",IF(OR($P25&lt;&gt;"",$Q25&lt;&gt;""),"Documented in source - midpoint of annual_intake_low/high",IF($I25="","No confirmed programme - modelled as zero",$N25&amp;" base x "&amp;TEXT(_xlfn.XLOOKUP($G25,Assumptions!$B$13:$B$26,Assumptions!$C$13:$C$26,0),"0.0#")&amp;" sector x "&amp;TEXT(_xlfn.XLOOKUP($I25,Assumptions!$B$30:$B$50,Assumptions!$C$30:$C$50,0),"0.0#")&amp;" mechanism")))</f>
        <v/>
      </c>
      <c r="W25" s="13"/>
      <c r="X25" s="13"/>
    </row>
    <row r="26" spans="1:24" x14ac:dyDescent="0.2">
      <c r="A26" s="13" t="s">
        <v>69</v>
      </c>
      <c r="B26" s="13" t="s">
        <v>70</v>
      </c>
      <c r="C26" s="13" t="s">
        <v>36</v>
      </c>
      <c r="D26" s="13" t="s">
        <v>33</v>
      </c>
      <c r="E26" s="13" t="s">
        <v>70</v>
      </c>
      <c r="K26" s="19" t="s">
        <v>1815</v>
      </c>
      <c r="L26" s="17"/>
      <c r="M26" s="17"/>
      <c r="P26" s="16"/>
      <c r="Q26" s="16"/>
      <c r="R26" s="16"/>
      <c r="S26" s="21" t="str">
        <f>IF($C26&lt;&gt;"Organisation","",IF(OR($P26&lt;&gt;"",$Q26&lt;&gt;""),IF($P26&lt;&gt;"",IF($Q26&lt;&gt;"",($P26+$Q26)/2,$P26),$Q26),ROUND(_xlfn.XLOOKUP($N26,Assumptions!$B$5:$B$9,Assumptions!$C$5:$C$9,0)*_xlfn.XLOOKUP($G26,Assumptions!$B$13:$B$26,Assumptions!$C$13:$C$26,0)*_xlfn.XLOOKUP($I26,Assumptions!$B$30:$B$50,Assumptions!$C$30:$C$50,0),0)))</f>
        <v/>
      </c>
      <c r="T26" s="16" t="str">
        <f>IF($C26&lt;&gt;"Organisation","",IF(OR($P26&lt;&gt;"",$Q26&lt;&gt;""),"Documented in source - midpoint of annual_intake_low/high",IF($I26="","No confirmed programme - modelled as zero",$N26&amp;" base x "&amp;TEXT(_xlfn.XLOOKUP($G26,Assumptions!$B$13:$B$26,Assumptions!$C$13:$C$26,0),"0.0#")&amp;" sector x "&amp;TEXT(_xlfn.XLOOKUP($I26,Assumptions!$B$30:$B$50,Assumptions!$C$30:$C$50,0),"0.0#")&amp;" mechanism")))</f>
        <v/>
      </c>
      <c r="W26" s="13"/>
      <c r="X26" s="13"/>
    </row>
    <row r="27" spans="1:24" x14ac:dyDescent="0.2">
      <c r="A27" s="13" t="s">
        <v>71</v>
      </c>
      <c r="B27" s="13" t="s">
        <v>72</v>
      </c>
      <c r="C27" s="13" t="s">
        <v>36</v>
      </c>
      <c r="D27" s="13" t="s">
        <v>33</v>
      </c>
      <c r="E27" s="13" t="s">
        <v>72</v>
      </c>
      <c r="K27" s="19" t="s">
        <v>1815</v>
      </c>
      <c r="L27" s="17"/>
      <c r="M27" s="17"/>
      <c r="P27" s="16"/>
      <c r="Q27" s="16"/>
      <c r="R27" s="16"/>
      <c r="S27" s="21" t="str">
        <f>IF($C27&lt;&gt;"Organisation","",IF(OR($P27&lt;&gt;"",$Q27&lt;&gt;""),IF($P27&lt;&gt;"",IF($Q27&lt;&gt;"",($P27+$Q27)/2,$P27),$Q27),ROUND(_xlfn.XLOOKUP($N27,Assumptions!$B$5:$B$9,Assumptions!$C$5:$C$9,0)*_xlfn.XLOOKUP($G27,Assumptions!$B$13:$B$26,Assumptions!$C$13:$C$26,0)*_xlfn.XLOOKUP($I27,Assumptions!$B$30:$B$50,Assumptions!$C$30:$C$50,0),0)))</f>
        <v/>
      </c>
      <c r="T27" s="16" t="str">
        <f>IF($C27&lt;&gt;"Organisation","",IF(OR($P27&lt;&gt;"",$Q27&lt;&gt;""),"Documented in source - midpoint of annual_intake_low/high",IF($I27="","No confirmed programme - modelled as zero",$N27&amp;" base x "&amp;TEXT(_xlfn.XLOOKUP($G27,Assumptions!$B$13:$B$26,Assumptions!$C$13:$C$26,0),"0.0#")&amp;" sector x "&amp;TEXT(_xlfn.XLOOKUP($I27,Assumptions!$B$30:$B$50,Assumptions!$C$30:$C$50,0),"0.0#")&amp;" mechanism")))</f>
        <v/>
      </c>
      <c r="W27" s="13"/>
      <c r="X27" s="13"/>
    </row>
    <row r="28" spans="1:24" x14ac:dyDescent="0.2">
      <c r="A28" s="13" t="s">
        <v>73</v>
      </c>
      <c r="B28" s="13" t="s">
        <v>74</v>
      </c>
      <c r="C28" s="13" t="s">
        <v>36</v>
      </c>
      <c r="D28" s="13" t="s">
        <v>33</v>
      </c>
      <c r="E28" s="13" t="s">
        <v>74</v>
      </c>
      <c r="K28" s="19" t="s">
        <v>1815</v>
      </c>
      <c r="L28" s="17"/>
      <c r="M28" s="17"/>
      <c r="P28" s="16"/>
      <c r="Q28" s="16"/>
      <c r="R28" s="16"/>
      <c r="S28" s="21" t="str">
        <f>IF($C28&lt;&gt;"Organisation","",IF(OR($P28&lt;&gt;"",$Q28&lt;&gt;""),IF($P28&lt;&gt;"",IF($Q28&lt;&gt;"",($P28+$Q28)/2,$P28),$Q28),ROUND(_xlfn.XLOOKUP($N28,Assumptions!$B$5:$B$9,Assumptions!$C$5:$C$9,0)*_xlfn.XLOOKUP($G28,Assumptions!$B$13:$B$26,Assumptions!$C$13:$C$26,0)*_xlfn.XLOOKUP($I28,Assumptions!$B$30:$B$50,Assumptions!$C$30:$C$50,0),0)))</f>
        <v/>
      </c>
      <c r="T28" s="16" t="str">
        <f>IF($C28&lt;&gt;"Organisation","",IF(OR($P28&lt;&gt;"",$Q28&lt;&gt;""),"Documented in source - midpoint of annual_intake_low/high",IF($I28="","No confirmed programme - modelled as zero",$N28&amp;" base x "&amp;TEXT(_xlfn.XLOOKUP($G28,Assumptions!$B$13:$B$26,Assumptions!$C$13:$C$26,0),"0.0#")&amp;" sector x "&amp;TEXT(_xlfn.XLOOKUP($I28,Assumptions!$B$30:$B$50,Assumptions!$C$30:$C$50,0),"0.0#")&amp;" mechanism")))</f>
        <v/>
      </c>
      <c r="W28" s="13"/>
      <c r="X28" s="13"/>
    </row>
    <row r="29" spans="1:24" x14ac:dyDescent="0.2">
      <c r="A29" s="13" t="s">
        <v>75</v>
      </c>
      <c r="B29" s="13" t="s">
        <v>76</v>
      </c>
      <c r="C29" s="13" t="s">
        <v>36</v>
      </c>
      <c r="D29" s="13" t="s">
        <v>76</v>
      </c>
      <c r="E29" s="13" t="s">
        <v>76</v>
      </c>
      <c r="K29" s="19" t="s">
        <v>1815</v>
      </c>
      <c r="L29" s="17"/>
      <c r="M29" s="17"/>
      <c r="P29" s="16"/>
      <c r="Q29" s="16"/>
      <c r="R29" s="16"/>
      <c r="S29" s="21" t="str">
        <f>IF($C29&lt;&gt;"Organisation","",IF(OR($P29&lt;&gt;"",$Q29&lt;&gt;""),IF($P29&lt;&gt;"",IF($Q29&lt;&gt;"",($P29+$Q29)/2,$P29),$Q29),ROUND(_xlfn.XLOOKUP($N29,Assumptions!$B$5:$B$9,Assumptions!$C$5:$C$9,0)*_xlfn.XLOOKUP($G29,Assumptions!$B$13:$B$26,Assumptions!$C$13:$C$26,0)*_xlfn.XLOOKUP($I29,Assumptions!$B$30:$B$50,Assumptions!$C$30:$C$50,0),0)))</f>
        <v/>
      </c>
      <c r="T29" s="16" t="str">
        <f>IF($C29&lt;&gt;"Organisation","",IF(OR($P29&lt;&gt;"",$Q29&lt;&gt;""),"Documented in source - midpoint of annual_intake_low/high",IF($I29="","No confirmed programme - modelled as zero",$N29&amp;" base x "&amp;TEXT(_xlfn.XLOOKUP($G29,Assumptions!$B$13:$B$26,Assumptions!$C$13:$C$26,0),"0.0#")&amp;" sector x "&amp;TEXT(_xlfn.XLOOKUP($I29,Assumptions!$B$30:$B$50,Assumptions!$C$30:$C$50,0),"0.0#")&amp;" mechanism")))</f>
        <v/>
      </c>
      <c r="W29" s="13"/>
      <c r="X29" s="13" t="s">
        <v>1436</v>
      </c>
    </row>
    <row r="30" spans="1:24" x14ac:dyDescent="0.2">
      <c r="A30" s="13" t="s">
        <v>77</v>
      </c>
      <c r="B30" s="13" t="s">
        <v>78</v>
      </c>
      <c r="C30" s="13" t="s">
        <v>79</v>
      </c>
      <c r="D30" s="13" t="s">
        <v>23</v>
      </c>
      <c r="E30" s="13" t="s">
        <v>35</v>
      </c>
      <c r="F30" s="13" t="s">
        <v>78</v>
      </c>
      <c r="K30" s="19" t="s">
        <v>1815</v>
      </c>
      <c r="L30" s="17"/>
      <c r="M30" s="17"/>
      <c r="P30" s="16"/>
      <c r="Q30" s="16"/>
      <c r="R30" s="16"/>
      <c r="S30" s="21" t="str">
        <f>IF($C30&lt;&gt;"Organisation","",IF(OR($P30&lt;&gt;"",$Q30&lt;&gt;""),IF($P30&lt;&gt;"",IF($Q30&lt;&gt;"",($P30+$Q30)/2,$P30),$Q30),ROUND(_xlfn.XLOOKUP($N30,Assumptions!$B$5:$B$9,Assumptions!$C$5:$C$9,0)*_xlfn.XLOOKUP($G30,Assumptions!$B$13:$B$26,Assumptions!$C$13:$C$26,0)*_xlfn.XLOOKUP($I30,Assumptions!$B$30:$B$50,Assumptions!$C$30:$C$50,0),0)))</f>
        <v/>
      </c>
      <c r="T30" s="16" t="str">
        <f>IF($C30&lt;&gt;"Organisation","",IF(OR($P30&lt;&gt;"",$Q30&lt;&gt;""),"Documented in source - midpoint of annual_intake_low/high",IF($I30="","No confirmed programme - modelled as zero",$N30&amp;" base x "&amp;TEXT(_xlfn.XLOOKUP($G30,Assumptions!$B$13:$B$26,Assumptions!$C$13:$C$26,0),"0.0#")&amp;" sector x "&amp;TEXT(_xlfn.XLOOKUP($I30,Assumptions!$B$30:$B$50,Assumptions!$C$30:$C$50,0),"0.0#")&amp;" mechanism")))</f>
        <v/>
      </c>
      <c r="W30" s="13" t="s">
        <v>80</v>
      </c>
      <c r="X30" s="13"/>
    </row>
    <row r="31" spans="1:24" x14ac:dyDescent="0.2">
      <c r="A31" s="13" t="s">
        <v>81</v>
      </c>
      <c r="B31" s="13" t="s">
        <v>82</v>
      </c>
      <c r="C31" s="13" t="s">
        <v>79</v>
      </c>
      <c r="D31" s="13" t="s">
        <v>23</v>
      </c>
      <c r="E31" s="13" t="s">
        <v>35</v>
      </c>
      <c r="F31" s="13" t="s">
        <v>82</v>
      </c>
      <c r="K31" s="19" t="s">
        <v>1815</v>
      </c>
      <c r="L31" s="17"/>
      <c r="M31" s="17"/>
      <c r="P31" s="16"/>
      <c r="Q31" s="16"/>
      <c r="R31" s="16"/>
      <c r="S31" s="21" t="str">
        <f>IF($C31&lt;&gt;"Organisation","",IF(OR($P31&lt;&gt;"",$Q31&lt;&gt;""),IF($P31&lt;&gt;"",IF($Q31&lt;&gt;"",($P31+$Q31)/2,$P31),$Q31),ROUND(_xlfn.XLOOKUP($N31,Assumptions!$B$5:$B$9,Assumptions!$C$5:$C$9,0)*_xlfn.XLOOKUP($G31,Assumptions!$B$13:$B$26,Assumptions!$C$13:$C$26,0)*_xlfn.XLOOKUP($I31,Assumptions!$B$30:$B$50,Assumptions!$C$30:$C$50,0),0)))</f>
        <v/>
      </c>
      <c r="T31" s="16" t="str">
        <f>IF($C31&lt;&gt;"Organisation","",IF(OR($P31&lt;&gt;"",$Q31&lt;&gt;""),"Documented in source - midpoint of annual_intake_low/high",IF($I31="","No confirmed programme - modelled as zero",$N31&amp;" base x "&amp;TEXT(_xlfn.XLOOKUP($G31,Assumptions!$B$13:$B$26,Assumptions!$C$13:$C$26,0),"0.0#")&amp;" sector x "&amp;TEXT(_xlfn.XLOOKUP($I31,Assumptions!$B$30:$B$50,Assumptions!$C$30:$C$50,0),"0.0#")&amp;" mechanism")))</f>
        <v/>
      </c>
      <c r="W31" s="13" t="s">
        <v>80</v>
      </c>
      <c r="X31" s="13"/>
    </row>
    <row r="32" spans="1:24" x14ac:dyDescent="0.2">
      <c r="A32" s="13" t="s">
        <v>83</v>
      </c>
      <c r="B32" s="13" t="s">
        <v>84</v>
      </c>
      <c r="C32" s="13" t="s">
        <v>79</v>
      </c>
      <c r="D32" s="13" t="s">
        <v>23</v>
      </c>
      <c r="E32" s="13" t="s">
        <v>35</v>
      </c>
      <c r="F32" s="13" t="s">
        <v>84</v>
      </c>
      <c r="K32" s="19" t="s">
        <v>1815</v>
      </c>
      <c r="L32" s="17"/>
      <c r="M32" s="17"/>
      <c r="P32" s="16"/>
      <c r="Q32" s="16"/>
      <c r="R32" s="16"/>
      <c r="S32" s="21" t="str">
        <f>IF($C32&lt;&gt;"Organisation","",IF(OR($P32&lt;&gt;"",$Q32&lt;&gt;""),IF($P32&lt;&gt;"",IF($Q32&lt;&gt;"",($P32+$Q32)/2,$P32),$Q32),ROUND(_xlfn.XLOOKUP($N32,Assumptions!$B$5:$B$9,Assumptions!$C$5:$C$9,0)*_xlfn.XLOOKUP($G32,Assumptions!$B$13:$B$26,Assumptions!$C$13:$C$26,0)*_xlfn.XLOOKUP($I32,Assumptions!$B$30:$B$50,Assumptions!$C$30:$C$50,0),0)))</f>
        <v/>
      </c>
      <c r="T32" s="16" t="str">
        <f>IF($C32&lt;&gt;"Organisation","",IF(OR($P32&lt;&gt;"",$Q32&lt;&gt;""),"Documented in source - midpoint of annual_intake_low/high",IF($I32="","No confirmed programme - modelled as zero",$N32&amp;" base x "&amp;TEXT(_xlfn.XLOOKUP($G32,Assumptions!$B$13:$B$26,Assumptions!$C$13:$C$26,0),"0.0#")&amp;" sector x "&amp;TEXT(_xlfn.XLOOKUP($I32,Assumptions!$B$30:$B$50,Assumptions!$C$30:$C$50,0),"0.0#")&amp;" mechanism")))</f>
        <v/>
      </c>
      <c r="W32" s="13" t="s">
        <v>80</v>
      </c>
      <c r="X32" s="13"/>
    </row>
    <row r="33" spans="1:24" x14ac:dyDescent="0.2">
      <c r="A33" s="13" t="s">
        <v>85</v>
      </c>
      <c r="B33" s="13" t="s">
        <v>86</v>
      </c>
      <c r="C33" s="13" t="s">
        <v>79</v>
      </c>
      <c r="D33" s="13" t="s">
        <v>23</v>
      </c>
      <c r="E33" s="13" t="s">
        <v>35</v>
      </c>
      <c r="F33" s="13" t="s">
        <v>86</v>
      </c>
      <c r="K33" s="19" t="s">
        <v>1815</v>
      </c>
      <c r="L33" s="17"/>
      <c r="M33" s="17"/>
      <c r="P33" s="16"/>
      <c r="Q33" s="16"/>
      <c r="R33" s="16"/>
      <c r="S33" s="21" t="str">
        <f>IF($C33&lt;&gt;"Organisation","",IF(OR($P33&lt;&gt;"",$Q33&lt;&gt;""),IF($P33&lt;&gt;"",IF($Q33&lt;&gt;"",($P33+$Q33)/2,$P33),$Q33),ROUND(_xlfn.XLOOKUP($N33,Assumptions!$B$5:$B$9,Assumptions!$C$5:$C$9,0)*_xlfn.XLOOKUP($G33,Assumptions!$B$13:$B$26,Assumptions!$C$13:$C$26,0)*_xlfn.XLOOKUP($I33,Assumptions!$B$30:$B$50,Assumptions!$C$30:$C$50,0),0)))</f>
        <v/>
      </c>
      <c r="T33" s="16" t="str">
        <f>IF($C33&lt;&gt;"Organisation","",IF(OR($P33&lt;&gt;"",$Q33&lt;&gt;""),"Documented in source - midpoint of annual_intake_low/high",IF($I33="","No confirmed programme - modelled as zero",$N33&amp;" base x "&amp;TEXT(_xlfn.XLOOKUP($G33,Assumptions!$B$13:$B$26,Assumptions!$C$13:$C$26,0),"0.0#")&amp;" sector x "&amp;TEXT(_xlfn.XLOOKUP($I33,Assumptions!$B$30:$B$50,Assumptions!$C$30:$C$50,0),"0.0#")&amp;" mechanism")))</f>
        <v/>
      </c>
      <c r="W33" s="13" t="s">
        <v>80</v>
      </c>
      <c r="X33" s="13"/>
    </row>
    <row r="34" spans="1:24" x14ac:dyDescent="0.2">
      <c r="A34" s="13" t="s">
        <v>87</v>
      </c>
      <c r="B34" s="13" t="s">
        <v>88</v>
      </c>
      <c r="C34" s="13" t="s">
        <v>79</v>
      </c>
      <c r="D34" s="13" t="s">
        <v>23</v>
      </c>
      <c r="E34" s="13" t="s">
        <v>35</v>
      </c>
      <c r="F34" s="13" t="s">
        <v>88</v>
      </c>
      <c r="K34" s="19" t="s">
        <v>1815</v>
      </c>
      <c r="L34" s="17"/>
      <c r="M34" s="17"/>
      <c r="P34" s="16"/>
      <c r="Q34" s="16"/>
      <c r="R34" s="16"/>
      <c r="S34" s="21" t="str">
        <f>IF($C34&lt;&gt;"Organisation","",IF(OR($P34&lt;&gt;"",$Q34&lt;&gt;""),IF($P34&lt;&gt;"",IF($Q34&lt;&gt;"",($P34+$Q34)/2,$P34),$Q34),ROUND(_xlfn.XLOOKUP($N34,Assumptions!$B$5:$B$9,Assumptions!$C$5:$C$9,0)*_xlfn.XLOOKUP($G34,Assumptions!$B$13:$B$26,Assumptions!$C$13:$C$26,0)*_xlfn.XLOOKUP($I34,Assumptions!$B$30:$B$50,Assumptions!$C$30:$C$50,0),0)))</f>
        <v/>
      </c>
      <c r="T34" s="16" t="str">
        <f>IF($C34&lt;&gt;"Organisation","",IF(OR($P34&lt;&gt;"",$Q34&lt;&gt;""),"Documented in source - midpoint of annual_intake_low/high",IF($I34="","No confirmed programme - modelled as zero",$N34&amp;" base x "&amp;TEXT(_xlfn.XLOOKUP($G34,Assumptions!$B$13:$B$26,Assumptions!$C$13:$C$26,0),"0.0#")&amp;" sector x "&amp;TEXT(_xlfn.XLOOKUP($I34,Assumptions!$B$30:$B$50,Assumptions!$C$30:$C$50,0),"0.0#")&amp;" mechanism")))</f>
        <v/>
      </c>
      <c r="W34" s="13" t="s">
        <v>80</v>
      </c>
      <c r="X34" s="13"/>
    </row>
    <row r="35" spans="1:24" x14ac:dyDescent="0.2">
      <c r="A35" s="13" t="s">
        <v>89</v>
      </c>
      <c r="B35" s="13" t="s">
        <v>90</v>
      </c>
      <c r="C35" s="13" t="s">
        <v>79</v>
      </c>
      <c r="D35" s="13" t="s">
        <v>23</v>
      </c>
      <c r="E35" s="13" t="s">
        <v>35</v>
      </c>
      <c r="F35" s="13" t="s">
        <v>90</v>
      </c>
      <c r="K35" s="19" t="s">
        <v>1815</v>
      </c>
      <c r="L35" s="17"/>
      <c r="M35" s="17"/>
      <c r="P35" s="16"/>
      <c r="Q35" s="16"/>
      <c r="R35" s="16"/>
      <c r="S35" s="21" t="str">
        <f>IF($C35&lt;&gt;"Organisation","",IF(OR($P35&lt;&gt;"",$Q35&lt;&gt;""),IF($P35&lt;&gt;"",IF($Q35&lt;&gt;"",($P35+$Q35)/2,$P35),$Q35),ROUND(_xlfn.XLOOKUP($N35,Assumptions!$B$5:$B$9,Assumptions!$C$5:$C$9,0)*_xlfn.XLOOKUP($G35,Assumptions!$B$13:$B$26,Assumptions!$C$13:$C$26,0)*_xlfn.XLOOKUP($I35,Assumptions!$B$30:$B$50,Assumptions!$C$30:$C$50,0),0)))</f>
        <v/>
      </c>
      <c r="T35" s="16" t="str">
        <f>IF($C35&lt;&gt;"Organisation","",IF(OR($P35&lt;&gt;"",$Q35&lt;&gt;""),"Documented in source - midpoint of annual_intake_low/high",IF($I35="","No confirmed programme - modelled as zero",$N35&amp;" base x "&amp;TEXT(_xlfn.XLOOKUP($G35,Assumptions!$B$13:$B$26,Assumptions!$C$13:$C$26,0),"0.0#")&amp;" sector x "&amp;TEXT(_xlfn.XLOOKUP($I35,Assumptions!$B$30:$B$50,Assumptions!$C$30:$C$50,0),"0.0#")&amp;" mechanism")))</f>
        <v/>
      </c>
      <c r="W35" s="13" t="s">
        <v>80</v>
      </c>
      <c r="X35" s="13"/>
    </row>
    <row r="36" spans="1:24" x14ac:dyDescent="0.2">
      <c r="A36" s="13" t="s">
        <v>91</v>
      </c>
      <c r="B36" s="13" t="s">
        <v>92</v>
      </c>
      <c r="C36" s="13" t="s">
        <v>79</v>
      </c>
      <c r="D36" s="13" t="s">
        <v>23</v>
      </c>
      <c r="E36" s="13" t="s">
        <v>35</v>
      </c>
      <c r="F36" s="13" t="s">
        <v>92</v>
      </c>
      <c r="K36" s="19" t="s">
        <v>1815</v>
      </c>
      <c r="L36" s="17"/>
      <c r="M36" s="17"/>
      <c r="P36" s="16"/>
      <c r="Q36" s="16"/>
      <c r="R36" s="16"/>
      <c r="S36" s="21" t="str">
        <f>IF($C36&lt;&gt;"Organisation","",IF(OR($P36&lt;&gt;"",$Q36&lt;&gt;""),IF($P36&lt;&gt;"",IF($Q36&lt;&gt;"",($P36+$Q36)/2,$P36),$Q36),ROUND(_xlfn.XLOOKUP($N36,Assumptions!$B$5:$B$9,Assumptions!$C$5:$C$9,0)*_xlfn.XLOOKUP($G36,Assumptions!$B$13:$B$26,Assumptions!$C$13:$C$26,0)*_xlfn.XLOOKUP($I36,Assumptions!$B$30:$B$50,Assumptions!$C$30:$C$50,0),0)))</f>
        <v/>
      </c>
      <c r="T36" s="16" t="str">
        <f>IF($C36&lt;&gt;"Organisation","",IF(OR($P36&lt;&gt;"",$Q36&lt;&gt;""),"Documented in source - midpoint of annual_intake_low/high",IF($I36="","No confirmed programme - modelled as zero",$N36&amp;" base x "&amp;TEXT(_xlfn.XLOOKUP($G36,Assumptions!$B$13:$B$26,Assumptions!$C$13:$C$26,0),"0.0#")&amp;" sector x "&amp;TEXT(_xlfn.XLOOKUP($I36,Assumptions!$B$30:$B$50,Assumptions!$C$30:$C$50,0),"0.0#")&amp;" mechanism")))</f>
        <v/>
      </c>
      <c r="W36" s="13" t="s">
        <v>80</v>
      </c>
      <c r="X36" s="13"/>
    </row>
    <row r="37" spans="1:24" x14ac:dyDescent="0.2">
      <c r="A37" s="13" t="s">
        <v>93</v>
      </c>
      <c r="B37" s="13" t="s">
        <v>94</v>
      </c>
      <c r="C37" s="13" t="s">
        <v>79</v>
      </c>
      <c r="D37" s="13" t="s">
        <v>23</v>
      </c>
      <c r="E37" s="13" t="s">
        <v>35</v>
      </c>
      <c r="F37" s="13" t="s">
        <v>94</v>
      </c>
      <c r="K37" s="19" t="s">
        <v>1815</v>
      </c>
      <c r="L37" s="17"/>
      <c r="M37" s="17"/>
      <c r="P37" s="16"/>
      <c r="Q37" s="16"/>
      <c r="R37" s="16"/>
      <c r="S37" s="21" t="str">
        <f>IF($C37&lt;&gt;"Organisation","",IF(OR($P37&lt;&gt;"",$Q37&lt;&gt;""),IF($P37&lt;&gt;"",IF($Q37&lt;&gt;"",($P37+$Q37)/2,$P37),$Q37),ROUND(_xlfn.XLOOKUP($N37,Assumptions!$B$5:$B$9,Assumptions!$C$5:$C$9,0)*_xlfn.XLOOKUP($G37,Assumptions!$B$13:$B$26,Assumptions!$C$13:$C$26,0)*_xlfn.XLOOKUP($I37,Assumptions!$B$30:$B$50,Assumptions!$C$30:$C$50,0),0)))</f>
        <v/>
      </c>
      <c r="T37" s="16" t="str">
        <f>IF($C37&lt;&gt;"Organisation","",IF(OR($P37&lt;&gt;"",$Q37&lt;&gt;""),"Documented in source - midpoint of annual_intake_low/high",IF($I37="","No confirmed programme - modelled as zero",$N37&amp;" base x "&amp;TEXT(_xlfn.XLOOKUP($G37,Assumptions!$B$13:$B$26,Assumptions!$C$13:$C$26,0),"0.0#")&amp;" sector x "&amp;TEXT(_xlfn.XLOOKUP($I37,Assumptions!$B$30:$B$50,Assumptions!$C$30:$C$50,0),"0.0#")&amp;" mechanism")))</f>
        <v/>
      </c>
      <c r="W37" s="13" t="s">
        <v>80</v>
      </c>
      <c r="X37" s="13"/>
    </row>
    <row r="38" spans="1:24" x14ac:dyDescent="0.2">
      <c r="A38" s="13" t="s">
        <v>95</v>
      </c>
      <c r="B38" s="13" t="s">
        <v>96</v>
      </c>
      <c r="C38" s="13" t="s">
        <v>79</v>
      </c>
      <c r="D38" s="13" t="s">
        <v>23</v>
      </c>
      <c r="E38" s="13" t="s">
        <v>35</v>
      </c>
      <c r="F38" s="13" t="s">
        <v>96</v>
      </c>
      <c r="K38" s="19" t="s">
        <v>1815</v>
      </c>
      <c r="L38" s="17"/>
      <c r="M38" s="17"/>
      <c r="P38" s="16"/>
      <c r="Q38" s="16"/>
      <c r="R38" s="16"/>
      <c r="S38" s="21" t="str">
        <f>IF($C38&lt;&gt;"Organisation","",IF(OR($P38&lt;&gt;"",$Q38&lt;&gt;""),IF($P38&lt;&gt;"",IF($Q38&lt;&gt;"",($P38+$Q38)/2,$P38),$Q38),ROUND(_xlfn.XLOOKUP($N38,Assumptions!$B$5:$B$9,Assumptions!$C$5:$C$9,0)*_xlfn.XLOOKUP($G38,Assumptions!$B$13:$B$26,Assumptions!$C$13:$C$26,0)*_xlfn.XLOOKUP($I38,Assumptions!$B$30:$B$50,Assumptions!$C$30:$C$50,0),0)))</f>
        <v/>
      </c>
      <c r="T38" s="16" t="str">
        <f>IF($C38&lt;&gt;"Organisation","",IF(OR($P38&lt;&gt;"",$Q38&lt;&gt;""),"Documented in source - midpoint of annual_intake_low/high",IF($I38="","No confirmed programme - modelled as zero",$N38&amp;" base x "&amp;TEXT(_xlfn.XLOOKUP($G38,Assumptions!$B$13:$B$26,Assumptions!$C$13:$C$26,0),"0.0#")&amp;" sector x "&amp;TEXT(_xlfn.XLOOKUP($I38,Assumptions!$B$30:$B$50,Assumptions!$C$30:$C$50,0),"0.0#")&amp;" mechanism")))</f>
        <v/>
      </c>
      <c r="W38" s="13" t="s">
        <v>80</v>
      </c>
      <c r="X38" s="13"/>
    </row>
    <row r="39" spans="1:24" x14ac:dyDescent="0.2">
      <c r="A39" s="13" t="s">
        <v>97</v>
      </c>
      <c r="B39" s="13" t="s">
        <v>98</v>
      </c>
      <c r="C39" s="13" t="s">
        <v>79</v>
      </c>
      <c r="D39" s="13" t="s">
        <v>27</v>
      </c>
      <c r="E39" s="13" t="s">
        <v>27</v>
      </c>
      <c r="F39" s="13" t="s">
        <v>98</v>
      </c>
      <c r="K39" s="19" t="s">
        <v>1815</v>
      </c>
      <c r="L39" s="17"/>
      <c r="M39" s="17"/>
      <c r="P39" s="16"/>
      <c r="Q39" s="16"/>
      <c r="R39" s="16"/>
      <c r="S39" s="21" t="str">
        <f>IF($C39&lt;&gt;"Organisation","",IF(OR($P39&lt;&gt;"",$Q39&lt;&gt;""),IF($P39&lt;&gt;"",IF($Q39&lt;&gt;"",($P39+$Q39)/2,$P39),$Q39),ROUND(_xlfn.XLOOKUP($N39,Assumptions!$B$5:$B$9,Assumptions!$C$5:$C$9,0)*_xlfn.XLOOKUP($G39,Assumptions!$B$13:$B$26,Assumptions!$C$13:$C$26,0)*_xlfn.XLOOKUP($I39,Assumptions!$B$30:$B$50,Assumptions!$C$30:$C$50,0),0)))</f>
        <v/>
      </c>
      <c r="T39" s="16" t="str">
        <f>IF($C39&lt;&gt;"Organisation","",IF(OR($P39&lt;&gt;"",$Q39&lt;&gt;""),"Documented in source - midpoint of annual_intake_low/high",IF($I39="","No confirmed programme - modelled as zero",$N39&amp;" base x "&amp;TEXT(_xlfn.XLOOKUP($G39,Assumptions!$B$13:$B$26,Assumptions!$C$13:$C$26,0),"0.0#")&amp;" sector x "&amp;TEXT(_xlfn.XLOOKUP($I39,Assumptions!$B$30:$B$50,Assumptions!$C$30:$C$50,0),"0.0#")&amp;" mechanism")))</f>
        <v/>
      </c>
      <c r="W39" s="13" t="s">
        <v>99</v>
      </c>
      <c r="X39" s="13"/>
    </row>
    <row r="40" spans="1:24" x14ac:dyDescent="0.2">
      <c r="A40" s="13" t="s">
        <v>100</v>
      </c>
      <c r="B40" s="13" t="s">
        <v>101</v>
      </c>
      <c r="C40" s="13" t="s">
        <v>79</v>
      </c>
      <c r="D40" s="13" t="s">
        <v>27</v>
      </c>
      <c r="E40" s="13" t="s">
        <v>27</v>
      </c>
      <c r="F40" s="13" t="s">
        <v>101</v>
      </c>
      <c r="K40" s="19" t="s">
        <v>1815</v>
      </c>
      <c r="L40" s="17"/>
      <c r="M40" s="17"/>
      <c r="P40" s="16"/>
      <c r="Q40" s="16"/>
      <c r="R40" s="16"/>
      <c r="S40" s="21" t="str">
        <f>IF($C40&lt;&gt;"Organisation","",IF(OR($P40&lt;&gt;"",$Q40&lt;&gt;""),IF($P40&lt;&gt;"",IF($Q40&lt;&gt;"",($P40+$Q40)/2,$P40),$Q40),ROUND(_xlfn.XLOOKUP($N40,Assumptions!$B$5:$B$9,Assumptions!$C$5:$C$9,0)*_xlfn.XLOOKUP($G40,Assumptions!$B$13:$B$26,Assumptions!$C$13:$C$26,0)*_xlfn.XLOOKUP($I40,Assumptions!$B$30:$B$50,Assumptions!$C$30:$C$50,0),0)))</f>
        <v/>
      </c>
      <c r="T40" s="16" t="str">
        <f>IF($C40&lt;&gt;"Organisation","",IF(OR($P40&lt;&gt;"",$Q40&lt;&gt;""),"Documented in source - midpoint of annual_intake_low/high",IF($I40="","No confirmed programme - modelled as zero",$N40&amp;" base x "&amp;TEXT(_xlfn.XLOOKUP($G40,Assumptions!$B$13:$B$26,Assumptions!$C$13:$C$26,0),"0.0#")&amp;" sector x "&amp;TEXT(_xlfn.XLOOKUP($I40,Assumptions!$B$30:$B$50,Assumptions!$C$30:$C$50,0),"0.0#")&amp;" mechanism")))</f>
        <v/>
      </c>
      <c r="W40" s="13" t="s">
        <v>99</v>
      </c>
      <c r="X40" s="13"/>
    </row>
    <row r="41" spans="1:24" x14ac:dyDescent="0.2">
      <c r="A41" s="13" t="s">
        <v>102</v>
      </c>
      <c r="B41" s="13" t="s">
        <v>103</v>
      </c>
      <c r="C41" s="13" t="s">
        <v>79</v>
      </c>
      <c r="D41" s="13" t="s">
        <v>27</v>
      </c>
      <c r="E41" s="13" t="s">
        <v>27</v>
      </c>
      <c r="F41" s="13" t="s">
        <v>103</v>
      </c>
      <c r="K41" s="19" t="s">
        <v>1815</v>
      </c>
      <c r="L41" s="17"/>
      <c r="M41" s="17"/>
      <c r="P41" s="16"/>
      <c r="Q41" s="16"/>
      <c r="R41" s="16"/>
      <c r="S41" s="21" t="str">
        <f>IF($C41&lt;&gt;"Organisation","",IF(OR($P41&lt;&gt;"",$Q41&lt;&gt;""),IF($P41&lt;&gt;"",IF($Q41&lt;&gt;"",($P41+$Q41)/2,$P41),$Q41),ROUND(_xlfn.XLOOKUP($N41,Assumptions!$B$5:$B$9,Assumptions!$C$5:$C$9,0)*_xlfn.XLOOKUP($G41,Assumptions!$B$13:$B$26,Assumptions!$C$13:$C$26,0)*_xlfn.XLOOKUP($I41,Assumptions!$B$30:$B$50,Assumptions!$C$30:$C$50,0),0)))</f>
        <v/>
      </c>
      <c r="T41" s="16" t="str">
        <f>IF($C41&lt;&gt;"Organisation","",IF(OR($P41&lt;&gt;"",$Q41&lt;&gt;""),"Documented in source - midpoint of annual_intake_low/high",IF($I41="","No confirmed programme - modelled as zero",$N41&amp;" base x "&amp;TEXT(_xlfn.XLOOKUP($G41,Assumptions!$B$13:$B$26,Assumptions!$C$13:$C$26,0),"0.0#")&amp;" sector x "&amp;TEXT(_xlfn.XLOOKUP($I41,Assumptions!$B$30:$B$50,Assumptions!$C$30:$C$50,0),"0.0#")&amp;" mechanism")))</f>
        <v/>
      </c>
      <c r="W41" s="13" t="s">
        <v>99</v>
      </c>
      <c r="X41" s="13"/>
    </row>
    <row r="42" spans="1:24" x14ac:dyDescent="0.2">
      <c r="A42" s="13" t="s">
        <v>104</v>
      </c>
      <c r="B42" s="13" t="s">
        <v>105</v>
      </c>
      <c r="C42" s="13" t="s">
        <v>79</v>
      </c>
      <c r="D42" s="13" t="s">
        <v>27</v>
      </c>
      <c r="E42" s="13" t="s">
        <v>27</v>
      </c>
      <c r="F42" s="13" t="s">
        <v>105</v>
      </c>
      <c r="K42" s="19" t="s">
        <v>1815</v>
      </c>
      <c r="L42" s="17"/>
      <c r="M42" s="17"/>
      <c r="P42" s="16"/>
      <c r="Q42" s="16"/>
      <c r="R42" s="16"/>
      <c r="S42" s="21" t="str">
        <f>IF($C42&lt;&gt;"Organisation","",IF(OR($P42&lt;&gt;"",$Q42&lt;&gt;""),IF($P42&lt;&gt;"",IF($Q42&lt;&gt;"",($P42+$Q42)/2,$P42),$Q42),ROUND(_xlfn.XLOOKUP($N42,Assumptions!$B$5:$B$9,Assumptions!$C$5:$C$9,0)*_xlfn.XLOOKUP($G42,Assumptions!$B$13:$B$26,Assumptions!$C$13:$C$26,0)*_xlfn.XLOOKUP($I42,Assumptions!$B$30:$B$50,Assumptions!$C$30:$C$50,0),0)))</f>
        <v/>
      </c>
      <c r="T42" s="16" t="str">
        <f>IF($C42&lt;&gt;"Organisation","",IF(OR($P42&lt;&gt;"",$Q42&lt;&gt;""),"Documented in source - midpoint of annual_intake_low/high",IF($I42="","No confirmed programme - modelled as zero",$N42&amp;" base x "&amp;TEXT(_xlfn.XLOOKUP($G42,Assumptions!$B$13:$B$26,Assumptions!$C$13:$C$26,0),"0.0#")&amp;" sector x "&amp;TEXT(_xlfn.XLOOKUP($I42,Assumptions!$B$30:$B$50,Assumptions!$C$30:$C$50,0),"0.0#")&amp;" mechanism")))</f>
        <v/>
      </c>
      <c r="W42" s="13" t="s">
        <v>80</v>
      </c>
      <c r="X42" s="13"/>
    </row>
    <row r="43" spans="1:24" x14ac:dyDescent="0.2">
      <c r="A43" s="13" t="s">
        <v>106</v>
      </c>
      <c r="B43" s="13" t="s">
        <v>107</v>
      </c>
      <c r="C43" s="13" t="s">
        <v>79</v>
      </c>
      <c r="D43" s="13" t="s">
        <v>29</v>
      </c>
      <c r="E43" s="13" t="s">
        <v>29</v>
      </c>
      <c r="F43" s="13" t="s">
        <v>107</v>
      </c>
      <c r="K43" s="19" t="s">
        <v>1815</v>
      </c>
      <c r="L43" s="17"/>
      <c r="M43" s="17"/>
      <c r="P43" s="16"/>
      <c r="Q43" s="16"/>
      <c r="R43" s="16"/>
      <c r="S43" s="21" t="str">
        <f>IF($C43&lt;&gt;"Organisation","",IF(OR($P43&lt;&gt;"",$Q43&lt;&gt;""),IF($P43&lt;&gt;"",IF($Q43&lt;&gt;"",($P43+$Q43)/2,$P43),$Q43),ROUND(_xlfn.XLOOKUP($N43,Assumptions!$B$5:$B$9,Assumptions!$C$5:$C$9,0)*_xlfn.XLOOKUP($G43,Assumptions!$B$13:$B$26,Assumptions!$C$13:$C$26,0)*_xlfn.XLOOKUP($I43,Assumptions!$B$30:$B$50,Assumptions!$C$30:$C$50,0),0)))</f>
        <v/>
      </c>
      <c r="T43" s="16" t="str">
        <f>IF($C43&lt;&gt;"Organisation","",IF(OR($P43&lt;&gt;"",$Q43&lt;&gt;""),"Documented in source - midpoint of annual_intake_low/high",IF($I43="","No confirmed programme - modelled as zero",$N43&amp;" base x "&amp;TEXT(_xlfn.XLOOKUP($G43,Assumptions!$B$13:$B$26,Assumptions!$C$13:$C$26,0),"0.0#")&amp;" sector x "&amp;TEXT(_xlfn.XLOOKUP($I43,Assumptions!$B$30:$B$50,Assumptions!$C$30:$C$50,0),"0.0#")&amp;" mechanism")))</f>
        <v/>
      </c>
      <c r="W43" s="13" t="s">
        <v>80</v>
      </c>
      <c r="X43" s="13"/>
    </row>
    <row r="44" spans="1:24" x14ac:dyDescent="0.2">
      <c r="A44" s="13" t="s">
        <v>108</v>
      </c>
      <c r="B44" s="13" t="s">
        <v>109</v>
      </c>
      <c r="C44" s="13" t="s">
        <v>79</v>
      </c>
      <c r="D44" s="13" t="s">
        <v>29</v>
      </c>
      <c r="E44" s="13" t="s">
        <v>29</v>
      </c>
      <c r="F44" s="13" t="s">
        <v>109</v>
      </c>
      <c r="K44" s="19" t="s">
        <v>1815</v>
      </c>
      <c r="L44" s="17"/>
      <c r="M44" s="17"/>
      <c r="P44" s="16"/>
      <c r="Q44" s="16"/>
      <c r="R44" s="16"/>
      <c r="S44" s="21" t="str">
        <f>IF($C44&lt;&gt;"Organisation","",IF(OR($P44&lt;&gt;"",$Q44&lt;&gt;""),IF($P44&lt;&gt;"",IF($Q44&lt;&gt;"",($P44+$Q44)/2,$P44),$Q44),ROUND(_xlfn.XLOOKUP($N44,Assumptions!$B$5:$B$9,Assumptions!$C$5:$C$9,0)*_xlfn.XLOOKUP($G44,Assumptions!$B$13:$B$26,Assumptions!$C$13:$C$26,0)*_xlfn.XLOOKUP($I44,Assumptions!$B$30:$B$50,Assumptions!$C$30:$C$50,0),0)))</f>
        <v/>
      </c>
      <c r="T44" s="16" t="str">
        <f>IF($C44&lt;&gt;"Organisation","",IF(OR($P44&lt;&gt;"",$Q44&lt;&gt;""),"Documented in source - midpoint of annual_intake_low/high",IF($I44="","No confirmed programme - modelled as zero",$N44&amp;" base x "&amp;TEXT(_xlfn.XLOOKUP($G44,Assumptions!$B$13:$B$26,Assumptions!$C$13:$C$26,0),"0.0#")&amp;" sector x "&amp;TEXT(_xlfn.XLOOKUP($I44,Assumptions!$B$30:$B$50,Assumptions!$C$30:$C$50,0),"0.0#")&amp;" mechanism")))</f>
        <v/>
      </c>
      <c r="W44" s="13" t="s">
        <v>80</v>
      </c>
      <c r="X44" s="13"/>
    </row>
    <row r="45" spans="1:24" x14ac:dyDescent="0.2">
      <c r="A45" s="13" t="s">
        <v>110</v>
      </c>
      <c r="B45" s="13" t="s">
        <v>111</v>
      </c>
      <c r="C45" s="13" t="s">
        <v>79</v>
      </c>
      <c r="D45" s="13" t="s">
        <v>29</v>
      </c>
      <c r="E45" s="13" t="s">
        <v>29</v>
      </c>
      <c r="F45" s="13" t="s">
        <v>111</v>
      </c>
      <c r="K45" s="19" t="s">
        <v>1815</v>
      </c>
      <c r="L45" s="17"/>
      <c r="M45" s="17"/>
      <c r="P45" s="16"/>
      <c r="Q45" s="16"/>
      <c r="R45" s="16"/>
      <c r="S45" s="21" t="str">
        <f>IF($C45&lt;&gt;"Organisation","",IF(OR($P45&lt;&gt;"",$Q45&lt;&gt;""),IF($P45&lt;&gt;"",IF($Q45&lt;&gt;"",($P45+$Q45)/2,$P45),$Q45),ROUND(_xlfn.XLOOKUP($N45,Assumptions!$B$5:$B$9,Assumptions!$C$5:$C$9,0)*_xlfn.XLOOKUP($G45,Assumptions!$B$13:$B$26,Assumptions!$C$13:$C$26,0)*_xlfn.XLOOKUP($I45,Assumptions!$B$30:$B$50,Assumptions!$C$30:$C$50,0),0)))</f>
        <v/>
      </c>
      <c r="T45" s="16" t="str">
        <f>IF($C45&lt;&gt;"Organisation","",IF(OR($P45&lt;&gt;"",$Q45&lt;&gt;""),"Documented in source - midpoint of annual_intake_low/high",IF($I45="","No confirmed programme - modelled as zero",$N45&amp;" base x "&amp;TEXT(_xlfn.XLOOKUP($G45,Assumptions!$B$13:$B$26,Assumptions!$C$13:$C$26,0),"0.0#")&amp;" sector x "&amp;TEXT(_xlfn.XLOOKUP($I45,Assumptions!$B$30:$B$50,Assumptions!$C$30:$C$50,0),"0.0#")&amp;" mechanism")))</f>
        <v/>
      </c>
      <c r="W45" s="13" t="s">
        <v>80</v>
      </c>
      <c r="X45" s="13"/>
    </row>
    <row r="46" spans="1:24" x14ac:dyDescent="0.2">
      <c r="A46" s="13" t="s">
        <v>112</v>
      </c>
      <c r="B46" s="13" t="s">
        <v>113</v>
      </c>
      <c r="C46" s="13" t="s">
        <v>79</v>
      </c>
      <c r="D46" s="13" t="s">
        <v>29</v>
      </c>
      <c r="E46" s="13" t="s">
        <v>29</v>
      </c>
      <c r="F46" s="13" t="s">
        <v>113</v>
      </c>
      <c r="K46" s="19" t="s">
        <v>1815</v>
      </c>
      <c r="L46" s="17"/>
      <c r="M46" s="17"/>
      <c r="P46" s="16"/>
      <c r="Q46" s="16"/>
      <c r="R46" s="16"/>
      <c r="S46" s="21" t="str">
        <f>IF($C46&lt;&gt;"Organisation","",IF(OR($P46&lt;&gt;"",$Q46&lt;&gt;""),IF($P46&lt;&gt;"",IF($Q46&lt;&gt;"",($P46+$Q46)/2,$P46),$Q46),ROUND(_xlfn.XLOOKUP($N46,Assumptions!$B$5:$B$9,Assumptions!$C$5:$C$9,0)*_xlfn.XLOOKUP($G46,Assumptions!$B$13:$B$26,Assumptions!$C$13:$C$26,0)*_xlfn.XLOOKUP($I46,Assumptions!$B$30:$B$50,Assumptions!$C$30:$C$50,0),0)))</f>
        <v/>
      </c>
      <c r="T46" s="16" t="str">
        <f>IF($C46&lt;&gt;"Organisation","",IF(OR($P46&lt;&gt;"",$Q46&lt;&gt;""),"Documented in source - midpoint of annual_intake_low/high",IF($I46="","No confirmed programme - modelled as zero",$N46&amp;" base x "&amp;TEXT(_xlfn.XLOOKUP($G46,Assumptions!$B$13:$B$26,Assumptions!$C$13:$C$26,0),"0.0#")&amp;" sector x "&amp;TEXT(_xlfn.XLOOKUP($I46,Assumptions!$B$30:$B$50,Assumptions!$C$30:$C$50,0),"0.0#")&amp;" mechanism")))</f>
        <v/>
      </c>
      <c r="W46" s="13" t="s">
        <v>80</v>
      </c>
      <c r="X46" s="13"/>
    </row>
    <row r="47" spans="1:24" x14ac:dyDescent="0.2">
      <c r="A47" s="13" t="s">
        <v>114</v>
      </c>
      <c r="B47" s="13" t="s">
        <v>115</v>
      </c>
      <c r="C47" s="13" t="s">
        <v>79</v>
      </c>
      <c r="D47" s="13" t="s">
        <v>29</v>
      </c>
      <c r="E47" s="13" t="s">
        <v>29</v>
      </c>
      <c r="F47" s="13" t="s">
        <v>115</v>
      </c>
      <c r="K47" s="19" t="s">
        <v>1815</v>
      </c>
      <c r="L47" s="17"/>
      <c r="M47" s="17"/>
      <c r="P47" s="16"/>
      <c r="Q47" s="16"/>
      <c r="R47" s="16"/>
      <c r="S47" s="21" t="str">
        <f>IF($C47&lt;&gt;"Organisation","",IF(OR($P47&lt;&gt;"",$Q47&lt;&gt;""),IF($P47&lt;&gt;"",IF($Q47&lt;&gt;"",($P47+$Q47)/2,$P47),$Q47),ROUND(_xlfn.XLOOKUP($N47,Assumptions!$B$5:$B$9,Assumptions!$C$5:$C$9,0)*_xlfn.XLOOKUP($G47,Assumptions!$B$13:$B$26,Assumptions!$C$13:$C$26,0)*_xlfn.XLOOKUP($I47,Assumptions!$B$30:$B$50,Assumptions!$C$30:$C$50,0),0)))</f>
        <v/>
      </c>
      <c r="T47" s="16" t="str">
        <f>IF($C47&lt;&gt;"Organisation","",IF(OR($P47&lt;&gt;"",$Q47&lt;&gt;""),"Documented in source - midpoint of annual_intake_low/high",IF($I47="","No confirmed programme - modelled as zero",$N47&amp;" base x "&amp;TEXT(_xlfn.XLOOKUP($G47,Assumptions!$B$13:$B$26,Assumptions!$C$13:$C$26,0),"0.0#")&amp;" sector x "&amp;TEXT(_xlfn.XLOOKUP($I47,Assumptions!$B$30:$B$50,Assumptions!$C$30:$C$50,0),"0.0#")&amp;" mechanism")))</f>
        <v/>
      </c>
      <c r="W47" s="13" t="s">
        <v>80</v>
      </c>
      <c r="X47" s="13"/>
    </row>
    <row r="48" spans="1:24" x14ac:dyDescent="0.2">
      <c r="A48" s="13" t="s">
        <v>116</v>
      </c>
      <c r="B48" s="13" t="s">
        <v>117</v>
      </c>
      <c r="C48" s="13" t="s">
        <v>79</v>
      </c>
      <c r="D48" s="13" t="s">
        <v>31</v>
      </c>
      <c r="E48" s="13" t="s">
        <v>40</v>
      </c>
      <c r="F48" s="13" t="s">
        <v>117</v>
      </c>
      <c r="K48" s="19" t="s">
        <v>1815</v>
      </c>
      <c r="L48" s="17"/>
      <c r="M48" s="17"/>
      <c r="P48" s="16"/>
      <c r="Q48" s="16"/>
      <c r="R48" s="16"/>
      <c r="S48" s="21" t="str">
        <f>IF($C48&lt;&gt;"Organisation","",IF(OR($P48&lt;&gt;"",$Q48&lt;&gt;""),IF($P48&lt;&gt;"",IF($Q48&lt;&gt;"",($P48+$Q48)/2,$P48),$Q48),ROUND(_xlfn.XLOOKUP($N48,Assumptions!$B$5:$B$9,Assumptions!$C$5:$C$9,0)*_xlfn.XLOOKUP($G48,Assumptions!$B$13:$B$26,Assumptions!$C$13:$C$26,0)*_xlfn.XLOOKUP($I48,Assumptions!$B$30:$B$50,Assumptions!$C$30:$C$50,0),0)))</f>
        <v/>
      </c>
      <c r="T48" s="16" t="str">
        <f>IF($C48&lt;&gt;"Organisation","",IF(OR($P48&lt;&gt;"",$Q48&lt;&gt;""),"Documented in source - midpoint of annual_intake_low/high",IF($I48="","No confirmed programme - modelled as zero",$N48&amp;" base x "&amp;TEXT(_xlfn.XLOOKUP($G48,Assumptions!$B$13:$B$26,Assumptions!$C$13:$C$26,0),"0.0#")&amp;" sector x "&amp;TEXT(_xlfn.XLOOKUP($I48,Assumptions!$B$30:$B$50,Assumptions!$C$30:$C$50,0),"0.0#")&amp;" mechanism")))</f>
        <v/>
      </c>
      <c r="W48" s="13" t="s">
        <v>99</v>
      </c>
      <c r="X48" s="13"/>
    </row>
    <row r="49" spans="1:24" x14ac:dyDescent="0.2">
      <c r="A49" s="13" t="s">
        <v>118</v>
      </c>
      <c r="B49" s="13" t="s">
        <v>119</v>
      </c>
      <c r="C49" s="13" t="s">
        <v>79</v>
      </c>
      <c r="D49" s="13" t="s">
        <v>31</v>
      </c>
      <c r="E49" s="13" t="s">
        <v>42</v>
      </c>
      <c r="F49" s="13" t="s">
        <v>119</v>
      </c>
      <c r="K49" s="19" t="s">
        <v>1815</v>
      </c>
      <c r="L49" s="17"/>
      <c r="M49" s="17"/>
      <c r="P49" s="16"/>
      <c r="Q49" s="16"/>
      <c r="R49" s="16"/>
      <c r="S49" s="21" t="str">
        <f>IF($C49&lt;&gt;"Organisation","",IF(OR($P49&lt;&gt;"",$Q49&lt;&gt;""),IF($P49&lt;&gt;"",IF($Q49&lt;&gt;"",($P49+$Q49)/2,$P49),$Q49),ROUND(_xlfn.XLOOKUP($N49,Assumptions!$B$5:$B$9,Assumptions!$C$5:$C$9,0)*_xlfn.XLOOKUP($G49,Assumptions!$B$13:$B$26,Assumptions!$C$13:$C$26,0)*_xlfn.XLOOKUP($I49,Assumptions!$B$30:$B$50,Assumptions!$C$30:$C$50,0),0)))</f>
        <v/>
      </c>
      <c r="T49" s="16" t="str">
        <f>IF($C49&lt;&gt;"Organisation","",IF(OR($P49&lt;&gt;"",$Q49&lt;&gt;""),"Documented in source - midpoint of annual_intake_low/high",IF($I49="","No confirmed programme - modelled as zero",$N49&amp;" base x "&amp;TEXT(_xlfn.XLOOKUP($G49,Assumptions!$B$13:$B$26,Assumptions!$C$13:$C$26,0),"0.0#")&amp;" sector x "&amp;TEXT(_xlfn.XLOOKUP($I49,Assumptions!$B$30:$B$50,Assumptions!$C$30:$C$50,0),"0.0#")&amp;" mechanism")))</f>
        <v/>
      </c>
      <c r="W49" s="13" t="s">
        <v>99</v>
      </c>
      <c r="X49" s="13"/>
    </row>
    <row r="50" spans="1:24" x14ac:dyDescent="0.2">
      <c r="A50" s="13" t="s">
        <v>120</v>
      </c>
      <c r="B50" s="13" t="s">
        <v>121</v>
      </c>
      <c r="C50" s="13" t="s">
        <v>79</v>
      </c>
      <c r="D50" s="13" t="s">
        <v>31</v>
      </c>
      <c r="E50" s="13" t="s">
        <v>44</v>
      </c>
      <c r="F50" s="13" t="s">
        <v>121</v>
      </c>
      <c r="K50" s="19" t="s">
        <v>1815</v>
      </c>
      <c r="L50" s="17"/>
      <c r="M50" s="17"/>
      <c r="P50" s="16"/>
      <c r="Q50" s="16"/>
      <c r="R50" s="16"/>
      <c r="S50" s="21" t="str">
        <f>IF($C50&lt;&gt;"Organisation","",IF(OR($P50&lt;&gt;"",$Q50&lt;&gt;""),IF($P50&lt;&gt;"",IF($Q50&lt;&gt;"",($P50+$Q50)/2,$P50),$Q50),ROUND(_xlfn.XLOOKUP($N50,Assumptions!$B$5:$B$9,Assumptions!$C$5:$C$9,0)*_xlfn.XLOOKUP($G50,Assumptions!$B$13:$B$26,Assumptions!$C$13:$C$26,0)*_xlfn.XLOOKUP($I50,Assumptions!$B$30:$B$50,Assumptions!$C$30:$C$50,0),0)))</f>
        <v/>
      </c>
      <c r="T50" s="16" t="str">
        <f>IF($C50&lt;&gt;"Organisation","",IF(OR($P50&lt;&gt;"",$Q50&lt;&gt;""),"Documented in source - midpoint of annual_intake_low/high",IF($I50="","No confirmed programme - modelled as zero",$N50&amp;" base x "&amp;TEXT(_xlfn.XLOOKUP($G50,Assumptions!$B$13:$B$26,Assumptions!$C$13:$C$26,0),"0.0#")&amp;" sector x "&amp;TEXT(_xlfn.XLOOKUP($I50,Assumptions!$B$30:$B$50,Assumptions!$C$30:$C$50,0),"0.0#")&amp;" mechanism")))</f>
        <v/>
      </c>
      <c r="W50" s="13" t="s">
        <v>80</v>
      </c>
      <c r="X50" s="13"/>
    </row>
    <row r="51" spans="1:24" x14ac:dyDescent="0.2">
      <c r="A51" s="13" t="s">
        <v>122</v>
      </c>
      <c r="B51" s="13" t="s">
        <v>123</v>
      </c>
      <c r="C51" s="13" t="s">
        <v>79</v>
      </c>
      <c r="D51" s="13" t="s">
        <v>31</v>
      </c>
      <c r="E51" s="13" t="s">
        <v>44</v>
      </c>
      <c r="F51" s="13" t="s">
        <v>123</v>
      </c>
      <c r="K51" s="19" t="s">
        <v>1815</v>
      </c>
      <c r="L51" s="17"/>
      <c r="M51" s="17"/>
      <c r="P51" s="16"/>
      <c r="Q51" s="16"/>
      <c r="R51" s="16"/>
      <c r="S51" s="21" t="str">
        <f>IF($C51&lt;&gt;"Organisation","",IF(OR($P51&lt;&gt;"",$Q51&lt;&gt;""),IF($P51&lt;&gt;"",IF($Q51&lt;&gt;"",($P51+$Q51)/2,$P51),$Q51),ROUND(_xlfn.XLOOKUP($N51,Assumptions!$B$5:$B$9,Assumptions!$C$5:$C$9,0)*_xlfn.XLOOKUP($G51,Assumptions!$B$13:$B$26,Assumptions!$C$13:$C$26,0)*_xlfn.XLOOKUP($I51,Assumptions!$B$30:$B$50,Assumptions!$C$30:$C$50,0),0)))</f>
        <v/>
      </c>
      <c r="T51" s="16" t="str">
        <f>IF($C51&lt;&gt;"Organisation","",IF(OR($P51&lt;&gt;"",$Q51&lt;&gt;""),"Documented in source - midpoint of annual_intake_low/high",IF($I51="","No confirmed programme - modelled as zero",$N51&amp;" base x "&amp;TEXT(_xlfn.XLOOKUP($G51,Assumptions!$B$13:$B$26,Assumptions!$C$13:$C$26,0),"0.0#")&amp;" sector x "&amp;TEXT(_xlfn.XLOOKUP($I51,Assumptions!$B$30:$B$50,Assumptions!$C$30:$C$50,0),"0.0#")&amp;" mechanism")))</f>
        <v/>
      </c>
      <c r="W51" s="13" t="s">
        <v>80</v>
      </c>
      <c r="X51" s="13"/>
    </row>
    <row r="52" spans="1:24" x14ac:dyDescent="0.2">
      <c r="A52" s="13" t="s">
        <v>124</v>
      </c>
      <c r="B52" s="13" t="s">
        <v>125</v>
      </c>
      <c r="C52" s="13" t="s">
        <v>79</v>
      </c>
      <c r="D52" s="13" t="s">
        <v>31</v>
      </c>
      <c r="E52" s="13" t="s">
        <v>46</v>
      </c>
      <c r="F52" s="13" t="s">
        <v>125</v>
      </c>
      <c r="K52" s="19" t="s">
        <v>1815</v>
      </c>
      <c r="L52" s="17"/>
      <c r="M52" s="17"/>
      <c r="P52" s="16"/>
      <c r="Q52" s="16"/>
      <c r="R52" s="16"/>
      <c r="S52" s="21" t="str">
        <f>IF($C52&lt;&gt;"Organisation","",IF(OR($P52&lt;&gt;"",$Q52&lt;&gt;""),IF($P52&lt;&gt;"",IF($Q52&lt;&gt;"",($P52+$Q52)/2,$P52),$Q52),ROUND(_xlfn.XLOOKUP($N52,Assumptions!$B$5:$B$9,Assumptions!$C$5:$C$9,0)*_xlfn.XLOOKUP($G52,Assumptions!$B$13:$B$26,Assumptions!$C$13:$C$26,0)*_xlfn.XLOOKUP($I52,Assumptions!$B$30:$B$50,Assumptions!$C$30:$C$50,0),0)))</f>
        <v/>
      </c>
      <c r="T52" s="16" t="str">
        <f>IF($C52&lt;&gt;"Organisation","",IF(OR($P52&lt;&gt;"",$Q52&lt;&gt;""),"Documented in source - midpoint of annual_intake_low/high",IF($I52="","No confirmed programme - modelled as zero",$N52&amp;" base x "&amp;TEXT(_xlfn.XLOOKUP($G52,Assumptions!$B$13:$B$26,Assumptions!$C$13:$C$26,0),"0.0#")&amp;" sector x "&amp;TEXT(_xlfn.XLOOKUP($I52,Assumptions!$B$30:$B$50,Assumptions!$C$30:$C$50,0),"0.0#")&amp;" mechanism")))</f>
        <v/>
      </c>
      <c r="W52" s="13" t="s">
        <v>99</v>
      </c>
      <c r="X52" s="13"/>
    </row>
    <row r="53" spans="1:24" x14ac:dyDescent="0.2">
      <c r="A53" s="13" t="s">
        <v>126</v>
      </c>
      <c r="B53" s="13" t="s">
        <v>127</v>
      </c>
      <c r="C53" s="13" t="s">
        <v>79</v>
      </c>
      <c r="D53" s="13" t="s">
        <v>31</v>
      </c>
      <c r="E53" s="13" t="s">
        <v>48</v>
      </c>
      <c r="F53" s="13" t="s">
        <v>127</v>
      </c>
      <c r="K53" s="19" t="s">
        <v>1815</v>
      </c>
      <c r="L53" s="17"/>
      <c r="M53" s="17"/>
      <c r="P53" s="16"/>
      <c r="Q53" s="16"/>
      <c r="R53" s="16"/>
      <c r="S53" s="21" t="str">
        <f>IF($C53&lt;&gt;"Organisation","",IF(OR($P53&lt;&gt;"",$Q53&lt;&gt;""),IF($P53&lt;&gt;"",IF($Q53&lt;&gt;"",($P53+$Q53)/2,$P53),$Q53),ROUND(_xlfn.XLOOKUP($N53,Assumptions!$B$5:$B$9,Assumptions!$C$5:$C$9,0)*_xlfn.XLOOKUP($G53,Assumptions!$B$13:$B$26,Assumptions!$C$13:$C$26,0)*_xlfn.XLOOKUP($I53,Assumptions!$B$30:$B$50,Assumptions!$C$30:$C$50,0),0)))</f>
        <v/>
      </c>
      <c r="T53" s="16" t="str">
        <f>IF($C53&lt;&gt;"Organisation","",IF(OR($P53&lt;&gt;"",$Q53&lt;&gt;""),"Documented in source - midpoint of annual_intake_low/high",IF($I53="","No confirmed programme - modelled as zero",$N53&amp;" base x "&amp;TEXT(_xlfn.XLOOKUP($G53,Assumptions!$B$13:$B$26,Assumptions!$C$13:$C$26,0),"0.0#")&amp;" sector x "&amp;TEXT(_xlfn.XLOOKUP($I53,Assumptions!$B$30:$B$50,Assumptions!$C$30:$C$50,0),"0.0#")&amp;" mechanism")))</f>
        <v/>
      </c>
      <c r="W53" s="13" t="s">
        <v>80</v>
      </c>
      <c r="X53" s="13"/>
    </row>
    <row r="54" spans="1:24" x14ac:dyDescent="0.2">
      <c r="A54" s="13" t="s">
        <v>128</v>
      </c>
      <c r="B54" s="13" t="s">
        <v>129</v>
      </c>
      <c r="C54" s="13" t="s">
        <v>79</v>
      </c>
      <c r="D54" s="13" t="s">
        <v>31</v>
      </c>
      <c r="E54" s="13" t="s">
        <v>50</v>
      </c>
      <c r="F54" s="13" t="s">
        <v>129</v>
      </c>
      <c r="K54" s="19" t="s">
        <v>1815</v>
      </c>
      <c r="L54" s="17"/>
      <c r="M54" s="17"/>
      <c r="P54" s="16"/>
      <c r="Q54" s="16"/>
      <c r="R54" s="16"/>
      <c r="S54" s="21" t="str">
        <f>IF($C54&lt;&gt;"Organisation","",IF(OR($P54&lt;&gt;"",$Q54&lt;&gt;""),IF($P54&lt;&gt;"",IF($Q54&lt;&gt;"",($P54+$Q54)/2,$P54),$Q54),ROUND(_xlfn.XLOOKUP($N54,Assumptions!$B$5:$B$9,Assumptions!$C$5:$C$9,0)*_xlfn.XLOOKUP($G54,Assumptions!$B$13:$B$26,Assumptions!$C$13:$C$26,0)*_xlfn.XLOOKUP($I54,Assumptions!$B$30:$B$50,Assumptions!$C$30:$C$50,0),0)))</f>
        <v/>
      </c>
      <c r="T54" s="16" t="str">
        <f>IF($C54&lt;&gt;"Organisation","",IF(OR($P54&lt;&gt;"",$Q54&lt;&gt;""),"Documented in source - midpoint of annual_intake_low/high",IF($I54="","No confirmed programme - modelled as zero",$N54&amp;" base x "&amp;TEXT(_xlfn.XLOOKUP($G54,Assumptions!$B$13:$B$26,Assumptions!$C$13:$C$26,0),"0.0#")&amp;" sector x "&amp;TEXT(_xlfn.XLOOKUP($I54,Assumptions!$B$30:$B$50,Assumptions!$C$30:$C$50,0),"0.0#")&amp;" mechanism")))</f>
        <v/>
      </c>
      <c r="W54" s="13" t="s">
        <v>80</v>
      </c>
      <c r="X54" s="13"/>
    </row>
    <row r="55" spans="1:24" x14ac:dyDescent="0.2">
      <c r="A55" s="13" t="s">
        <v>130</v>
      </c>
      <c r="B55" s="13" t="s">
        <v>131</v>
      </c>
      <c r="C55" s="13" t="s">
        <v>79</v>
      </c>
      <c r="D55" s="13" t="s">
        <v>33</v>
      </c>
      <c r="E55" s="13" t="s">
        <v>52</v>
      </c>
      <c r="F55" s="13" t="s">
        <v>131</v>
      </c>
      <c r="K55" s="19" t="s">
        <v>1815</v>
      </c>
      <c r="L55" s="17"/>
      <c r="M55" s="17"/>
      <c r="P55" s="16"/>
      <c r="Q55" s="16"/>
      <c r="R55" s="16"/>
      <c r="S55" s="21" t="str">
        <f>IF($C55&lt;&gt;"Organisation","",IF(OR($P55&lt;&gt;"",$Q55&lt;&gt;""),IF($P55&lt;&gt;"",IF($Q55&lt;&gt;"",($P55+$Q55)/2,$P55),$Q55),ROUND(_xlfn.XLOOKUP($N55,Assumptions!$B$5:$B$9,Assumptions!$C$5:$C$9,0)*_xlfn.XLOOKUP($G55,Assumptions!$B$13:$B$26,Assumptions!$C$13:$C$26,0)*_xlfn.XLOOKUP($I55,Assumptions!$B$30:$B$50,Assumptions!$C$30:$C$50,0),0)))</f>
        <v/>
      </c>
      <c r="T55" s="16" t="str">
        <f>IF($C55&lt;&gt;"Organisation","",IF(OR($P55&lt;&gt;"",$Q55&lt;&gt;""),"Documented in source - midpoint of annual_intake_low/high",IF($I55="","No confirmed programme - modelled as zero",$N55&amp;" base x "&amp;TEXT(_xlfn.XLOOKUP($G55,Assumptions!$B$13:$B$26,Assumptions!$C$13:$C$26,0),"0.0#")&amp;" sector x "&amp;TEXT(_xlfn.XLOOKUP($I55,Assumptions!$B$30:$B$50,Assumptions!$C$30:$C$50,0),"0.0#")&amp;" mechanism")))</f>
        <v/>
      </c>
      <c r="W55" s="13" t="s">
        <v>99</v>
      </c>
      <c r="X55" s="13"/>
    </row>
    <row r="56" spans="1:24" x14ac:dyDescent="0.2">
      <c r="A56" s="13" t="s">
        <v>132</v>
      </c>
      <c r="B56" s="13" t="s">
        <v>133</v>
      </c>
      <c r="C56" s="13" t="s">
        <v>79</v>
      </c>
      <c r="D56" s="13" t="s">
        <v>33</v>
      </c>
      <c r="E56" s="13" t="s">
        <v>52</v>
      </c>
      <c r="F56" s="13" t="s">
        <v>133</v>
      </c>
      <c r="K56" s="19" t="s">
        <v>1815</v>
      </c>
      <c r="L56" s="17"/>
      <c r="M56" s="17"/>
      <c r="P56" s="16"/>
      <c r="Q56" s="16"/>
      <c r="R56" s="16"/>
      <c r="S56" s="21" t="str">
        <f>IF($C56&lt;&gt;"Organisation","",IF(OR($P56&lt;&gt;"",$Q56&lt;&gt;""),IF($P56&lt;&gt;"",IF($Q56&lt;&gt;"",($P56+$Q56)/2,$P56),$Q56),ROUND(_xlfn.XLOOKUP($N56,Assumptions!$B$5:$B$9,Assumptions!$C$5:$C$9,0)*_xlfn.XLOOKUP($G56,Assumptions!$B$13:$B$26,Assumptions!$C$13:$C$26,0)*_xlfn.XLOOKUP($I56,Assumptions!$B$30:$B$50,Assumptions!$C$30:$C$50,0),0)))</f>
        <v/>
      </c>
      <c r="T56" s="16" t="str">
        <f>IF($C56&lt;&gt;"Organisation","",IF(OR($P56&lt;&gt;"",$Q56&lt;&gt;""),"Documented in source - midpoint of annual_intake_low/high",IF($I56="","No confirmed programme - modelled as zero",$N56&amp;" base x "&amp;TEXT(_xlfn.XLOOKUP($G56,Assumptions!$B$13:$B$26,Assumptions!$C$13:$C$26,0),"0.0#")&amp;" sector x "&amp;TEXT(_xlfn.XLOOKUP($I56,Assumptions!$B$30:$B$50,Assumptions!$C$30:$C$50,0),"0.0#")&amp;" mechanism")))</f>
        <v/>
      </c>
      <c r="W56" s="13" t="s">
        <v>80</v>
      </c>
      <c r="X56" s="13"/>
    </row>
    <row r="57" spans="1:24" x14ac:dyDescent="0.2">
      <c r="A57" s="13" t="s">
        <v>134</v>
      </c>
      <c r="B57" s="13" t="s">
        <v>135</v>
      </c>
      <c r="C57" s="13" t="s">
        <v>79</v>
      </c>
      <c r="D57" s="13" t="s">
        <v>33</v>
      </c>
      <c r="E57" s="13" t="s">
        <v>54</v>
      </c>
      <c r="F57" s="13" t="s">
        <v>135</v>
      </c>
      <c r="K57" s="19" t="s">
        <v>1815</v>
      </c>
      <c r="L57" s="17"/>
      <c r="M57" s="17"/>
      <c r="P57" s="16"/>
      <c r="Q57" s="16"/>
      <c r="R57" s="16"/>
      <c r="S57" s="21" t="str">
        <f>IF($C57&lt;&gt;"Organisation","",IF(OR($P57&lt;&gt;"",$Q57&lt;&gt;""),IF($P57&lt;&gt;"",IF($Q57&lt;&gt;"",($P57+$Q57)/2,$P57),$Q57),ROUND(_xlfn.XLOOKUP($N57,Assumptions!$B$5:$B$9,Assumptions!$C$5:$C$9,0)*_xlfn.XLOOKUP($G57,Assumptions!$B$13:$B$26,Assumptions!$C$13:$C$26,0)*_xlfn.XLOOKUP($I57,Assumptions!$B$30:$B$50,Assumptions!$C$30:$C$50,0),0)))</f>
        <v/>
      </c>
      <c r="T57" s="16" t="str">
        <f>IF($C57&lt;&gt;"Organisation","",IF(OR($P57&lt;&gt;"",$Q57&lt;&gt;""),"Documented in source - midpoint of annual_intake_low/high",IF($I57="","No confirmed programme - modelled as zero",$N57&amp;" base x "&amp;TEXT(_xlfn.XLOOKUP($G57,Assumptions!$B$13:$B$26,Assumptions!$C$13:$C$26,0),"0.0#")&amp;" sector x "&amp;TEXT(_xlfn.XLOOKUP($I57,Assumptions!$B$30:$B$50,Assumptions!$C$30:$C$50,0),"0.0#")&amp;" mechanism")))</f>
        <v/>
      </c>
      <c r="W57" s="13" t="s">
        <v>99</v>
      </c>
      <c r="X57" s="13"/>
    </row>
    <row r="58" spans="1:24" x14ac:dyDescent="0.2">
      <c r="A58" s="13" t="s">
        <v>136</v>
      </c>
      <c r="B58" s="13" t="s">
        <v>137</v>
      </c>
      <c r="C58" s="13" t="s">
        <v>79</v>
      </c>
      <c r="D58" s="13" t="s">
        <v>33</v>
      </c>
      <c r="E58" s="13" t="s">
        <v>56</v>
      </c>
      <c r="F58" s="13" t="s">
        <v>137</v>
      </c>
      <c r="K58" s="19" t="s">
        <v>1815</v>
      </c>
      <c r="L58" s="17"/>
      <c r="M58" s="17"/>
      <c r="P58" s="16"/>
      <c r="Q58" s="16"/>
      <c r="R58" s="16"/>
      <c r="S58" s="21" t="str">
        <f>IF($C58&lt;&gt;"Organisation","",IF(OR($P58&lt;&gt;"",$Q58&lt;&gt;""),IF($P58&lt;&gt;"",IF($Q58&lt;&gt;"",($P58+$Q58)/2,$P58),$Q58),ROUND(_xlfn.XLOOKUP($N58,Assumptions!$B$5:$B$9,Assumptions!$C$5:$C$9,0)*_xlfn.XLOOKUP($G58,Assumptions!$B$13:$B$26,Assumptions!$C$13:$C$26,0)*_xlfn.XLOOKUP($I58,Assumptions!$B$30:$B$50,Assumptions!$C$30:$C$50,0),0)))</f>
        <v/>
      </c>
      <c r="T58" s="16" t="str">
        <f>IF($C58&lt;&gt;"Organisation","",IF(OR($P58&lt;&gt;"",$Q58&lt;&gt;""),"Documented in source - midpoint of annual_intake_low/high",IF($I58="","No confirmed programme - modelled as zero",$N58&amp;" base x "&amp;TEXT(_xlfn.XLOOKUP($G58,Assumptions!$B$13:$B$26,Assumptions!$C$13:$C$26,0),"0.0#")&amp;" sector x "&amp;TEXT(_xlfn.XLOOKUP($I58,Assumptions!$B$30:$B$50,Assumptions!$C$30:$C$50,0),"0.0#")&amp;" mechanism")))</f>
        <v/>
      </c>
      <c r="W58" s="13" t="s">
        <v>99</v>
      </c>
      <c r="X58" s="13"/>
    </row>
    <row r="59" spans="1:24" x14ac:dyDescent="0.2">
      <c r="A59" s="13" t="s">
        <v>138</v>
      </c>
      <c r="B59" s="13" t="s">
        <v>139</v>
      </c>
      <c r="C59" s="13" t="s">
        <v>79</v>
      </c>
      <c r="D59" s="13" t="s">
        <v>33</v>
      </c>
      <c r="E59" s="13" t="s">
        <v>56</v>
      </c>
      <c r="F59" s="13" t="s">
        <v>139</v>
      </c>
      <c r="K59" s="19" t="s">
        <v>1815</v>
      </c>
      <c r="L59" s="17"/>
      <c r="M59" s="17"/>
      <c r="P59" s="16"/>
      <c r="Q59" s="16"/>
      <c r="R59" s="16"/>
      <c r="S59" s="21" t="str">
        <f>IF($C59&lt;&gt;"Organisation","",IF(OR($P59&lt;&gt;"",$Q59&lt;&gt;""),IF($P59&lt;&gt;"",IF($Q59&lt;&gt;"",($P59+$Q59)/2,$P59),$Q59),ROUND(_xlfn.XLOOKUP($N59,Assumptions!$B$5:$B$9,Assumptions!$C$5:$C$9,0)*_xlfn.XLOOKUP($G59,Assumptions!$B$13:$B$26,Assumptions!$C$13:$C$26,0)*_xlfn.XLOOKUP($I59,Assumptions!$B$30:$B$50,Assumptions!$C$30:$C$50,0),0)))</f>
        <v/>
      </c>
      <c r="T59" s="16" t="str">
        <f>IF($C59&lt;&gt;"Organisation","",IF(OR($P59&lt;&gt;"",$Q59&lt;&gt;""),"Documented in source - midpoint of annual_intake_low/high",IF($I59="","No confirmed programme - modelled as zero",$N59&amp;" base x "&amp;TEXT(_xlfn.XLOOKUP($G59,Assumptions!$B$13:$B$26,Assumptions!$C$13:$C$26,0),"0.0#")&amp;" sector x "&amp;TEXT(_xlfn.XLOOKUP($I59,Assumptions!$B$30:$B$50,Assumptions!$C$30:$C$50,0),"0.0#")&amp;" mechanism")))</f>
        <v/>
      </c>
      <c r="W59" s="13" t="s">
        <v>99</v>
      </c>
      <c r="X59" s="13"/>
    </row>
    <row r="60" spans="1:24" x14ac:dyDescent="0.2">
      <c r="A60" s="13" t="s">
        <v>140</v>
      </c>
      <c r="B60" s="13" t="s">
        <v>141</v>
      </c>
      <c r="C60" s="13" t="s">
        <v>79</v>
      </c>
      <c r="D60" s="13" t="s">
        <v>33</v>
      </c>
      <c r="E60" s="13" t="s">
        <v>58</v>
      </c>
      <c r="F60" s="13" t="s">
        <v>141</v>
      </c>
      <c r="K60" s="19" t="s">
        <v>1815</v>
      </c>
      <c r="L60" s="17"/>
      <c r="M60" s="17"/>
      <c r="P60" s="16"/>
      <c r="Q60" s="16"/>
      <c r="R60" s="16"/>
      <c r="S60" s="21" t="str">
        <f>IF($C60&lt;&gt;"Organisation","",IF(OR($P60&lt;&gt;"",$Q60&lt;&gt;""),IF($P60&lt;&gt;"",IF($Q60&lt;&gt;"",($P60+$Q60)/2,$P60),$Q60),ROUND(_xlfn.XLOOKUP($N60,Assumptions!$B$5:$B$9,Assumptions!$C$5:$C$9,0)*_xlfn.XLOOKUP($G60,Assumptions!$B$13:$B$26,Assumptions!$C$13:$C$26,0)*_xlfn.XLOOKUP($I60,Assumptions!$B$30:$B$50,Assumptions!$C$30:$C$50,0),0)))</f>
        <v/>
      </c>
      <c r="T60" s="16" t="str">
        <f>IF($C60&lt;&gt;"Organisation","",IF(OR($P60&lt;&gt;"",$Q60&lt;&gt;""),"Documented in source - midpoint of annual_intake_low/high",IF($I60="","No confirmed programme - modelled as zero",$N60&amp;" base x "&amp;TEXT(_xlfn.XLOOKUP($G60,Assumptions!$B$13:$B$26,Assumptions!$C$13:$C$26,0),"0.0#")&amp;" sector x "&amp;TEXT(_xlfn.XLOOKUP($I60,Assumptions!$B$30:$B$50,Assumptions!$C$30:$C$50,0),"0.0#")&amp;" mechanism")))</f>
        <v/>
      </c>
      <c r="W60" s="13" t="s">
        <v>99</v>
      </c>
      <c r="X60" s="13"/>
    </row>
    <row r="61" spans="1:24" x14ac:dyDescent="0.2">
      <c r="A61" s="13" t="s">
        <v>142</v>
      </c>
      <c r="B61" s="13" t="s">
        <v>143</v>
      </c>
      <c r="C61" s="13" t="s">
        <v>79</v>
      </c>
      <c r="D61" s="13" t="s">
        <v>33</v>
      </c>
      <c r="E61" s="13" t="s">
        <v>60</v>
      </c>
      <c r="F61" s="13" t="s">
        <v>143</v>
      </c>
      <c r="K61" s="19" t="s">
        <v>1815</v>
      </c>
      <c r="L61" s="17"/>
      <c r="M61" s="17"/>
      <c r="P61" s="16"/>
      <c r="Q61" s="16"/>
      <c r="R61" s="16"/>
      <c r="S61" s="21" t="str">
        <f>IF($C61&lt;&gt;"Organisation","",IF(OR($P61&lt;&gt;"",$Q61&lt;&gt;""),IF($P61&lt;&gt;"",IF($Q61&lt;&gt;"",($P61+$Q61)/2,$P61),$Q61),ROUND(_xlfn.XLOOKUP($N61,Assumptions!$B$5:$B$9,Assumptions!$C$5:$C$9,0)*_xlfn.XLOOKUP($G61,Assumptions!$B$13:$B$26,Assumptions!$C$13:$C$26,0)*_xlfn.XLOOKUP($I61,Assumptions!$B$30:$B$50,Assumptions!$C$30:$C$50,0),0)))</f>
        <v/>
      </c>
      <c r="T61" s="16" t="str">
        <f>IF($C61&lt;&gt;"Organisation","",IF(OR($P61&lt;&gt;"",$Q61&lt;&gt;""),"Documented in source - midpoint of annual_intake_low/high",IF($I61="","No confirmed programme - modelled as zero",$N61&amp;" base x "&amp;TEXT(_xlfn.XLOOKUP($G61,Assumptions!$B$13:$B$26,Assumptions!$C$13:$C$26,0),"0.0#")&amp;" sector x "&amp;TEXT(_xlfn.XLOOKUP($I61,Assumptions!$B$30:$B$50,Assumptions!$C$30:$C$50,0),"0.0#")&amp;" mechanism")))</f>
        <v/>
      </c>
      <c r="W61" s="13" t="s">
        <v>99</v>
      </c>
      <c r="X61" s="13"/>
    </row>
    <row r="62" spans="1:24" x14ac:dyDescent="0.2">
      <c r="A62" s="13" t="s">
        <v>144</v>
      </c>
      <c r="B62" s="13" t="s">
        <v>145</v>
      </c>
      <c r="C62" s="13" t="s">
        <v>79</v>
      </c>
      <c r="D62" s="13" t="s">
        <v>33</v>
      </c>
      <c r="E62" s="13" t="s">
        <v>62</v>
      </c>
      <c r="F62" s="13" t="s">
        <v>145</v>
      </c>
      <c r="K62" s="19" t="s">
        <v>1815</v>
      </c>
      <c r="L62" s="17"/>
      <c r="M62" s="17"/>
      <c r="P62" s="16"/>
      <c r="Q62" s="16"/>
      <c r="R62" s="16"/>
      <c r="S62" s="21" t="str">
        <f>IF($C62&lt;&gt;"Organisation","",IF(OR($P62&lt;&gt;"",$Q62&lt;&gt;""),IF($P62&lt;&gt;"",IF($Q62&lt;&gt;"",($P62+$Q62)/2,$P62),$Q62),ROUND(_xlfn.XLOOKUP($N62,Assumptions!$B$5:$B$9,Assumptions!$C$5:$C$9,0)*_xlfn.XLOOKUP($G62,Assumptions!$B$13:$B$26,Assumptions!$C$13:$C$26,0)*_xlfn.XLOOKUP($I62,Assumptions!$B$30:$B$50,Assumptions!$C$30:$C$50,0),0)))</f>
        <v/>
      </c>
      <c r="T62" s="16" t="str">
        <f>IF($C62&lt;&gt;"Organisation","",IF(OR($P62&lt;&gt;"",$Q62&lt;&gt;""),"Documented in source - midpoint of annual_intake_low/high",IF($I62="","No confirmed programme - modelled as zero",$N62&amp;" base x "&amp;TEXT(_xlfn.XLOOKUP($G62,Assumptions!$B$13:$B$26,Assumptions!$C$13:$C$26,0),"0.0#")&amp;" sector x "&amp;TEXT(_xlfn.XLOOKUP($I62,Assumptions!$B$30:$B$50,Assumptions!$C$30:$C$50,0),"0.0#")&amp;" mechanism")))</f>
        <v/>
      </c>
      <c r="W62" s="13" t="s">
        <v>99</v>
      </c>
      <c r="X62" s="13"/>
    </row>
    <row r="63" spans="1:24" x14ac:dyDescent="0.2">
      <c r="A63" s="13" t="s">
        <v>146</v>
      </c>
      <c r="B63" s="13" t="s">
        <v>147</v>
      </c>
      <c r="C63" s="13" t="s">
        <v>79</v>
      </c>
      <c r="D63" s="13" t="s">
        <v>33</v>
      </c>
      <c r="E63" s="13" t="s">
        <v>62</v>
      </c>
      <c r="F63" s="13" t="s">
        <v>147</v>
      </c>
      <c r="K63" s="19" t="s">
        <v>1815</v>
      </c>
      <c r="L63" s="17"/>
      <c r="M63" s="17"/>
      <c r="P63" s="16"/>
      <c r="Q63" s="16"/>
      <c r="R63" s="16"/>
      <c r="S63" s="21" t="str">
        <f>IF($C63&lt;&gt;"Organisation","",IF(OR($P63&lt;&gt;"",$Q63&lt;&gt;""),IF($P63&lt;&gt;"",IF($Q63&lt;&gt;"",($P63+$Q63)/2,$P63),$Q63),ROUND(_xlfn.XLOOKUP($N63,Assumptions!$B$5:$B$9,Assumptions!$C$5:$C$9,0)*_xlfn.XLOOKUP($G63,Assumptions!$B$13:$B$26,Assumptions!$C$13:$C$26,0)*_xlfn.XLOOKUP($I63,Assumptions!$B$30:$B$50,Assumptions!$C$30:$C$50,0),0)))</f>
        <v/>
      </c>
      <c r="T63" s="16" t="str">
        <f>IF($C63&lt;&gt;"Organisation","",IF(OR($P63&lt;&gt;"",$Q63&lt;&gt;""),"Documented in source - midpoint of annual_intake_low/high",IF($I63="","No confirmed programme - modelled as zero",$N63&amp;" base x "&amp;TEXT(_xlfn.XLOOKUP($G63,Assumptions!$B$13:$B$26,Assumptions!$C$13:$C$26,0),"0.0#")&amp;" sector x "&amp;TEXT(_xlfn.XLOOKUP($I63,Assumptions!$B$30:$B$50,Assumptions!$C$30:$C$50,0),"0.0#")&amp;" mechanism")))</f>
        <v/>
      </c>
      <c r="W63" s="13" t="s">
        <v>80</v>
      </c>
      <c r="X63" s="13"/>
    </row>
    <row r="64" spans="1:24" x14ac:dyDescent="0.2">
      <c r="A64" s="13" t="s">
        <v>148</v>
      </c>
      <c r="B64" s="13" t="s">
        <v>149</v>
      </c>
      <c r="C64" s="13" t="s">
        <v>79</v>
      </c>
      <c r="D64" s="13" t="s">
        <v>33</v>
      </c>
      <c r="E64" s="13" t="s">
        <v>64</v>
      </c>
      <c r="F64" s="13" t="s">
        <v>149</v>
      </c>
      <c r="K64" s="19" t="s">
        <v>1815</v>
      </c>
      <c r="L64" s="17"/>
      <c r="M64" s="17"/>
      <c r="P64" s="16"/>
      <c r="Q64" s="16"/>
      <c r="R64" s="16"/>
      <c r="S64" s="21" t="str">
        <f>IF($C64&lt;&gt;"Organisation","",IF(OR($P64&lt;&gt;"",$Q64&lt;&gt;""),IF($P64&lt;&gt;"",IF($Q64&lt;&gt;"",($P64+$Q64)/2,$P64),$Q64),ROUND(_xlfn.XLOOKUP($N64,Assumptions!$B$5:$B$9,Assumptions!$C$5:$C$9,0)*_xlfn.XLOOKUP($G64,Assumptions!$B$13:$B$26,Assumptions!$C$13:$C$26,0)*_xlfn.XLOOKUP($I64,Assumptions!$B$30:$B$50,Assumptions!$C$30:$C$50,0),0)))</f>
        <v/>
      </c>
      <c r="T64" s="16" t="str">
        <f>IF($C64&lt;&gt;"Organisation","",IF(OR($P64&lt;&gt;"",$Q64&lt;&gt;""),"Documented in source - midpoint of annual_intake_low/high",IF($I64="","No confirmed programme - modelled as zero",$N64&amp;" base x "&amp;TEXT(_xlfn.XLOOKUP($G64,Assumptions!$B$13:$B$26,Assumptions!$C$13:$C$26,0),"0.0#")&amp;" sector x "&amp;TEXT(_xlfn.XLOOKUP($I64,Assumptions!$B$30:$B$50,Assumptions!$C$30:$C$50,0),"0.0#")&amp;" mechanism")))</f>
        <v/>
      </c>
      <c r="W64" s="13" t="s">
        <v>99</v>
      </c>
      <c r="X64" s="13"/>
    </row>
    <row r="65" spans="1:24" x14ac:dyDescent="0.2">
      <c r="A65" s="13" t="s">
        <v>150</v>
      </c>
      <c r="B65" s="13" t="s">
        <v>151</v>
      </c>
      <c r="C65" s="13" t="s">
        <v>79</v>
      </c>
      <c r="D65" s="13" t="s">
        <v>33</v>
      </c>
      <c r="E65" s="13" t="s">
        <v>66</v>
      </c>
      <c r="F65" s="13" t="s">
        <v>151</v>
      </c>
      <c r="K65" s="19" t="s">
        <v>1815</v>
      </c>
      <c r="L65" s="17"/>
      <c r="M65" s="17"/>
      <c r="P65" s="16"/>
      <c r="Q65" s="16"/>
      <c r="R65" s="16"/>
      <c r="S65" s="21" t="str">
        <f>IF($C65&lt;&gt;"Organisation","",IF(OR($P65&lt;&gt;"",$Q65&lt;&gt;""),IF($P65&lt;&gt;"",IF($Q65&lt;&gt;"",($P65+$Q65)/2,$P65),$Q65),ROUND(_xlfn.XLOOKUP($N65,Assumptions!$B$5:$B$9,Assumptions!$C$5:$C$9,0)*_xlfn.XLOOKUP($G65,Assumptions!$B$13:$B$26,Assumptions!$C$13:$C$26,0)*_xlfn.XLOOKUP($I65,Assumptions!$B$30:$B$50,Assumptions!$C$30:$C$50,0),0)))</f>
        <v/>
      </c>
      <c r="T65" s="16" t="str">
        <f>IF($C65&lt;&gt;"Organisation","",IF(OR($P65&lt;&gt;"",$Q65&lt;&gt;""),"Documented in source - midpoint of annual_intake_low/high",IF($I65="","No confirmed programme - modelled as zero",$N65&amp;" base x "&amp;TEXT(_xlfn.XLOOKUP($G65,Assumptions!$B$13:$B$26,Assumptions!$C$13:$C$26,0),"0.0#")&amp;" sector x "&amp;TEXT(_xlfn.XLOOKUP($I65,Assumptions!$B$30:$B$50,Assumptions!$C$30:$C$50,0),"0.0#")&amp;" mechanism")))</f>
        <v/>
      </c>
      <c r="W65" s="13" t="s">
        <v>99</v>
      </c>
      <c r="X65" s="13"/>
    </row>
    <row r="66" spans="1:24" x14ac:dyDescent="0.2">
      <c r="A66" s="13" t="s">
        <v>152</v>
      </c>
      <c r="B66" s="13" t="s">
        <v>153</v>
      </c>
      <c r="C66" s="13" t="s">
        <v>79</v>
      </c>
      <c r="D66" s="13" t="s">
        <v>33</v>
      </c>
      <c r="E66" s="13" t="s">
        <v>68</v>
      </c>
      <c r="F66" s="13" t="s">
        <v>153</v>
      </c>
      <c r="K66" s="19" t="s">
        <v>1815</v>
      </c>
      <c r="L66" s="17"/>
      <c r="M66" s="17"/>
      <c r="P66" s="16"/>
      <c r="Q66" s="16"/>
      <c r="R66" s="16"/>
      <c r="S66" s="21" t="str">
        <f>IF($C66&lt;&gt;"Organisation","",IF(OR($P66&lt;&gt;"",$Q66&lt;&gt;""),IF($P66&lt;&gt;"",IF($Q66&lt;&gt;"",($P66+$Q66)/2,$P66),$Q66),ROUND(_xlfn.XLOOKUP($N66,Assumptions!$B$5:$B$9,Assumptions!$C$5:$C$9,0)*_xlfn.XLOOKUP($G66,Assumptions!$B$13:$B$26,Assumptions!$C$13:$C$26,0)*_xlfn.XLOOKUP($I66,Assumptions!$B$30:$B$50,Assumptions!$C$30:$C$50,0),0)))</f>
        <v/>
      </c>
      <c r="T66" s="16" t="str">
        <f>IF($C66&lt;&gt;"Organisation","",IF(OR($P66&lt;&gt;"",$Q66&lt;&gt;""),"Documented in source - midpoint of annual_intake_low/high",IF($I66="","No confirmed programme - modelled as zero",$N66&amp;" base x "&amp;TEXT(_xlfn.XLOOKUP($G66,Assumptions!$B$13:$B$26,Assumptions!$C$13:$C$26,0),"0.0#")&amp;" sector x "&amp;TEXT(_xlfn.XLOOKUP($I66,Assumptions!$B$30:$B$50,Assumptions!$C$30:$C$50,0),"0.0#")&amp;" mechanism")))</f>
        <v/>
      </c>
      <c r="W66" s="13" t="s">
        <v>99</v>
      </c>
      <c r="X66" s="13"/>
    </row>
    <row r="67" spans="1:24" x14ac:dyDescent="0.2">
      <c r="A67" s="13" t="s">
        <v>154</v>
      </c>
      <c r="B67" s="13" t="s">
        <v>155</v>
      </c>
      <c r="C67" s="13" t="s">
        <v>79</v>
      </c>
      <c r="D67" s="13" t="s">
        <v>33</v>
      </c>
      <c r="E67" s="13" t="s">
        <v>70</v>
      </c>
      <c r="F67" s="13" t="s">
        <v>155</v>
      </c>
      <c r="K67" s="19" t="s">
        <v>1815</v>
      </c>
      <c r="L67" s="17"/>
      <c r="M67" s="17"/>
      <c r="P67" s="16"/>
      <c r="Q67" s="16"/>
      <c r="R67" s="16"/>
      <c r="S67" s="21" t="str">
        <f>IF($C67&lt;&gt;"Organisation","",IF(OR($P67&lt;&gt;"",$Q67&lt;&gt;""),IF($P67&lt;&gt;"",IF($Q67&lt;&gt;"",($P67+$Q67)/2,$P67),$Q67),ROUND(_xlfn.XLOOKUP($N67,Assumptions!$B$5:$B$9,Assumptions!$C$5:$C$9,0)*_xlfn.XLOOKUP($G67,Assumptions!$B$13:$B$26,Assumptions!$C$13:$C$26,0)*_xlfn.XLOOKUP($I67,Assumptions!$B$30:$B$50,Assumptions!$C$30:$C$50,0),0)))</f>
        <v/>
      </c>
      <c r="T67" s="16" t="str">
        <f>IF($C67&lt;&gt;"Organisation","",IF(OR($P67&lt;&gt;"",$Q67&lt;&gt;""),"Documented in source - midpoint of annual_intake_low/high",IF($I67="","No confirmed programme - modelled as zero",$N67&amp;" base x "&amp;TEXT(_xlfn.XLOOKUP($G67,Assumptions!$B$13:$B$26,Assumptions!$C$13:$C$26,0),"0.0#")&amp;" sector x "&amp;TEXT(_xlfn.XLOOKUP($I67,Assumptions!$B$30:$B$50,Assumptions!$C$30:$C$50,0),"0.0#")&amp;" mechanism")))</f>
        <v/>
      </c>
      <c r="W67" s="13" t="s">
        <v>99</v>
      </c>
      <c r="X67" s="13"/>
    </row>
    <row r="68" spans="1:24" x14ac:dyDescent="0.2">
      <c r="A68" s="13" t="s">
        <v>156</v>
      </c>
      <c r="B68" s="13" t="s">
        <v>157</v>
      </c>
      <c r="C68" s="13" t="s">
        <v>79</v>
      </c>
      <c r="D68" s="13" t="s">
        <v>33</v>
      </c>
      <c r="E68" s="13" t="s">
        <v>72</v>
      </c>
      <c r="F68" s="13" t="s">
        <v>157</v>
      </c>
      <c r="K68" s="19" t="s">
        <v>1815</v>
      </c>
      <c r="L68" s="17"/>
      <c r="M68" s="17"/>
      <c r="P68" s="16"/>
      <c r="Q68" s="16"/>
      <c r="R68" s="16"/>
      <c r="S68" s="21" t="str">
        <f>IF($C68&lt;&gt;"Organisation","",IF(OR($P68&lt;&gt;"",$Q68&lt;&gt;""),IF($P68&lt;&gt;"",IF($Q68&lt;&gt;"",($P68+$Q68)/2,$P68),$Q68),ROUND(_xlfn.XLOOKUP($N68,Assumptions!$B$5:$B$9,Assumptions!$C$5:$C$9,0)*_xlfn.XLOOKUP($G68,Assumptions!$B$13:$B$26,Assumptions!$C$13:$C$26,0)*_xlfn.XLOOKUP($I68,Assumptions!$B$30:$B$50,Assumptions!$C$30:$C$50,0),0)))</f>
        <v/>
      </c>
      <c r="T68" s="16" t="str">
        <f>IF($C68&lt;&gt;"Organisation","",IF(OR($P68&lt;&gt;"",$Q68&lt;&gt;""),"Documented in source - midpoint of annual_intake_low/high",IF($I68="","No confirmed programme - modelled as zero",$N68&amp;" base x "&amp;TEXT(_xlfn.XLOOKUP($G68,Assumptions!$B$13:$B$26,Assumptions!$C$13:$C$26,0),"0.0#")&amp;" sector x "&amp;TEXT(_xlfn.XLOOKUP($I68,Assumptions!$B$30:$B$50,Assumptions!$C$30:$C$50,0),"0.0#")&amp;" mechanism")))</f>
        <v/>
      </c>
      <c r="W68" s="13" t="s">
        <v>99</v>
      </c>
      <c r="X68" s="13"/>
    </row>
    <row r="69" spans="1:24" x14ac:dyDescent="0.2">
      <c r="A69" s="13" t="s">
        <v>158</v>
      </c>
      <c r="B69" s="13" t="s">
        <v>159</v>
      </c>
      <c r="C69" s="13" t="s">
        <v>79</v>
      </c>
      <c r="D69" s="13" t="s">
        <v>33</v>
      </c>
      <c r="E69" s="13" t="s">
        <v>74</v>
      </c>
      <c r="F69" s="13" t="s">
        <v>159</v>
      </c>
      <c r="K69" s="19" t="s">
        <v>1815</v>
      </c>
      <c r="L69" s="17"/>
      <c r="M69" s="17"/>
      <c r="P69" s="16"/>
      <c r="Q69" s="16"/>
      <c r="R69" s="16"/>
      <c r="S69" s="21" t="str">
        <f>IF($C69&lt;&gt;"Organisation","",IF(OR($P69&lt;&gt;"",$Q69&lt;&gt;""),IF($P69&lt;&gt;"",IF($Q69&lt;&gt;"",($P69+$Q69)/2,$P69),$Q69),ROUND(_xlfn.XLOOKUP($N69,Assumptions!$B$5:$B$9,Assumptions!$C$5:$C$9,0)*_xlfn.XLOOKUP($G69,Assumptions!$B$13:$B$26,Assumptions!$C$13:$C$26,0)*_xlfn.XLOOKUP($I69,Assumptions!$B$30:$B$50,Assumptions!$C$30:$C$50,0),0)))</f>
        <v/>
      </c>
      <c r="T69" s="16" t="str">
        <f>IF($C69&lt;&gt;"Organisation","",IF(OR($P69&lt;&gt;"",$Q69&lt;&gt;""),"Documented in source - midpoint of annual_intake_low/high",IF($I69="","No confirmed programme - modelled as zero",$N69&amp;" base x "&amp;TEXT(_xlfn.XLOOKUP($G69,Assumptions!$B$13:$B$26,Assumptions!$C$13:$C$26,0),"0.0#")&amp;" sector x "&amp;TEXT(_xlfn.XLOOKUP($I69,Assumptions!$B$30:$B$50,Assumptions!$C$30:$C$50,0),"0.0#")&amp;" mechanism")))</f>
        <v/>
      </c>
      <c r="W69" s="13" t="s">
        <v>99</v>
      </c>
      <c r="X69" s="13"/>
    </row>
    <row r="70" spans="1:24" x14ac:dyDescent="0.2">
      <c r="A70" s="13" t="s">
        <v>160</v>
      </c>
      <c r="B70" s="13" t="s">
        <v>161</v>
      </c>
      <c r="C70" s="13" t="s">
        <v>79</v>
      </c>
      <c r="D70" s="13" t="s">
        <v>76</v>
      </c>
      <c r="E70" s="13" t="s">
        <v>76</v>
      </c>
      <c r="F70" s="13" t="s">
        <v>161</v>
      </c>
      <c r="K70" s="19" t="s">
        <v>1815</v>
      </c>
      <c r="L70" s="17"/>
      <c r="M70" s="17"/>
      <c r="P70" s="16"/>
      <c r="Q70" s="16"/>
      <c r="R70" s="16"/>
      <c r="S70" s="21" t="str">
        <f>IF($C70&lt;&gt;"Organisation","",IF(OR($P70&lt;&gt;"",$Q70&lt;&gt;""),IF($P70&lt;&gt;"",IF($Q70&lt;&gt;"",($P70+$Q70)/2,$P70),$Q70),ROUND(_xlfn.XLOOKUP($N70,Assumptions!$B$5:$B$9,Assumptions!$C$5:$C$9,0)*_xlfn.XLOOKUP($G70,Assumptions!$B$13:$B$26,Assumptions!$C$13:$C$26,0)*_xlfn.XLOOKUP($I70,Assumptions!$B$30:$B$50,Assumptions!$C$30:$C$50,0),0)))</f>
        <v/>
      </c>
      <c r="T70" s="16" t="str">
        <f>IF($C70&lt;&gt;"Organisation","",IF(OR($P70&lt;&gt;"",$Q70&lt;&gt;""),"Documented in source - midpoint of annual_intake_low/high",IF($I70="","No confirmed programme - modelled as zero",$N70&amp;" base x "&amp;TEXT(_xlfn.XLOOKUP($G70,Assumptions!$B$13:$B$26,Assumptions!$C$13:$C$26,0),"0.0#")&amp;" sector x "&amp;TEXT(_xlfn.XLOOKUP($I70,Assumptions!$B$30:$B$50,Assumptions!$C$30:$C$50,0),"0.0#")&amp;" mechanism")))</f>
        <v/>
      </c>
      <c r="W70" s="13" t="s">
        <v>80</v>
      </c>
      <c r="X70" s="13"/>
    </row>
    <row r="71" spans="1:24" x14ac:dyDescent="0.2">
      <c r="A71" s="13" t="s">
        <v>162</v>
      </c>
      <c r="B71" s="13" t="s">
        <v>163</v>
      </c>
      <c r="C71" s="13" t="s">
        <v>164</v>
      </c>
      <c r="K71" s="19" t="s">
        <v>1815</v>
      </c>
      <c r="L71" s="17"/>
      <c r="M71" s="17"/>
      <c r="P71" s="16"/>
      <c r="Q71" s="16"/>
      <c r="R71" s="16"/>
      <c r="S71" s="21" t="str">
        <f>IF($C71&lt;&gt;"Organisation","",IF(OR($P71&lt;&gt;"",$Q71&lt;&gt;""),IF($P71&lt;&gt;"",IF($Q71&lt;&gt;"",($P71+$Q71)/2,$P71),$Q71),ROUND(_xlfn.XLOOKUP($N71,Assumptions!$B$5:$B$9,Assumptions!$C$5:$C$9,0)*_xlfn.XLOOKUP($G71,Assumptions!$B$13:$B$26,Assumptions!$C$13:$C$26,0)*_xlfn.XLOOKUP($I71,Assumptions!$B$30:$B$50,Assumptions!$C$30:$C$50,0),0)))</f>
        <v/>
      </c>
      <c r="T71" s="16" t="str">
        <f>IF($C71&lt;&gt;"Organisation","",IF(OR($P71&lt;&gt;"",$Q71&lt;&gt;""),"Documented in source - midpoint of annual_intake_low/high",IF($I71="","No confirmed programme - modelled as zero",$N71&amp;" base x "&amp;TEXT(_xlfn.XLOOKUP($G71,Assumptions!$B$13:$B$26,Assumptions!$C$13:$C$26,0),"0.0#")&amp;" sector x "&amp;TEXT(_xlfn.XLOOKUP($I71,Assumptions!$B$30:$B$50,Assumptions!$C$30:$C$50,0),"0.0#")&amp;" mechanism")))</f>
        <v/>
      </c>
      <c r="W71" s="13"/>
      <c r="X71" s="13"/>
    </row>
    <row r="72" spans="1:24" x14ac:dyDescent="0.2">
      <c r="A72" s="13" t="s">
        <v>165</v>
      </c>
      <c r="B72" s="13" t="s">
        <v>166</v>
      </c>
      <c r="C72" s="13" t="s">
        <v>164</v>
      </c>
      <c r="K72" s="19" t="s">
        <v>1815</v>
      </c>
      <c r="L72" s="17"/>
      <c r="M72" s="17"/>
      <c r="P72" s="16"/>
      <c r="Q72" s="16"/>
      <c r="R72" s="16"/>
      <c r="S72" s="21" t="str">
        <f>IF($C72&lt;&gt;"Organisation","",IF(OR($P72&lt;&gt;"",$Q72&lt;&gt;""),IF($P72&lt;&gt;"",IF($Q72&lt;&gt;"",($P72+$Q72)/2,$P72),$Q72),ROUND(_xlfn.XLOOKUP($N72,Assumptions!$B$5:$B$9,Assumptions!$C$5:$C$9,0)*_xlfn.XLOOKUP($G72,Assumptions!$B$13:$B$26,Assumptions!$C$13:$C$26,0)*_xlfn.XLOOKUP($I72,Assumptions!$B$30:$B$50,Assumptions!$C$30:$C$50,0),0)))</f>
        <v/>
      </c>
      <c r="T72" s="16" t="str">
        <f>IF($C72&lt;&gt;"Organisation","",IF(OR($P72&lt;&gt;"",$Q72&lt;&gt;""),"Documented in source - midpoint of annual_intake_low/high",IF($I72="","No confirmed programme - modelled as zero",$N72&amp;" base x "&amp;TEXT(_xlfn.XLOOKUP($G72,Assumptions!$B$13:$B$26,Assumptions!$C$13:$C$26,0),"0.0#")&amp;" sector x "&amp;TEXT(_xlfn.XLOOKUP($I72,Assumptions!$B$30:$B$50,Assumptions!$C$30:$C$50,0),"0.0#")&amp;" mechanism")))</f>
        <v/>
      </c>
      <c r="W72" s="13"/>
      <c r="X72" s="13"/>
    </row>
    <row r="73" spans="1:24" x14ac:dyDescent="0.2">
      <c r="A73" s="13" t="s">
        <v>167</v>
      </c>
      <c r="B73" s="13" t="s">
        <v>168</v>
      </c>
      <c r="C73" s="13" t="s">
        <v>164</v>
      </c>
      <c r="K73" s="19" t="s">
        <v>1815</v>
      </c>
      <c r="L73" s="17"/>
      <c r="M73" s="17"/>
      <c r="P73" s="16"/>
      <c r="Q73" s="16"/>
      <c r="R73" s="16"/>
      <c r="S73" s="21" t="str">
        <f>IF($C73&lt;&gt;"Organisation","",IF(OR($P73&lt;&gt;"",$Q73&lt;&gt;""),IF($P73&lt;&gt;"",IF($Q73&lt;&gt;"",($P73+$Q73)/2,$P73),$Q73),ROUND(_xlfn.XLOOKUP($N73,Assumptions!$B$5:$B$9,Assumptions!$C$5:$C$9,0)*_xlfn.XLOOKUP($G73,Assumptions!$B$13:$B$26,Assumptions!$C$13:$C$26,0)*_xlfn.XLOOKUP($I73,Assumptions!$B$30:$B$50,Assumptions!$C$30:$C$50,0),0)))</f>
        <v/>
      </c>
      <c r="T73" s="16" t="str">
        <f>IF($C73&lt;&gt;"Organisation","",IF(OR($P73&lt;&gt;"",$Q73&lt;&gt;""),"Documented in source - midpoint of annual_intake_low/high",IF($I73="","No confirmed programme - modelled as zero",$N73&amp;" base x "&amp;TEXT(_xlfn.XLOOKUP($G73,Assumptions!$B$13:$B$26,Assumptions!$C$13:$C$26,0),"0.0#")&amp;" sector x "&amp;TEXT(_xlfn.XLOOKUP($I73,Assumptions!$B$30:$B$50,Assumptions!$C$30:$C$50,0),"0.0#")&amp;" mechanism")))</f>
        <v/>
      </c>
      <c r="W73" s="13"/>
      <c r="X73" s="13"/>
    </row>
    <row r="74" spans="1:24" x14ac:dyDescent="0.2">
      <c r="A74" s="13" t="s">
        <v>169</v>
      </c>
      <c r="B74" s="13" t="s">
        <v>170</v>
      </c>
      <c r="C74" s="13" t="s">
        <v>164</v>
      </c>
      <c r="K74" s="19" t="s">
        <v>1815</v>
      </c>
      <c r="L74" s="17"/>
      <c r="M74" s="17"/>
      <c r="P74" s="16"/>
      <c r="Q74" s="16"/>
      <c r="R74" s="16"/>
      <c r="S74" s="21" t="str">
        <f>IF($C74&lt;&gt;"Organisation","",IF(OR($P74&lt;&gt;"",$Q74&lt;&gt;""),IF($P74&lt;&gt;"",IF($Q74&lt;&gt;"",($P74+$Q74)/2,$P74),$Q74),ROUND(_xlfn.XLOOKUP($N74,Assumptions!$B$5:$B$9,Assumptions!$C$5:$C$9,0)*_xlfn.XLOOKUP($G74,Assumptions!$B$13:$B$26,Assumptions!$C$13:$C$26,0)*_xlfn.XLOOKUP($I74,Assumptions!$B$30:$B$50,Assumptions!$C$30:$C$50,0),0)))</f>
        <v/>
      </c>
      <c r="T74" s="16" t="str">
        <f>IF($C74&lt;&gt;"Organisation","",IF(OR($P74&lt;&gt;"",$Q74&lt;&gt;""),"Documented in source - midpoint of annual_intake_low/high",IF($I74="","No confirmed programme - modelled as zero",$N74&amp;" base x "&amp;TEXT(_xlfn.XLOOKUP($G74,Assumptions!$B$13:$B$26,Assumptions!$C$13:$C$26,0),"0.0#")&amp;" sector x "&amp;TEXT(_xlfn.XLOOKUP($I74,Assumptions!$B$30:$B$50,Assumptions!$C$30:$C$50,0),"0.0#")&amp;" mechanism")))</f>
        <v/>
      </c>
      <c r="W74" s="13"/>
      <c r="X74" s="13"/>
    </row>
    <row r="75" spans="1:24" x14ac:dyDescent="0.2">
      <c r="A75" s="13" t="s">
        <v>171</v>
      </c>
      <c r="B75" s="13" t="s">
        <v>172</v>
      </c>
      <c r="C75" s="13" t="s">
        <v>164</v>
      </c>
      <c r="K75" s="19" t="s">
        <v>1815</v>
      </c>
      <c r="L75" s="17"/>
      <c r="M75" s="17"/>
      <c r="P75" s="16"/>
      <c r="Q75" s="16"/>
      <c r="R75" s="16"/>
      <c r="S75" s="21" t="str">
        <f>IF($C75&lt;&gt;"Organisation","",IF(OR($P75&lt;&gt;"",$Q75&lt;&gt;""),IF($P75&lt;&gt;"",IF($Q75&lt;&gt;"",($P75+$Q75)/2,$P75),$Q75),ROUND(_xlfn.XLOOKUP($N75,Assumptions!$B$5:$B$9,Assumptions!$C$5:$C$9,0)*_xlfn.XLOOKUP($G75,Assumptions!$B$13:$B$26,Assumptions!$C$13:$C$26,0)*_xlfn.XLOOKUP($I75,Assumptions!$B$30:$B$50,Assumptions!$C$30:$C$50,0),0)))</f>
        <v/>
      </c>
      <c r="T75" s="16" t="str">
        <f>IF($C75&lt;&gt;"Organisation","",IF(OR($P75&lt;&gt;"",$Q75&lt;&gt;""),"Documented in source - midpoint of annual_intake_low/high",IF($I75="","No confirmed programme - modelled as zero",$N75&amp;" base x "&amp;TEXT(_xlfn.XLOOKUP($G75,Assumptions!$B$13:$B$26,Assumptions!$C$13:$C$26,0),"0.0#")&amp;" sector x "&amp;TEXT(_xlfn.XLOOKUP($I75,Assumptions!$B$30:$B$50,Assumptions!$C$30:$C$50,0),"0.0#")&amp;" mechanism")))</f>
        <v/>
      </c>
      <c r="W75" s="13"/>
      <c r="X75" s="13"/>
    </row>
    <row r="76" spans="1:24" x14ac:dyDescent="0.2">
      <c r="A76" s="13" t="s">
        <v>173</v>
      </c>
      <c r="B76" s="13" t="s">
        <v>174</v>
      </c>
      <c r="C76" s="13" t="s">
        <v>164</v>
      </c>
      <c r="K76" s="19" t="s">
        <v>1815</v>
      </c>
      <c r="L76" s="17"/>
      <c r="M76" s="17"/>
      <c r="P76" s="16"/>
      <c r="Q76" s="16"/>
      <c r="R76" s="16"/>
      <c r="S76" s="21" t="str">
        <f>IF($C76&lt;&gt;"Organisation","",IF(OR($P76&lt;&gt;"",$Q76&lt;&gt;""),IF($P76&lt;&gt;"",IF($Q76&lt;&gt;"",($P76+$Q76)/2,$P76),$Q76),ROUND(_xlfn.XLOOKUP($N76,Assumptions!$B$5:$B$9,Assumptions!$C$5:$C$9,0)*_xlfn.XLOOKUP($G76,Assumptions!$B$13:$B$26,Assumptions!$C$13:$C$26,0)*_xlfn.XLOOKUP($I76,Assumptions!$B$30:$B$50,Assumptions!$C$30:$C$50,0),0)))</f>
        <v/>
      </c>
      <c r="T76" s="16" t="str">
        <f>IF($C76&lt;&gt;"Organisation","",IF(OR($P76&lt;&gt;"",$Q76&lt;&gt;""),"Documented in source - midpoint of annual_intake_low/high",IF($I76="","No confirmed programme - modelled as zero",$N76&amp;" base x "&amp;TEXT(_xlfn.XLOOKUP($G76,Assumptions!$B$13:$B$26,Assumptions!$C$13:$C$26,0),"0.0#")&amp;" sector x "&amp;TEXT(_xlfn.XLOOKUP($I76,Assumptions!$B$30:$B$50,Assumptions!$C$30:$C$50,0),"0.0#")&amp;" mechanism")))</f>
        <v/>
      </c>
      <c r="W76" s="13"/>
      <c r="X76" s="13"/>
    </row>
    <row r="77" spans="1:24" x14ac:dyDescent="0.2">
      <c r="A77" s="13" t="s">
        <v>175</v>
      </c>
      <c r="B77" s="13" t="s">
        <v>176</v>
      </c>
      <c r="C77" s="13" t="s">
        <v>164</v>
      </c>
      <c r="K77" s="19" t="s">
        <v>1815</v>
      </c>
      <c r="L77" s="17"/>
      <c r="M77" s="17"/>
      <c r="P77" s="16"/>
      <c r="Q77" s="16"/>
      <c r="R77" s="16"/>
      <c r="S77" s="21" t="str">
        <f>IF($C77&lt;&gt;"Organisation","",IF(OR($P77&lt;&gt;"",$Q77&lt;&gt;""),IF($P77&lt;&gt;"",IF($Q77&lt;&gt;"",($P77+$Q77)/2,$P77),$Q77),ROUND(_xlfn.XLOOKUP($N77,Assumptions!$B$5:$B$9,Assumptions!$C$5:$C$9,0)*_xlfn.XLOOKUP($G77,Assumptions!$B$13:$B$26,Assumptions!$C$13:$C$26,0)*_xlfn.XLOOKUP($I77,Assumptions!$B$30:$B$50,Assumptions!$C$30:$C$50,0),0)))</f>
        <v/>
      </c>
      <c r="T77" s="16" t="str">
        <f>IF($C77&lt;&gt;"Organisation","",IF(OR($P77&lt;&gt;"",$Q77&lt;&gt;""),"Documented in source - midpoint of annual_intake_low/high",IF($I77="","No confirmed programme - modelled as zero",$N77&amp;" base x "&amp;TEXT(_xlfn.XLOOKUP($G77,Assumptions!$B$13:$B$26,Assumptions!$C$13:$C$26,0),"0.0#")&amp;" sector x "&amp;TEXT(_xlfn.XLOOKUP($I77,Assumptions!$B$30:$B$50,Assumptions!$C$30:$C$50,0),"0.0#")&amp;" mechanism")))</f>
        <v/>
      </c>
      <c r="W77" s="13"/>
      <c r="X77" s="13"/>
    </row>
    <row r="78" spans="1:24" x14ac:dyDescent="0.2">
      <c r="A78" s="13" t="s">
        <v>177</v>
      </c>
      <c r="B78" s="13" t="s">
        <v>178</v>
      </c>
      <c r="C78" s="13" t="s">
        <v>164</v>
      </c>
      <c r="K78" s="19" t="s">
        <v>1815</v>
      </c>
      <c r="L78" s="17"/>
      <c r="M78" s="17"/>
      <c r="P78" s="16"/>
      <c r="Q78" s="16"/>
      <c r="R78" s="16"/>
      <c r="S78" s="21" t="str">
        <f>IF($C78&lt;&gt;"Organisation","",IF(OR($P78&lt;&gt;"",$Q78&lt;&gt;""),IF($P78&lt;&gt;"",IF($Q78&lt;&gt;"",($P78+$Q78)/2,$P78),$Q78),ROUND(_xlfn.XLOOKUP($N78,Assumptions!$B$5:$B$9,Assumptions!$C$5:$C$9,0)*_xlfn.XLOOKUP($G78,Assumptions!$B$13:$B$26,Assumptions!$C$13:$C$26,0)*_xlfn.XLOOKUP($I78,Assumptions!$B$30:$B$50,Assumptions!$C$30:$C$50,0),0)))</f>
        <v/>
      </c>
      <c r="T78" s="16" t="str">
        <f>IF($C78&lt;&gt;"Organisation","",IF(OR($P78&lt;&gt;"",$Q78&lt;&gt;""),"Documented in source - midpoint of annual_intake_low/high",IF($I78="","No confirmed programme - modelled as zero",$N78&amp;" base x "&amp;TEXT(_xlfn.XLOOKUP($G78,Assumptions!$B$13:$B$26,Assumptions!$C$13:$C$26,0),"0.0#")&amp;" sector x "&amp;TEXT(_xlfn.XLOOKUP($I78,Assumptions!$B$30:$B$50,Assumptions!$C$30:$C$50,0),"0.0#")&amp;" mechanism")))</f>
        <v/>
      </c>
      <c r="W78" s="13"/>
      <c r="X78" s="13"/>
    </row>
    <row r="79" spans="1:24" x14ac:dyDescent="0.2">
      <c r="A79" s="13" t="s">
        <v>179</v>
      </c>
      <c r="B79" s="13" t="s">
        <v>180</v>
      </c>
      <c r="C79" s="13" t="s">
        <v>164</v>
      </c>
      <c r="K79" s="19" t="s">
        <v>1815</v>
      </c>
      <c r="L79" s="17"/>
      <c r="M79" s="17"/>
      <c r="P79" s="16"/>
      <c r="Q79" s="16"/>
      <c r="R79" s="16"/>
      <c r="S79" s="21" t="str">
        <f>IF($C79&lt;&gt;"Organisation","",IF(OR($P79&lt;&gt;"",$Q79&lt;&gt;""),IF($P79&lt;&gt;"",IF($Q79&lt;&gt;"",($P79+$Q79)/2,$P79),$Q79),ROUND(_xlfn.XLOOKUP($N79,Assumptions!$B$5:$B$9,Assumptions!$C$5:$C$9,0)*_xlfn.XLOOKUP($G79,Assumptions!$B$13:$B$26,Assumptions!$C$13:$C$26,0)*_xlfn.XLOOKUP($I79,Assumptions!$B$30:$B$50,Assumptions!$C$30:$C$50,0),0)))</f>
        <v/>
      </c>
      <c r="T79" s="16" t="str">
        <f>IF($C79&lt;&gt;"Organisation","",IF(OR($P79&lt;&gt;"",$Q79&lt;&gt;""),"Documented in source - midpoint of annual_intake_low/high",IF($I79="","No confirmed programme - modelled as zero",$N79&amp;" base x "&amp;TEXT(_xlfn.XLOOKUP($G79,Assumptions!$B$13:$B$26,Assumptions!$C$13:$C$26,0),"0.0#")&amp;" sector x "&amp;TEXT(_xlfn.XLOOKUP($I79,Assumptions!$B$30:$B$50,Assumptions!$C$30:$C$50,0),"0.0#")&amp;" mechanism")))</f>
        <v/>
      </c>
      <c r="W79" s="13"/>
      <c r="X79" s="13"/>
    </row>
    <row r="80" spans="1:24" x14ac:dyDescent="0.2">
      <c r="A80" s="13" t="s">
        <v>181</v>
      </c>
      <c r="B80" s="13" t="s">
        <v>182</v>
      </c>
      <c r="C80" s="13" t="s">
        <v>164</v>
      </c>
      <c r="K80" s="19" t="s">
        <v>1815</v>
      </c>
      <c r="L80" s="17"/>
      <c r="M80" s="17"/>
      <c r="P80" s="16"/>
      <c r="Q80" s="16"/>
      <c r="R80" s="16"/>
      <c r="S80" s="21" t="str">
        <f>IF($C80&lt;&gt;"Organisation","",IF(OR($P80&lt;&gt;"",$Q80&lt;&gt;""),IF($P80&lt;&gt;"",IF($Q80&lt;&gt;"",($P80+$Q80)/2,$P80),$Q80),ROUND(_xlfn.XLOOKUP($N80,Assumptions!$B$5:$B$9,Assumptions!$C$5:$C$9,0)*_xlfn.XLOOKUP($G80,Assumptions!$B$13:$B$26,Assumptions!$C$13:$C$26,0)*_xlfn.XLOOKUP($I80,Assumptions!$B$30:$B$50,Assumptions!$C$30:$C$50,0),0)))</f>
        <v/>
      </c>
      <c r="T80" s="16" t="str">
        <f>IF($C80&lt;&gt;"Organisation","",IF(OR($P80&lt;&gt;"",$Q80&lt;&gt;""),"Documented in source - midpoint of annual_intake_low/high",IF($I80="","No confirmed programme - modelled as zero",$N80&amp;" base x "&amp;TEXT(_xlfn.XLOOKUP($G80,Assumptions!$B$13:$B$26,Assumptions!$C$13:$C$26,0),"0.0#")&amp;" sector x "&amp;TEXT(_xlfn.XLOOKUP($I80,Assumptions!$B$30:$B$50,Assumptions!$C$30:$C$50,0),"0.0#")&amp;" mechanism")))</f>
        <v/>
      </c>
      <c r="W80" s="13"/>
      <c r="X80" s="13"/>
    </row>
    <row r="81" spans="1:24" x14ac:dyDescent="0.2">
      <c r="A81" s="13" t="s">
        <v>183</v>
      </c>
      <c r="B81" s="13" t="s">
        <v>184</v>
      </c>
      <c r="C81" s="13" t="s">
        <v>164</v>
      </c>
      <c r="K81" s="19" t="s">
        <v>1815</v>
      </c>
      <c r="L81" s="17"/>
      <c r="M81" s="17"/>
      <c r="P81" s="16"/>
      <c r="Q81" s="16"/>
      <c r="R81" s="16"/>
      <c r="S81" s="21" t="str">
        <f>IF($C81&lt;&gt;"Organisation","",IF(OR($P81&lt;&gt;"",$Q81&lt;&gt;""),IF($P81&lt;&gt;"",IF($Q81&lt;&gt;"",($P81+$Q81)/2,$P81),$Q81),ROUND(_xlfn.XLOOKUP($N81,Assumptions!$B$5:$B$9,Assumptions!$C$5:$C$9,0)*_xlfn.XLOOKUP($G81,Assumptions!$B$13:$B$26,Assumptions!$C$13:$C$26,0)*_xlfn.XLOOKUP($I81,Assumptions!$B$30:$B$50,Assumptions!$C$30:$C$50,0),0)))</f>
        <v/>
      </c>
      <c r="T81" s="16" t="str">
        <f>IF($C81&lt;&gt;"Organisation","",IF(OR($P81&lt;&gt;"",$Q81&lt;&gt;""),"Documented in source - midpoint of annual_intake_low/high",IF($I81="","No confirmed programme - modelled as zero",$N81&amp;" base x "&amp;TEXT(_xlfn.XLOOKUP($G81,Assumptions!$B$13:$B$26,Assumptions!$C$13:$C$26,0),"0.0#")&amp;" sector x "&amp;TEXT(_xlfn.XLOOKUP($I81,Assumptions!$B$30:$B$50,Assumptions!$C$30:$C$50,0),"0.0#")&amp;" mechanism")))</f>
        <v/>
      </c>
      <c r="W81" s="13"/>
      <c r="X81" s="13"/>
    </row>
    <row r="82" spans="1:24" x14ac:dyDescent="0.2">
      <c r="A82" s="13" t="s">
        <v>185</v>
      </c>
      <c r="B82" s="13" t="s">
        <v>186</v>
      </c>
      <c r="C82" s="13" t="s">
        <v>164</v>
      </c>
      <c r="K82" s="19" t="s">
        <v>1815</v>
      </c>
      <c r="L82" s="17"/>
      <c r="M82" s="17"/>
      <c r="P82" s="16"/>
      <c r="Q82" s="16"/>
      <c r="R82" s="16"/>
      <c r="S82" s="21" t="str">
        <f>IF($C82&lt;&gt;"Organisation","",IF(OR($P82&lt;&gt;"",$Q82&lt;&gt;""),IF($P82&lt;&gt;"",IF($Q82&lt;&gt;"",($P82+$Q82)/2,$P82),$Q82),ROUND(_xlfn.XLOOKUP($N82,Assumptions!$B$5:$B$9,Assumptions!$C$5:$C$9,0)*_xlfn.XLOOKUP($G82,Assumptions!$B$13:$B$26,Assumptions!$C$13:$C$26,0)*_xlfn.XLOOKUP($I82,Assumptions!$B$30:$B$50,Assumptions!$C$30:$C$50,0),0)))</f>
        <v/>
      </c>
      <c r="T82" s="16" t="str">
        <f>IF($C82&lt;&gt;"Organisation","",IF(OR($P82&lt;&gt;"",$Q82&lt;&gt;""),"Documented in source - midpoint of annual_intake_low/high",IF($I82="","No confirmed programme - modelled as zero",$N82&amp;" base x "&amp;TEXT(_xlfn.XLOOKUP($G82,Assumptions!$B$13:$B$26,Assumptions!$C$13:$C$26,0),"0.0#")&amp;" sector x "&amp;TEXT(_xlfn.XLOOKUP($I82,Assumptions!$B$30:$B$50,Assumptions!$C$30:$C$50,0),"0.0#")&amp;" mechanism")))</f>
        <v/>
      </c>
      <c r="W82" s="13"/>
      <c r="X82" s="13"/>
    </row>
    <row r="83" spans="1:24" x14ac:dyDescent="0.2">
      <c r="A83" s="13" t="s">
        <v>187</v>
      </c>
      <c r="B83" s="13" t="s">
        <v>188</v>
      </c>
      <c r="C83" s="13" t="s">
        <v>164</v>
      </c>
      <c r="K83" s="19" t="s">
        <v>1815</v>
      </c>
      <c r="L83" s="17"/>
      <c r="M83" s="17"/>
      <c r="P83" s="16"/>
      <c r="Q83" s="16"/>
      <c r="R83" s="16"/>
      <c r="S83" s="21" t="str">
        <f>IF($C83&lt;&gt;"Organisation","",IF(OR($P83&lt;&gt;"",$Q83&lt;&gt;""),IF($P83&lt;&gt;"",IF($Q83&lt;&gt;"",($P83+$Q83)/2,$P83),$Q83),ROUND(_xlfn.XLOOKUP($N83,Assumptions!$B$5:$B$9,Assumptions!$C$5:$C$9,0)*_xlfn.XLOOKUP($G83,Assumptions!$B$13:$B$26,Assumptions!$C$13:$C$26,0)*_xlfn.XLOOKUP($I83,Assumptions!$B$30:$B$50,Assumptions!$C$30:$C$50,0),0)))</f>
        <v/>
      </c>
      <c r="T83" s="16" t="str">
        <f>IF($C83&lt;&gt;"Organisation","",IF(OR($P83&lt;&gt;"",$Q83&lt;&gt;""),"Documented in source - midpoint of annual_intake_low/high",IF($I83="","No confirmed programme - modelled as zero",$N83&amp;" base x "&amp;TEXT(_xlfn.XLOOKUP($G83,Assumptions!$B$13:$B$26,Assumptions!$C$13:$C$26,0),"0.0#")&amp;" sector x "&amp;TEXT(_xlfn.XLOOKUP($I83,Assumptions!$B$30:$B$50,Assumptions!$C$30:$C$50,0),"0.0#")&amp;" mechanism")))</f>
        <v/>
      </c>
      <c r="W83" s="13"/>
      <c r="X83" s="13"/>
    </row>
    <row r="84" spans="1:24" ht="19" customHeight="1" x14ac:dyDescent="0.2">
      <c r="A84" s="13" t="s">
        <v>189</v>
      </c>
      <c r="B84" s="13" t="s">
        <v>190</v>
      </c>
      <c r="C84" s="13" t="s">
        <v>164</v>
      </c>
      <c r="K84" s="19" t="s">
        <v>1815</v>
      </c>
      <c r="L84" s="17"/>
      <c r="M84" s="17"/>
      <c r="P84" s="16"/>
      <c r="Q84" s="16"/>
      <c r="R84" s="16"/>
      <c r="S84" s="21" t="str">
        <f>IF($C84&lt;&gt;"Organisation","",IF(OR($P84&lt;&gt;"",$Q84&lt;&gt;""),IF($P84&lt;&gt;"",IF($Q84&lt;&gt;"",($P84+$Q84)/2,$P84),$Q84),ROUND(_xlfn.XLOOKUP($N84,Assumptions!$B$5:$B$9,Assumptions!$C$5:$C$9,0)*_xlfn.XLOOKUP($G84,Assumptions!$B$13:$B$26,Assumptions!$C$13:$C$26,0)*_xlfn.XLOOKUP($I84,Assumptions!$B$30:$B$50,Assumptions!$C$30:$C$50,0),0)))</f>
        <v/>
      </c>
      <c r="T84" s="16" t="str">
        <f>IF($C84&lt;&gt;"Organisation","",IF(OR($P84&lt;&gt;"",$Q84&lt;&gt;""),"Documented in source - midpoint of annual_intake_low/high",IF($I84="","No confirmed programme - modelled as zero",$N84&amp;" base x "&amp;TEXT(_xlfn.XLOOKUP($G84,Assumptions!$B$13:$B$26,Assumptions!$C$13:$C$26,0),"0.0#")&amp;" sector x "&amp;TEXT(_xlfn.XLOOKUP($I84,Assumptions!$B$30:$B$50,Assumptions!$C$30:$C$50,0),"0.0#")&amp;" mechanism")))</f>
        <v/>
      </c>
      <c r="W84" s="13"/>
      <c r="X84" s="13"/>
    </row>
    <row r="85" spans="1:24" ht="11" customHeight="1" x14ac:dyDescent="0.2">
      <c r="A85" s="13" t="s">
        <v>203</v>
      </c>
      <c r="B85" s="13" t="s">
        <v>204</v>
      </c>
      <c r="C85" s="13" t="s">
        <v>205</v>
      </c>
      <c r="D85" s="13" t="s">
        <v>23</v>
      </c>
      <c r="E85" s="13" t="s">
        <v>35</v>
      </c>
      <c r="F85" s="13" t="s">
        <v>78</v>
      </c>
      <c r="G85" s="13" t="s">
        <v>163</v>
      </c>
      <c r="H85" s="13" t="s">
        <v>206</v>
      </c>
      <c r="I85" s="13" t="s">
        <v>191</v>
      </c>
      <c r="J85" s="13" t="s">
        <v>207</v>
      </c>
      <c r="K85" s="19" t="s">
        <v>1815</v>
      </c>
      <c r="L85" s="17"/>
      <c r="M85" s="17"/>
      <c r="N85" s="13" t="s">
        <v>208</v>
      </c>
      <c r="O85" s="13" t="s">
        <v>209</v>
      </c>
      <c r="P85" s="16"/>
      <c r="Q85" s="16"/>
      <c r="R85" s="16"/>
      <c r="S85" s="21">
        <f>IF($C85&lt;&gt;"Organisation","",IF(OR($P85&lt;&gt;"",$Q85&lt;&gt;""),IF($P85&lt;&gt;"",IF($Q85&lt;&gt;"",($P85+$Q85)/2,$P85),$Q85),ROUND(_xlfn.XLOOKUP($N85,Assumptions!$B$5:$B$9,Assumptions!$C$5:$C$9,0)*_xlfn.XLOOKUP($G85,Assumptions!$B$13:$B$26,Assumptions!$C$13:$C$26,0)*_xlfn.XLOOKUP($I85,Assumptions!$B$30:$B$50,Assumptions!$C$30:$C$50,0),0)))</f>
        <v>240</v>
      </c>
      <c r="T85" s="16" t="str">
        <f>IF($C85&lt;&gt;"Organisation","",IF(OR($P85&lt;&gt;"",$Q85&lt;&gt;""),"Documented in source - midpoint of annual_intake_low/high",IF($I85="","No confirmed programme - modelled as zero",$N85&amp;" base x "&amp;TEXT(_xlfn.XLOOKUP($G85,Assumptions!$B$13:$B$26,Assumptions!$C$13:$C$26,0),"0.0#")&amp;" sector x "&amp;TEXT(_xlfn.XLOOKUP($I85,Assumptions!$B$30:$B$50,Assumptions!$C$30:$C$50,0),"0.0#")&amp;" mechanism")))</f>
        <v>Large base x 2.0 sector x 1.0 mechanism</v>
      </c>
      <c r="U85" s="13" t="s">
        <v>210</v>
      </c>
      <c r="V85" s="13" t="s">
        <v>211</v>
      </c>
      <c r="W85" s="13" t="s">
        <v>80</v>
      </c>
      <c r="X85" s="13"/>
    </row>
    <row r="86" spans="1:24" x14ac:dyDescent="0.2">
      <c r="A86" s="13" t="s">
        <v>212</v>
      </c>
      <c r="B86" s="13" t="s">
        <v>213</v>
      </c>
      <c r="C86" s="13" t="s">
        <v>205</v>
      </c>
      <c r="D86" s="13" t="s">
        <v>23</v>
      </c>
      <c r="E86" s="13" t="s">
        <v>35</v>
      </c>
      <c r="F86" s="13" t="s">
        <v>78</v>
      </c>
      <c r="G86" s="13" t="s">
        <v>163</v>
      </c>
      <c r="H86" s="13" t="s">
        <v>206</v>
      </c>
      <c r="I86" s="13" t="s">
        <v>191</v>
      </c>
      <c r="J86" s="13" t="s">
        <v>214</v>
      </c>
      <c r="K86" s="19" t="s">
        <v>1815</v>
      </c>
      <c r="L86" s="17"/>
      <c r="M86" s="17"/>
      <c r="N86" s="13" t="s">
        <v>208</v>
      </c>
      <c r="O86" s="13" t="s">
        <v>209</v>
      </c>
      <c r="P86" s="16"/>
      <c r="Q86" s="16"/>
      <c r="R86" s="16"/>
      <c r="S86" s="21">
        <f>IF($C86&lt;&gt;"Organisation","",IF(OR($P86&lt;&gt;"",$Q86&lt;&gt;""),IF($P86&lt;&gt;"",IF($Q86&lt;&gt;"",($P86+$Q86)/2,$P86),$Q86),ROUND(_xlfn.XLOOKUP($N86,Assumptions!$B$5:$B$9,Assumptions!$C$5:$C$9,0)*_xlfn.XLOOKUP($G86,Assumptions!$B$13:$B$26,Assumptions!$C$13:$C$26,0)*_xlfn.XLOOKUP($I86,Assumptions!$B$30:$B$50,Assumptions!$C$30:$C$50,0),0)))</f>
        <v>240</v>
      </c>
      <c r="T86" s="16" t="str">
        <f>IF($C86&lt;&gt;"Organisation","",IF(OR($P86&lt;&gt;"",$Q86&lt;&gt;""),"Documented in source - midpoint of annual_intake_low/high",IF($I86="","No confirmed programme - modelled as zero",$N86&amp;" base x "&amp;TEXT(_xlfn.XLOOKUP($G86,Assumptions!$B$13:$B$26,Assumptions!$C$13:$C$26,0),"0.0#")&amp;" sector x "&amp;TEXT(_xlfn.XLOOKUP($I86,Assumptions!$B$30:$B$50,Assumptions!$C$30:$C$50,0),"0.0#")&amp;" mechanism")))</f>
        <v>Large base x 2.0 sector x 1.0 mechanism</v>
      </c>
      <c r="U86" s="13" t="s">
        <v>210</v>
      </c>
      <c r="V86" s="13" t="s">
        <v>211</v>
      </c>
      <c r="W86" s="13" t="s">
        <v>80</v>
      </c>
      <c r="X86" s="13"/>
    </row>
    <row r="87" spans="1:24" x14ac:dyDescent="0.2">
      <c r="A87" s="13" t="s">
        <v>215</v>
      </c>
      <c r="B87" s="13" t="s">
        <v>216</v>
      </c>
      <c r="C87" s="13" t="s">
        <v>205</v>
      </c>
      <c r="D87" s="13" t="s">
        <v>23</v>
      </c>
      <c r="E87" s="13" t="s">
        <v>35</v>
      </c>
      <c r="F87" s="13" t="s">
        <v>78</v>
      </c>
      <c r="G87" s="13" t="s">
        <v>163</v>
      </c>
      <c r="H87" s="13" t="s">
        <v>206</v>
      </c>
      <c r="I87" s="13" t="s">
        <v>191</v>
      </c>
      <c r="J87" s="13" t="s">
        <v>217</v>
      </c>
      <c r="K87" s="19" t="s">
        <v>1815</v>
      </c>
      <c r="L87" s="17"/>
      <c r="M87" s="17"/>
      <c r="N87" s="13" t="s">
        <v>218</v>
      </c>
      <c r="O87" s="13" t="s">
        <v>209</v>
      </c>
      <c r="P87" s="16"/>
      <c r="Q87" s="16"/>
      <c r="R87" s="16"/>
      <c r="S87" s="21">
        <f>IF($C87&lt;&gt;"Organisation","",IF(OR($P87&lt;&gt;"",$Q87&lt;&gt;""),IF($P87&lt;&gt;"",IF($Q87&lt;&gt;"",($P87+$Q87)/2,$P87),$Q87),ROUND(_xlfn.XLOOKUP($N87,Assumptions!$B$5:$B$9,Assumptions!$C$5:$C$9,0)*_xlfn.XLOOKUP($G87,Assumptions!$B$13:$B$26,Assumptions!$C$13:$C$26,0)*_xlfn.XLOOKUP($I87,Assumptions!$B$30:$B$50,Assumptions!$C$30:$C$50,0),0)))</f>
        <v>800</v>
      </c>
      <c r="T87" s="16" t="str">
        <f>IF($C87&lt;&gt;"Organisation","",IF(OR($P87&lt;&gt;"",$Q87&lt;&gt;""),"Documented in source - midpoint of annual_intake_low/high",IF($I87="","No confirmed programme - modelled as zero",$N87&amp;" base x "&amp;TEXT(_xlfn.XLOOKUP($G87,Assumptions!$B$13:$B$26,Assumptions!$C$13:$C$26,0),"0.0#")&amp;" sector x "&amp;TEXT(_xlfn.XLOOKUP($I87,Assumptions!$B$30:$B$50,Assumptions!$C$30:$C$50,0),"0.0#")&amp;" mechanism")))</f>
        <v>Mega base x 2.0 sector x 1.0 mechanism</v>
      </c>
      <c r="U87" s="13" t="s">
        <v>210</v>
      </c>
      <c r="V87" s="13" t="s">
        <v>211</v>
      </c>
      <c r="W87" s="13" t="s">
        <v>80</v>
      </c>
      <c r="X87" s="13"/>
    </row>
    <row r="88" spans="1:24" x14ac:dyDescent="0.2">
      <c r="A88" s="13" t="s">
        <v>219</v>
      </c>
      <c r="B88" s="13" t="s">
        <v>220</v>
      </c>
      <c r="C88" s="13" t="s">
        <v>205</v>
      </c>
      <c r="D88" s="13" t="s">
        <v>23</v>
      </c>
      <c r="E88" s="13" t="s">
        <v>35</v>
      </c>
      <c r="F88" s="13" t="s">
        <v>86</v>
      </c>
      <c r="G88" s="13" t="s">
        <v>163</v>
      </c>
      <c r="H88" s="13" t="s">
        <v>206</v>
      </c>
      <c r="I88" s="13" t="s">
        <v>191</v>
      </c>
      <c r="J88" s="13" t="s">
        <v>221</v>
      </c>
      <c r="K88" s="19" t="s">
        <v>1815</v>
      </c>
      <c r="L88" s="17"/>
      <c r="M88" s="17"/>
      <c r="N88" s="13" t="s">
        <v>218</v>
      </c>
      <c r="O88" s="13" t="s">
        <v>209</v>
      </c>
      <c r="P88" s="16"/>
      <c r="Q88" s="16"/>
      <c r="R88" s="16"/>
      <c r="S88" s="21">
        <f>IF($C88&lt;&gt;"Organisation","",IF(OR($P88&lt;&gt;"",$Q88&lt;&gt;""),IF($P88&lt;&gt;"",IF($Q88&lt;&gt;"",($P88+$Q88)/2,$P88),$Q88),ROUND(_xlfn.XLOOKUP($N88,Assumptions!$B$5:$B$9,Assumptions!$C$5:$C$9,0)*_xlfn.XLOOKUP($G88,Assumptions!$B$13:$B$26,Assumptions!$C$13:$C$26,0)*_xlfn.XLOOKUP($I88,Assumptions!$B$30:$B$50,Assumptions!$C$30:$C$50,0),0)))</f>
        <v>800</v>
      </c>
      <c r="T88" s="16" t="str">
        <f>IF($C88&lt;&gt;"Organisation","",IF(OR($P88&lt;&gt;"",$Q88&lt;&gt;""),"Documented in source - midpoint of annual_intake_low/high",IF($I88="","No confirmed programme - modelled as zero",$N88&amp;" base x "&amp;TEXT(_xlfn.XLOOKUP($G88,Assumptions!$B$13:$B$26,Assumptions!$C$13:$C$26,0),"0.0#")&amp;" sector x "&amp;TEXT(_xlfn.XLOOKUP($I88,Assumptions!$B$30:$B$50,Assumptions!$C$30:$C$50,0),"0.0#")&amp;" mechanism")))</f>
        <v>Mega base x 2.0 sector x 1.0 mechanism</v>
      </c>
      <c r="U88" s="13" t="s">
        <v>222</v>
      </c>
      <c r="V88" s="13" t="s">
        <v>223</v>
      </c>
      <c r="W88" s="13" t="s">
        <v>80</v>
      </c>
      <c r="X88" s="13"/>
    </row>
    <row r="89" spans="1:24" x14ac:dyDescent="0.2">
      <c r="A89" s="13" t="s">
        <v>224</v>
      </c>
      <c r="B89" s="13" t="s">
        <v>225</v>
      </c>
      <c r="C89" s="13" t="s">
        <v>205</v>
      </c>
      <c r="D89" s="13" t="s">
        <v>23</v>
      </c>
      <c r="E89" s="13" t="s">
        <v>35</v>
      </c>
      <c r="F89" s="13" t="s">
        <v>78</v>
      </c>
      <c r="G89" s="13" t="s">
        <v>163</v>
      </c>
      <c r="H89" s="13" t="s">
        <v>206</v>
      </c>
      <c r="I89" s="13" t="s">
        <v>191</v>
      </c>
      <c r="J89" s="13" t="s">
        <v>226</v>
      </c>
      <c r="K89" s="19" t="s">
        <v>1815</v>
      </c>
      <c r="L89" s="17"/>
      <c r="M89" s="17"/>
      <c r="N89" s="13" t="s">
        <v>218</v>
      </c>
      <c r="O89" s="13" t="s">
        <v>209</v>
      </c>
      <c r="P89" s="16"/>
      <c r="Q89" s="16"/>
      <c r="R89" s="16"/>
      <c r="S89" s="21">
        <f>IF($C89&lt;&gt;"Organisation","",IF(OR($P89&lt;&gt;"",$Q89&lt;&gt;""),IF($P89&lt;&gt;"",IF($Q89&lt;&gt;"",($P89+$Q89)/2,$P89),$Q89),ROUND(_xlfn.XLOOKUP($N89,Assumptions!$B$5:$B$9,Assumptions!$C$5:$C$9,0)*_xlfn.XLOOKUP($G89,Assumptions!$B$13:$B$26,Assumptions!$C$13:$C$26,0)*_xlfn.XLOOKUP($I89,Assumptions!$B$30:$B$50,Assumptions!$C$30:$C$50,0),0)))</f>
        <v>800</v>
      </c>
      <c r="T89" s="16" t="str">
        <f>IF($C89&lt;&gt;"Organisation","",IF(OR($P89&lt;&gt;"",$Q89&lt;&gt;""),"Documented in source - midpoint of annual_intake_low/high",IF($I89="","No confirmed programme - modelled as zero",$N89&amp;" base x "&amp;TEXT(_xlfn.XLOOKUP($G89,Assumptions!$B$13:$B$26,Assumptions!$C$13:$C$26,0),"0.0#")&amp;" sector x "&amp;TEXT(_xlfn.XLOOKUP($I89,Assumptions!$B$30:$B$50,Assumptions!$C$30:$C$50,0),"0.0#")&amp;" mechanism")))</f>
        <v>Mega base x 2.0 sector x 1.0 mechanism</v>
      </c>
      <c r="U89" s="13" t="s">
        <v>210</v>
      </c>
      <c r="V89" s="13" t="s">
        <v>211</v>
      </c>
      <c r="W89" s="13" t="s">
        <v>80</v>
      </c>
      <c r="X89" s="13"/>
    </row>
    <row r="90" spans="1:24" x14ac:dyDescent="0.2">
      <c r="A90" s="13" t="s">
        <v>227</v>
      </c>
      <c r="B90" s="13" t="s">
        <v>228</v>
      </c>
      <c r="C90" s="13" t="s">
        <v>205</v>
      </c>
      <c r="D90" s="13" t="s">
        <v>23</v>
      </c>
      <c r="E90" s="13" t="s">
        <v>35</v>
      </c>
      <c r="F90" s="13" t="s">
        <v>88</v>
      </c>
      <c r="G90" s="13" t="s">
        <v>163</v>
      </c>
      <c r="H90" s="13" t="s">
        <v>206</v>
      </c>
      <c r="I90" s="13" t="s">
        <v>191</v>
      </c>
      <c r="J90" s="13" t="s">
        <v>229</v>
      </c>
      <c r="K90" s="19" t="s">
        <v>1815</v>
      </c>
      <c r="L90" s="17"/>
      <c r="M90" s="17"/>
      <c r="N90" s="13" t="s">
        <v>218</v>
      </c>
      <c r="O90" s="13" t="s">
        <v>209</v>
      </c>
      <c r="P90" s="16"/>
      <c r="Q90" s="16"/>
      <c r="R90" s="16"/>
      <c r="S90" s="21">
        <f>IF($C90&lt;&gt;"Organisation","",IF(OR($P90&lt;&gt;"",$Q90&lt;&gt;""),IF($P90&lt;&gt;"",IF($Q90&lt;&gt;"",($P90+$Q90)/2,$P90),$Q90),ROUND(_xlfn.XLOOKUP($N90,Assumptions!$B$5:$B$9,Assumptions!$C$5:$C$9,0)*_xlfn.XLOOKUP($G90,Assumptions!$B$13:$B$26,Assumptions!$C$13:$C$26,0)*_xlfn.XLOOKUP($I90,Assumptions!$B$30:$B$50,Assumptions!$C$30:$C$50,0),0)))</f>
        <v>800</v>
      </c>
      <c r="T90" s="16" t="str">
        <f>IF($C90&lt;&gt;"Organisation","",IF(OR($P90&lt;&gt;"",$Q90&lt;&gt;""),"Documented in source - midpoint of annual_intake_low/high",IF($I90="","No confirmed programme - modelled as zero",$N90&amp;" base x "&amp;TEXT(_xlfn.XLOOKUP($G90,Assumptions!$B$13:$B$26,Assumptions!$C$13:$C$26,0),"0.0#")&amp;" sector x "&amp;TEXT(_xlfn.XLOOKUP($I90,Assumptions!$B$30:$B$50,Assumptions!$C$30:$C$50,0),"0.0#")&amp;" mechanism")))</f>
        <v>Mega base x 2.0 sector x 1.0 mechanism</v>
      </c>
      <c r="U90" s="13" t="s">
        <v>230</v>
      </c>
      <c r="V90" s="13" t="s">
        <v>231</v>
      </c>
      <c r="W90" s="13" t="s">
        <v>80</v>
      </c>
      <c r="X90" s="13"/>
    </row>
    <row r="91" spans="1:24" x14ac:dyDescent="0.2">
      <c r="A91" s="13" t="s">
        <v>232</v>
      </c>
      <c r="B91" s="13" t="s">
        <v>233</v>
      </c>
      <c r="C91" s="13" t="s">
        <v>205</v>
      </c>
      <c r="D91" s="13" t="s">
        <v>23</v>
      </c>
      <c r="E91" s="13" t="s">
        <v>35</v>
      </c>
      <c r="F91" s="13" t="s">
        <v>78</v>
      </c>
      <c r="G91" s="13" t="s">
        <v>166</v>
      </c>
      <c r="H91" s="13" t="s">
        <v>234</v>
      </c>
      <c r="I91" s="13" t="s">
        <v>191</v>
      </c>
      <c r="J91" s="13" t="s">
        <v>235</v>
      </c>
      <c r="K91" s="19" t="s">
        <v>1815</v>
      </c>
      <c r="L91" s="17"/>
      <c r="M91" s="17"/>
      <c r="N91" s="13" t="s">
        <v>236</v>
      </c>
      <c r="O91" s="13" t="s">
        <v>209</v>
      </c>
      <c r="P91" s="16">
        <v>80</v>
      </c>
      <c r="Q91" s="16">
        <v>100</v>
      </c>
      <c r="R91" s="16"/>
      <c r="S91" s="21">
        <f>IF($C91&lt;&gt;"Organisation","",IF(OR($P91&lt;&gt;"",$Q91&lt;&gt;""),IF($P91&lt;&gt;"",IF($Q91&lt;&gt;"",($P91+$Q91)/2,$P91),$Q91),ROUND(_xlfn.XLOOKUP($N91,Assumptions!$B$5:$B$9,Assumptions!$C$5:$C$9,0)*_xlfn.XLOOKUP($G91,Assumptions!$B$13:$B$26,Assumptions!$C$13:$C$26,0)*_xlfn.XLOOKUP($I91,Assumptions!$B$30:$B$50,Assumptions!$C$30:$C$50,0),0)))</f>
        <v>90</v>
      </c>
      <c r="T91" s="16" t="str">
        <f>IF($C91&lt;&gt;"Organisation","",IF(OR($P91&lt;&gt;"",$Q91&lt;&gt;""),"Documented in source - midpoint of annual_intake_low/high",IF($I91="","No confirmed programme - modelled as zero",$N91&amp;" base x "&amp;TEXT(_xlfn.XLOOKUP($G91,Assumptions!$B$13:$B$26,Assumptions!$C$13:$C$26,0),"0.0#")&amp;" sector x "&amp;TEXT(_xlfn.XLOOKUP($I91,Assumptions!$B$30:$B$50,Assumptions!$C$30:$C$50,0),"0.0#")&amp;" mechanism")))</f>
        <v>Documented in source - midpoint of annual_intake_low/high</v>
      </c>
      <c r="U91" s="13" t="s">
        <v>222</v>
      </c>
      <c r="V91" s="13" t="s">
        <v>223</v>
      </c>
      <c r="W91" s="13" t="s">
        <v>80</v>
      </c>
      <c r="X91" s="13" t="s">
        <v>237</v>
      </c>
    </row>
    <row r="92" spans="1:24" x14ac:dyDescent="0.2">
      <c r="A92" s="13" t="s">
        <v>238</v>
      </c>
      <c r="B92" s="13" t="s">
        <v>239</v>
      </c>
      <c r="C92" s="13" t="s">
        <v>205</v>
      </c>
      <c r="D92" s="13" t="s">
        <v>23</v>
      </c>
      <c r="E92" s="13" t="s">
        <v>35</v>
      </c>
      <c r="F92" s="13" t="s">
        <v>78</v>
      </c>
      <c r="G92" s="13" t="s">
        <v>166</v>
      </c>
      <c r="H92" s="13" t="s">
        <v>234</v>
      </c>
      <c r="I92" s="13" t="s">
        <v>191</v>
      </c>
      <c r="J92" s="13" t="s">
        <v>240</v>
      </c>
      <c r="K92" s="19" t="s">
        <v>1816</v>
      </c>
      <c r="L92" s="17"/>
      <c r="M92" s="17"/>
      <c r="N92" s="13" t="s">
        <v>236</v>
      </c>
      <c r="O92" s="13" t="s">
        <v>209</v>
      </c>
      <c r="P92" s="16"/>
      <c r="Q92" s="16"/>
      <c r="R92" s="16"/>
      <c r="S92" s="21">
        <f>IF($C92&lt;&gt;"Organisation","",IF(OR($P92&lt;&gt;"",$Q92&lt;&gt;""),IF($P92&lt;&gt;"",IF($Q92&lt;&gt;"",($P92+$Q92)/2,$P92),$Q92),ROUND(_xlfn.XLOOKUP($N92,Assumptions!$B$5:$B$9,Assumptions!$C$5:$C$9,0)*_xlfn.XLOOKUP($G92,Assumptions!$B$13:$B$26,Assumptions!$C$13:$C$26,0)*_xlfn.XLOOKUP($I92,Assumptions!$B$30:$B$50,Assumptions!$C$30:$C$50,0),0)))</f>
        <v>6</v>
      </c>
      <c r="T92" s="16" t="str">
        <f>IF($C92&lt;&gt;"Organisation","",IF(OR($P92&lt;&gt;"",$Q92&lt;&gt;""),"Documented in source - midpoint of annual_intake_low/high",IF($I92="","No confirmed programme - modelled as zero",$N92&amp;" base x "&amp;TEXT(_xlfn.XLOOKUP($G92,Assumptions!$B$13:$B$26,Assumptions!$C$13:$C$26,0),"0.0#")&amp;" sector x "&amp;TEXT(_xlfn.XLOOKUP($I92,Assumptions!$B$30:$B$50,Assumptions!$C$30:$C$50,0),"0.0#")&amp;" mechanism")))</f>
        <v>Boutique base x 0.8 sector x 1.0 mechanism</v>
      </c>
      <c r="U92" s="13" t="s">
        <v>222</v>
      </c>
      <c r="V92" s="13" t="s">
        <v>223</v>
      </c>
      <c r="W92" s="13" t="s">
        <v>80</v>
      </c>
      <c r="X92" s="13"/>
    </row>
    <row r="93" spans="1:24" x14ac:dyDescent="0.2">
      <c r="A93" s="13" t="s">
        <v>241</v>
      </c>
      <c r="B93" s="13" t="s">
        <v>242</v>
      </c>
      <c r="C93" s="13" t="s">
        <v>205</v>
      </c>
      <c r="D93" s="13" t="s">
        <v>23</v>
      </c>
      <c r="E93" s="13" t="s">
        <v>35</v>
      </c>
      <c r="F93" s="13" t="s">
        <v>78</v>
      </c>
      <c r="G93" s="13" t="s">
        <v>166</v>
      </c>
      <c r="H93" s="13" t="s">
        <v>234</v>
      </c>
      <c r="I93" s="13" t="s">
        <v>191</v>
      </c>
      <c r="J93" s="13" t="s">
        <v>243</v>
      </c>
      <c r="K93" s="19" t="s">
        <v>1815</v>
      </c>
      <c r="L93" s="17"/>
      <c r="M93" s="17"/>
      <c r="N93" s="13" t="s">
        <v>244</v>
      </c>
      <c r="O93" s="13" t="s">
        <v>209</v>
      </c>
      <c r="P93" s="16"/>
      <c r="Q93" s="16"/>
      <c r="R93" s="16"/>
      <c r="S93" s="21">
        <f>IF($C93&lt;&gt;"Organisation","",IF(OR($P93&lt;&gt;"",$Q93&lt;&gt;""),IF($P93&lt;&gt;"",IF($Q93&lt;&gt;"",($P93+$Q93)/2,$P93),$Q93),ROUND(_xlfn.XLOOKUP($N93,Assumptions!$B$5:$B$9,Assumptions!$C$5:$C$9,0)*_xlfn.XLOOKUP($G93,Assumptions!$B$13:$B$26,Assumptions!$C$13:$C$26,0)*_xlfn.XLOOKUP($I93,Assumptions!$B$30:$B$50,Assumptions!$C$30:$C$50,0),0)))</f>
        <v>24</v>
      </c>
      <c r="T93" s="16" t="str">
        <f>IF($C93&lt;&gt;"Organisation","",IF(OR($P93&lt;&gt;"",$Q93&lt;&gt;""),"Documented in source - midpoint of annual_intake_low/high",IF($I93="","No confirmed programme - modelled as zero",$N93&amp;" base x "&amp;TEXT(_xlfn.XLOOKUP($G93,Assumptions!$B$13:$B$26,Assumptions!$C$13:$C$26,0),"0.0#")&amp;" sector x "&amp;TEXT(_xlfn.XLOOKUP($I93,Assumptions!$B$30:$B$50,Assumptions!$C$30:$C$50,0),"0.0#")&amp;" mechanism")))</f>
        <v>Mid base x 0.8 sector x 1.0 mechanism</v>
      </c>
      <c r="U93" s="13" t="s">
        <v>222</v>
      </c>
      <c r="V93" s="13" t="s">
        <v>223</v>
      </c>
      <c r="W93" s="13" t="s">
        <v>80</v>
      </c>
      <c r="X93" s="13"/>
    </row>
    <row r="94" spans="1:24" x14ac:dyDescent="0.2">
      <c r="A94" s="13" t="s">
        <v>245</v>
      </c>
      <c r="B94" s="13" t="s">
        <v>246</v>
      </c>
      <c r="C94" s="13" t="s">
        <v>205</v>
      </c>
      <c r="D94" s="13" t="s">
        <v>23</v>
      </c>
      <c r="E94" s="13" t="s">
        <v>35</v>
      </c>
      <c r="F94" s="13" t="s">
        <v>78</v>
      </c>
      <c r="G94" s="13" t="s">
        <v>166</v>
      </c>
      <c r="H94" s="13" t="s">
        <v>234</v>
      </c>
      <c r="I94" s="13" t="s">
        <v>191</v>
      </c>
      <c r="J94" s="13" t="s">
        <v>243</v>
      </c>
      <c r="K94" s="19" t="s">
        <v>1815</v>
      </c>
      <c r="L94" s="17"/>
      <c r="M94" s="17"/>
      <c r="N94" s="13" t="s">
        <v>236</v>
      </c>
      <c r="O94" s="13" t="s">
        <v>209</v>
      </c>
      <c r="P94" s="16"/>
      <c r="Q94" s="16"/>
      <c r="R94" s="16"/>
      <c r="S94" s="21">
        <f>IF($C94&lt;&gt;"Organisation","",IF(OR($P94&lt;&gt;"",$Q94&lt;&gt;""),IF($P94&lt;&gt;"",IF($Q94&lt;&gt;"",($P94+$Q94)/2,$P94),$Q94),ROUND(_xlfn.XLOOKUP($N94,Assumptions!$B$5:$B$9,Assumptions!$C$5:$C$9,0)*_xlfn.XLOOKUP($G94,Assumptions!$B$13:$B$26,Assumptions!$C$13:$C$26,0)*_xlfn.XLOOKUP($I94,Assumptions!$B$30:$B$50,Assumptions!$C$30:$C$50,0),0)))</f>
        <v>6</v>
      </c>
      <c r="T94" s="16" t="str">
        <f>IF($C94&lt;&gt;"Organisation","",IF(OR($P94&lt;&gt;"",$Q94&lt;&gt;""),"Documented in source - midpoint of annual_intake_low/high",IF($I94="","No confirmed programme - modelled as zero",$N94&amp;" base x "&amp;TEXT(_xlfn.XLOOKUP($G94,Assumptions!$B$13:$B$26,Assumptions!$C$13:$C$26,0),"0.0#")&amp;" sector x "&amp;TEXT(_xlfn.XLOOKUP($I94,Assumptions!$B$30:$B$50,Assumptions!$C$30:$C$50,0),"0.0#")&amp;" mechanism")))</f>
        <v>Boutique base x 0.8 sector x 1.0 mechanism</v>
      </c>
      <c r="U94" s="13" t="s">
        <v>222</v>
      </c>
      <c r="V94" s="13" t="s">
        <v>223</v>
      </c>
      <c r="W94" s="13" t="s">
        <v>80</v>
      </c>
      <c r="X94" s="13"/>
    </row>
    <row r="95" spans="1:24" x14ac:dyDescent="0.2">
      <c r="A95" s="13" t="s">
        <v>247</v>
      </c>
      <c r="B95" s="13" t="s">
        <v>248</v>
      </c>
      <c r="C95" s="13" t="s">
        <v>205</v>
      </c>
      <c r="D95" s="13" t="s">
        <v>23</v>
      </c>
      <c r="E95" s="13" t="s">
        <v>35</v>
      </c>
      <c r="F95" s="13" t="s">
        <v>78</v>
      </c>
      <c r="G95" s="13" t="s">
        <v>166</v>
      </c>
      <c r="H95" s="13" t="s">
        <v>234</v>
      </c>
      <c r="I95" s="13" t="s">
        <v>191</v>
      </c>
      <c r="J95" s="13" t="s">
        <v>249</v>
      </c>
      <c r="K95" s="19" t="s">
        <v>1815</v>
      </c>
      <c r="L95" s="17"/>
      <c r="M95" s="17"/>
      <c r="N95" s="13" t="s">
        <v>236</v>
      </c>
      <c r="O95" s="13" t="s">
        <v>209</v>
      </c>
      <c r="P95" s="16"/>
      <c r="Q95" s="16"/>
      <c r="R95" s="16"/>
      <c r="S95" s="21">
        <f>IF($C95&lt;&gt;"Organisation","",IF(OR($P95&lt;&gt;"",$Q95&lt;&gt;""),IF($P95&lt;&gt;"",IF($Q95&lt;&gt;"",($P95+$Q95)/2,$P95),$Q95),ROUND(_xlfn.XLOOKUP($N95,Assumptions!$B$5:$B$9,Assumptions!$C$5:$C$9,0)*_xlfn.XLOOKUP($G95,Assumptions!$B$13:$B$26,Assumptions!$C$13:$C$26,0)*_xlfn.XLOOKUP($I95,Assumptions!$B$30:$B$50,Assumptions!$C$30:$C$50,0),0)))</f>
        <v>6</v>
      </c>
      <c r="T95" s="16" t="str">
        <f>IF($C95&lt;&gt;"Organisation","",IF(OR($P95&lt;&gt;"",$Q95&lt;&gt;""),"Documented in source - midpoint of annual_intake_low/high",IF($I95="","No confirmed programme - modelled as zero",$N95&amp;" base x "&amp;TEXT(_xlfn.XLOOKUP($G95,Assumptions!$B$13:$B$26,Assumptions!$C$13:$C$26,0),"0.0#")&amp;" sector x "&amp;TEXT(_xlfn.XLOOKUP($I95,Assumptions!$B$30:$B$50,Assumptions!$C$30:$C$50,0),"0.0#")&amp;" mechanism")))</f>
        <v>Boutique base x 0.8 sector x 1.0 mechanism</v>
      </c>
      <c r="U95" s="13" t="s">
        <v>210</v>
      </c>
      <c r="V95" s="13" t="s">
        <v>211</v>
      </c>
      <c r="W95" s="13" t="s">
        <v>80</v>
      </c>
      <c r="X95" s="13"/>
    </row>
    <row r="96" spans="1:24" x14ac:dyDescent="0.2">
      <c r="A96" s="13" t="s">
        <v>250</v>
      </c>
      <c r="B96" s="13" t="s">
        <v>251</v>
      </c>
      <c r="C96" s="13" t="s">
        <v>205</v>
      </c>
      <c r="D96" s="13" t="s">
        <v>23</v>
      </c>
      <c r="E96" s="13" t="s">
        <v>35</v>
      </c>
      <c r="F96" s="13" t="s">
        <v>78</v>
      </c>
      <c r="G96" s="13" t="s">
        <v>166</v>
      </c>
      <c r="H96" s="13" t="s">
        <v>234</v>
      </c>
      <c r="I96" s="13" t="s">
        <v>191</v>
      </c>
      <c r="J96" s="13" t="s">
        <v>243</v>
      </c>
      <c r="K96" s="19" t="s">
        <v>1815</v>
      </c>
      <c r="L96" s="17"/>
      <c r="M96" s="17"/>
      <c r="N96" s="13" t="s">
        <v>236</v>
      </c>
      <c r="O96" s="13" t="s">
        <v>209</v>
      </c>
      <c r="P96" s="16"/>
      <c r="Q96" s="16"/>
      <c r="R96" s="16"/>
      <c r="S96" s="21">
        <f>IF($C96&lt;&gt;"Organisation","",IF(OR($P96&lt;&gt;"",$Q96&lt;&gt;""),IF($P96&lt;&gt;"",IF($Q96&lt;&gt;"",($P96+$Q96)/2,$P96),$Q96),ROUND(_xlfn.XLOOKUP($N96,Assumptions!$B$5:$B$9,Assumptions!$C$5:$C$9,0)*_xlfn.XLOOKUP($G96,Assumptions!$B$13:$B$26,Assumptions!$C$13:$C$26,0)*_xlfn.XLOOKUP($I96,Assumptions!$B$30:$B$50,Assumptions!$C$30:$C$50,0),0)))</f>
        <v>6</v>
      </c>
      <c r="T96" s="16" t="str">
        <f>IF($C96&lt;&gt;"Organisation","",IF(OR($P96&lt;&gt;"",$Q96&lt;&gt;""),"Documented in source - midpoint of annual_intake_low/high",IF($I96="","No confirmed programme - modelled as zero",$N96&amp;" base x "&amp;TEXT(_xlfn.XLOOKUP($G96,Assumptions!$B$13:$B$26,Assumptions!$C$13:$C$26,0),"0.0#")&amp;" sector x "&amp;TEXT(_xlfn.XLOOKUP($I96,Assumptions!$B$30:$B$50,Assumptions!$C$30:$C$50,0),"0.0#")&amp;" mechanism")))</f>
        <v>Boutique base x 0.8 sector x 1.0 mechanism</v>
      </c>
      <c r="U96" s="13" t="s">
        <v>222</v>
      </c>
      <c r="V96" s="13" t="s">
        <v>223</v>
      </c>
      <c r="W96" s="13" t="s">
        <v>80</v>
      </c>
      <c r="X96" s="13"/>
    </row>
    <row r="97" spans="1:24" x14ac:dyDescent="0.2">
      <c r="A97" s="13" t="s">
        <v>252</v>
      </c>
      <c r="B97" s="13" t="s">
        <v>253</v>
      </c>
      <c r="C97" s="13" t="s">
        <v>205</v>
      </c>
      <c r="D97" s="13" t="s">
        <v>23</v>
      </c>
      <c r="E97" s="13" t="s">
        <v>35</v>
      </c>
      <c r="F97" s="13" t="s">
        <v>92</v>
      </c>
      <c r="G97" s="13" t="s">
        <v>166</v>
      </c>
      <c r="H97" s="13" t="s">
        <v>254</v>
      </c>
      <c r="I97" s="13" t="s">
        <v>191</v>
      </c>
      <c r="J97" s="13" t="s">
        <v>255</v>
      </c>
      <c r="K97" s="19" t="s">
        <v>1815</v>
      </c>
      <c r="L97" s="17"/>
      <c r="M97" s="17"/>
      <c r="N97" s="13" t="s">
        <v>244</v>
      </c>
      <c r="O97" s="13" t="s">
        <v>209</v>
      </c>
      <c r="P97" s="16"/>
      <c r="Q97" s="16"/>
      <c r="R97" s="16"/>
      <c r="S97" s="21">
        <f>IF($C97&lt;&gt;"Organisation","",IF(OR($P97&lt;&gt;"",$Q97&lt;&gt;""),IF($P97&lt;&gt;"",IF($Q97&lt;&gt;"",($P97+$Q97)/2,$P97),$Q97),ROUND(_xlfn.XLOOKUP($N97,Assumptions!$B$5:$B$9,Assumptions!$C$5:$C$9,0)*_xlfn.XLOOKUP($G97,Assumptions!$B$13:$B$26,Assumptions!$C$13:$C$26,0)*_xlfn.XLOOKUP($I97,Assumptions!$B$30:$B$50,Assumptions!$C$30:$C$50,0),0)))</f>
        <v>24</v>
      </c>
      <c r="T97" s="16" t="str">
        <f>IF($C97&lt;&gt;"Organisation","",IF(OR($P97&lt;&gt;"",$Q97&lt;&gt;""),"Documented in source - midpoint of annual_intake_low/high",IF($I97="","No confirmed programme - modelled as zero",$N97&amp;" base x "&amp;TEXT(_xlfn.XLOOKUP($G97,Assumptions!$B$13:$B$26,Assumptions!$C$13:$C$26,0),"0.0#")&amp;" sector x "&amp;TEXT(_xlfn.XLOOKUP($I97,Assumptions!$B$30:$B$50,Assumptions!$C$30:$C$50,0),"0.0#")&amp;" mechanism")))</f>
        <v>Mid base x 0.8 sector x 1.0 mechanism</v>
      </c>
      <c r="U97" s="13" t="s">
        <v>210</v>
      </c>
      <c r="V97" s="13" t="s">
        <v>211</v>
      </c>
      <c r="W97" s="13" t="s">
        <v>80</v>
      </c>
      <c r="X97" s="13"/>
    </row>
    <row r="98" spans="1:24" x14ac:dyDescent="0.2">
      <c r="A98" s="13" t="s">
        <v>256</v>
      </c>
      <c r="B98" s="13" t="s">
        <v>257</v>
      </c>
      <c r="C98" s="13" t="s">
        <v>205</v>
      </c>
      <c r="D98" s="13" t="s">
        <v>23</v>
      </c>
      <c r="E98" s="13" t="s">
        <v>35</v>
      </c>
      <c r="F98" s="13" t="s">
        <v>78</v>
      </c>
      <c r="G98" s="13" t="s">
        <v>166</v>
      </c>
      <c r="H98" s="13" t="s">
        <v>236</v>
      </c>
      <c r="I98" s="13" t="s">
        <v>191</v>
      </c>
      <c r="J98" s="13" t="s">
        <v>243</v>
      </c>
      <c r="K98" s="19" t="s">
        <v>1815</v>
      </c>
      <c r="L98" s="17"/>
      <c r="M98" s="17"/>
      <c r="N98" s="13" t="s">
        <v>236</v>
      </c>
      <c r="O98" s="13" t="s">
        <v>209</v>
      </c>
      <c r="P98" s="16"/>
      <c r="Q98" s="16"/>
      <c r="R98" s="16"/>
      <c r="S98" s="21">
        <f>IF($C98&lt;&gt;"Organisation","",IF(OR($P98&lt;&gt;"",$Q98&lt;&gt;""),IF($P98&lt;&gt;"",IF($Q98&lt;&gt;"",($P98+$Q98)/2,$P98),$Q98),ROUND(_xlfn.XLOOKUP($N98,Assumptions!$B$5:$B$9,Assumptions!$C$5:$C$9,0)*_xlfn.XLOOKUP($G98,Assumptions!$B$13:$B$26,Assumptions!$C$13:$C$26,0)*_xlfn.XLOOKUP($I98,Assumptions!$B$30:$B$50,Assumptions!$C$30:$C$50,0),0)))</f>
        <v>6</v>
      </c>
      <c r="T98" s="16" t="str">
        <f>IF($C98&lt;&gt;"Organisation","",IF(OR($P98&lt;&gt;"",$Q98&lt;&gt;""),"Documented in source - midpoint of annual_intake_low/high",IF($I98="","No confirmed programme - modelled as zero",$N98&amp;" base x "&amp;TEXT(_xlfn.XLOOKUP($G98,Assumptions!$B$13:$B$26,Assumptions!$C$13:$C$26,0),"0.0#")&amp;" sector x "&amp;TEXT(_xlfn.XLOOKUP($I98,Assumptions!$B$30:$B$50,Assumptions!$C$30:$C$50,0),"0.0#")&amp;" mechanism")))</f>
        <v>Boutique base x 0.8 sector x 1.0 mechanism</v>
      </c>
      <c r="U98" s="13" t="s">
        <v>222</v>
      </c>
      <c r="V98" s="13" t="s">
        <v>223</v>
      </c>
      <c r="W98" s="13" t="s">
        <v>80</v>
      </c>
      <c r="X98" s="13"/>
    </row>
    <row r="99" spans="1:24" x14ac:dyDescent="0.2">
      <c r="A99" s="13" t="s">
        <v>258</v>
      </c>
      <c r="B99" s="13" t="s">
        <v>259</v>
      </c>
      <c r="C99" s="13" t="s">
        <v>205</v>
      </c>
      <c r="D99" s="13" t="s">
        <v>23</v>
      </c>
      <c r="E99" s="13" t="s">
        <v>35</v>
      </c>
      <c r="F99" s="13" t="s">
        <v>88</v>
      </c>
      <c r="G99" s="13" t="s">
        <v>166</v>
      </c>
      <c r="H99" s="13" t="s">
        <v>260</v>
      </c>
      <c r="I99" s="13" t="s">
        <v>191</v>
      </c>
      <c r="J99" s="13" t="s">
        <v>243</v>
      </c>
      <c r="K99" s="19" t="s">
        <v>1815</v>
      </c>
      <c r="L99" s="17"/>
      <c r="M99" s="17"/>
      <c r="N99" s="13" t="s">
        <v>236</v>
      </c>
      <c r="O99" s="13" t="s">
        <v>209</v>
      </c>
      <c r="P99" s="16"/>
      <c r="Q99" s="16"/>
      <c r="R99" s="16"/>
      <c r="S99" s="21">
        <f>IF($C99&lt;&gt;"Organisation","",IF(OR($P99&lt;&gt;"",$Q99&lt;&gt;""),IF($P99&lt;&gt;"",IF($Q99&lt;&gt;"",($P99+$Q99)/2,$P99),$Q99),ROUND(_xlfn.XLOOKUP($N99,Assumptions!$B$5:$B$9,Assumptions!$C$5:$C$9,0)*_xlfn.XLOOKUP($G99,Assumptions!$B$13:$B$26,Assumptions!$C$13:$C$26,0)*_xlfn.XLOOKUP($I99,Assumptions!$B$30:$B$50,Assumptions!$C$30:$C$50,0),0)))</f>
        <v>6</v>
      </c>
      <c r="T99" s="16" t="str">
        <f>IF($C99&lt;&gt;"Organisation","",IF(OR($P99&lt;&gt;"",$Q99&lt;&gt;""),"Documented in source - midpoint of annual_intake_low/high",IF($I99="","No confirmed programme - modelled as zero",$N99&amp;" base x "&amp;TEXT(_xlfn.XLOOKUP($G99,Assumptions!$B$13:$B$26,Assumptions!$C$13:$C$26,0),"0.0#")&amp;" sector x "&amp;TEXT(_xlfn.XLOOKUP($I99,Assumptions!$B$30:$B$50,Assumptions!$C$30:$C$50,0),"0.0#")&amp;" mechanism")))</f>
        <v>Boutique base x 0.8 sector x 1.0 mechanism</v>
      </c>
      <c r="U99" s="13" t="s">
        <v>230</v>
      </c>
      <c r="V99" s="13" t="s">
        <v>231</v>
      </c>
      <c r="W99" s="13" t="s">
        <v>80</v>
      </c>
      <c r="X99" s="13"/>
    </row>
    <row r="100" spans="1:24" x14ac:dyDescent="0.2">
      <c r="A100" s="13" t="s">
        <v>261</v>
      </c>
      <c r="B100" s="13" t="s">
        <v>262</v>
      </c>
      <c r="C100" s="13" t="s">
        <v>205</v>
      </c>
      <c r="D100" s="13" t="s">
        <v>23</v>
      </c>
      <c r="E100" s="13" t="s">
        <v>35</v>
      </c>
      <c r="F100" s="13" t="s">
        <v>78</v>
      </c>
      <c r="G100" s="13" t="s">
        <v>166</v>
      </c>
      <c r="H100" s="13" t="s">
        <v>236</v>
      </c>
      <c r="I100" s="13" t="s">
        <v>191</v>
      </c>
      <c r="J100" s="13" t="s">
        <v>243</v>
      </c>
      <c r="K100" s="19" t="s">
        <v>1815</v>
      </c>
      <c r="L100" s="17"/>
      <c r="M100" s="17"/>
      <c r="N100" s="13" t="s">
        <v>244</v>
      </c>
      <c r="O100" s="13" t="s">
        <v>209</v>
      </c>
      <c r="P100" s="16"/>
      <c r="Q100" s="16"/>
      <c r="R100" s="16"/>
      <c r="S100" s="21">
        <f>IF($C100&lt;&gt;"Organisation","",IF(OR($P100&lt;&gt;"",$Q100&lt;&gt;""),IF($P100&lt;&gt;"",IF($Q100&lt;&gt;"",($P100+$Q100)/2,$P100),$Q100),ROUND(_xlfn.XLOOKUP($N100,Assumptions!$B$5:$B$9,Assumptions!$C$5:$C$9,0)*_xlfn.XLOOKUP($G100,Assumptions!$B$13:$B$26,Assumptions!$C$13:$C$26,0)*_xlfn.XLOOKUP($I100,Assumptions!$B$30:$B$50,Assumptions!$C$30:$C$50,0),0)))</f>
        <v>24</v>
      </c>
      <c r="T100" s="16" t="str">
        <f>IF($C100&lt;&gt;"Organisation","",IF(OR($P100&lt;&gt;"",$Q100&lt;&gt;""),"Documented in source - midpoint of annual_intake_low/high",IF($I100="","No confirmed programme - modelled as zero",$N100&amp;" base x "&amp;TEXT(_xlfn.XLOOKUP($G100,Assumptions!$B$13:$B$26,Assumptions!$C$13:$C$26,0),"0.0#")&amp;" sector x "&amp;TEXT(_xlfn.XLOOKUP($I100,Assumptions!$B$30:$B$50,Assumptions!$C$30:$C$50,0),"0.0#")&amp;" mechanism")))</f>
        <v>Mid base x 0.8 sector x 1.0 mechanism</v>
      </c>
      <c r="U100" s="13" t="s">
        <v>222</v>
      </c>
      <c r="V100" s="13" t="s">
        <v>223</v>
      </c>
      <c r="W100" s="13" t="s">
        <v>80</v>
      </c>
      <c r="X100" s="13"/>
    </row>
    <row r="101" spans="1:24" x14ac:dyDescent="0.2">
      <c r="A101" s="13" t="s">
        <v>263</v>
      </c>
      <c r="B101" s="13" t="s">
        <v>264</v>
      </c>
      <c r="C101" s="13" t="s">
        <v>205</v>
      </c>
      <c r="D101" s="13" t="s">
        <v>23</v>
      </c>
      <c r="E101" s="13" t="s">
        <v>35</v>
      </c>
      <c r="F101" s="13" t="s">
        <v>82</v>
      </c>
      <c r="G101" s="13" t="s">
        <v>166</v>
      </c>
      <c r="H101" s="13" t="s">
        <v>265</v>
      </c>
      <c r="I101" s="13" t="s">
        <v>191</v>
      </c>
      <c r="J101" s="13" t="s">
        <v>243</v>
      </c>
      <c r="K101" s="19" t="s">
        <v>1815</v>
      </c>
      <c r="L101" s="17"/>
      <c r="M101" s="17"/>
      <c r="N101" s="13" t="s">
        <v>244</v>
      </c>
      <c r="O101" s="13" t="s">
        <v>209</v>
      </c>
      <c r="P101" s="16"/>
      <c r="Q101" s="16"/>
      <c r="R101" s="16"/>
      <c r="S101" s="21">
        <f>IF($C101&lt;&gt;"Organisation","",IF(OR($P101&lt;&gt;"",$Q101&lt;&gt;""),IF($P101&lt;&gt;"",IF($Q101&lt;&gt;"",($P101+$Q101)/2,$P101),$Q101),ROUND(_xlfn.XLOOKUP($N101,Assumptions!$B$5:$B$9,Assumptions!$C$5:$C$9,0)*_xlfn.XLOOKUP($G101,Assumptions!$B$13:$B$26,Assumptions!$C$13:$C$26,0)*_xlfn.XLOOKUP($I101,Assumptions!$B$30:$B$50,Assumptions!$C$30:$C$50,0),0)))</f>
        <v>24</v>
      </c>
      <c r="T101" s="16" t="str">
        <f>IF($C101&lt;&gt;"Organisation","",IF(OR($P101&lt;&gt;"",$Q101&lt;&gt;""),"Documented in source - midpoint of annual_intake_low/high",IF($I101="","No confirmed programme - modelled as zero",$N101&amp;" base x "&amp;TEXT(_xlfn.XLOOKUP($G101,Assumptions!$B$13:$B$26,Assumptions!$C$13:$C$26,0),"0.0#")&amp;" sector x "&amp;TEXT(_xlfn.XLOOKUP($I101,Assumptions!$B$30:$B$50,Assumptions!$C$30:$C$50,0),"0.0#")&amp;" mechanism")))</f>
        <v>Mid base x 0.8 sector x 1.0 mechanism</v>
      </c>
      <c r="U101" s="13" t="s">
        <v>222</v>
      </c>
      <c r="V101" s="13" t="s">
        <v>223</v>
      </c>
      <c r="W101" s="13" t="s">
        <v>80</v>
      </c>
      <c r="X101" s="13"/>
    </row>
    <row r="102" spans="1:24" x14ac:dyDescent="0.2">
      <c r="A102" s="13" t="s">
        <v>266</v>
      </c>
      <c r="B102" s="13" t="s">
        <v>267</v>
      </c>
      <c r="C102" s="13" t="s">
        <v>205</v>
      </c>
      <c r="D102" s="13" t="s">
        <v>23</v>
      </c>
      <c r="E102" s="13" t="s">
        <v>35</v>
      </c>
      <c r="F102" s="13" t="s">
        <v>96</v>
      </c>
      <c r="G102" s="13" t="s">
        <v>166</v>
      </c>
      <c r="H102" s="13" t="s">
        <v>265</v>
      </c>
      <c r="I102" s="13" t="s">
        <v>191</v>
      </c>
      <c r="J102" s="13" t="s">
        <v>243</v>
      </c>
      <c r="K102" s="19" t="s">
        <v>1815</v>
      </c>
      <c r="L102" s="17"/>
      <c r="M102" s="17"/>
      <c r="N102" s="13" t="s">
        <v>244</v>
      </c>
      <c r="O102" s="13" t="s">
        <v>209</v>
      </c>
      <c r="P102" s="16"/>
      <c r="Q102" s="16"/>
      <c r="R102" s="16"/>
      <c r="S102" s="21">
        <f>IF($C102&lt;&gt;"Organisation","",IF(OR($P102&lt;&gt;"",$Q102&lt;&gt;""),IF($P102&lt;&gt;"",IF($Q102&lt;&gt;"",($P102+$Q102)/2,$P102),$Q102),ROUND(_xlfn.XLOOKUP($N102,Assumptions!$B$5:$B$9,Assumptions!$C$5:$C$9,0)*_xlfn.XLOOKUP($G102,Assumptions!$B$13:$B$26,Assumptions!$C$13:$C$26,0)*_xlfn.XLOOKUP($I102,Assumptions!$B$30:$B$50,Assumptions!$C$30:$C$50,0),0)))</f>
        <v>24</v>
      </c>
      <c r="T102" s="16" t="str">
        <f>IF($C102&lt;&gt;"Organisation","",IF(OR($P102&lt;&gt;"",$Q102&lt;&gt;""),"Documented in source - midpoint of annual_intake_low/high",IF($I102="","No confirmed programme - modelled as zero",$N102&amp;" base x "&amp;TEXT(_xlfn.XLOOKUP($G102,Assumptions!$B$13:$B$26,Assumptions!$C$13:$C$26,0),"0.0#")&amp;" sector x "&amp;TEXT(_xlfn.XLOOKUP($I102,Assumptions!$B$30:$B$50,Assumptions!$C$30:$C$50,0),"0.0#")&amp;" mechanism")))</f>
        <v>Mid base x 0.8 sector x 1.0 mechanism</v>
      </c>
      <c r="U102" s="13" t="s">
        <v>222</v>
      </c>
      <c r="V102" s="13" t="s">
        <v>223</v>
      </c>
      <c r="W102" s="13" t="s">
        <v>80</v>
      </c>
      <c r="X102" s="13"/>
    </row>
    <row r="103" spans="1:24" x14ac:dyDescent="0.2">
      <c r="A103" s="13" t="s">
        <v>268</v>
      </c>
      <c r="B103" s="13" t="s">
        <v>269</v>
      </c>
      <c r="C103" s="13" t="s">
        <v>205</v>
      </c>
      <c r="D103" s="13" t="s">
        <v>23</v>
      </c>
      <c r="E103" s="13" t="s">
        <v>35</v>
      </c>
      <c r="F103" s="13" t="s">
        <v>78</v>
      </c>
      <c r="G103" s="13" t="s">
        <v>166</v>
      </c>
      <c r="H103" s="13" t="s">
        <v>270</v>
      </c>
      <c r="I103" s="13" t="s">
        <v>191</v>
      </c>
      <c r="J103" s="13" t="s">
        <v>243</v>
      </c>
      <c r="K103" s="19" t="s">
        <v>1815</v>
      </c>
      <c r="L103" s="17"/>
      <c r="M103" s="17"/>
      <c r="N103" s="13" t="s">
        <v>244</v>
      </c>
      <c r="O103" s="13" t="s">
        <v>209</v>
      </c>
      <c r="P103" s="16"/>
      <c r="Q103" s="16"/>
      <c r="R103" s="16"/>
      <c r="S103" s="21">
        <f>IF($C103&lt;&gt;"Organisation","",IF(OR($P103&lt;&gt;"",$Q103&lt;&gt;""),IF($P103&lt;&gt;"",IF($Q103&lt;&gt;"",($P103+$Q103)/2,$P103),$Q103),ROUND(_xlfn.XLOOKUP($N103,Assumptions!$B$5:$B$9,Assumptions!$C$5:$C$9,0)*_xlfn.XLOOKUP($G103,Assumptions!$B$13:$B$26,Assumptions!$C$13:$C$26,0)*_xlfn.XLOOKUP($I103,Assumptions!$B$30:$B$50,Assumptions!$C$30:$C$50,0),0)))</f>
        <v>24</v>
      </c>
      <c r="T103" s="16" t="str">
        <f>IF($C103&lt;&gt;"Organisation","",IF(OR($P103&lt;&gt;"",$Q103&lt;&gt;""),"Documented in source - midpoint of annual_intake_low/high",IF($I103="","No confirmed programme - modelled as zero",$N103&amp;" base x "&amp;TEXT(_xlfn.XLOOKUP($G103,Assumptions!$B$13:$B$26,Assumptions!$C$13:$C$26,0),"0.0#")&amp;" sector x "&amp;TEXT(_xlfn.XLOOKUP($I103,Assumptions!$B$30:$B$50,Assumptions!$C$30:$C$50,0),"0.0#")&amp;" mechanism")))</f>
        <v>Mid base x 0.8 sector x 1.0 mechanism</v>
      </c>
      <c r="U103" s="13" t="s">
        <v>222</v>
      </c>
      <c r="V103" s="13" t="s">
        <v>223</v>
      </c>
      <c r="W103" s="13" t="s">
        <v>80</v>
      </c>
      <c r="X103" s="13"/>
    </row>
    <row r="104" spans="1:24" x14ac:dyDescent="0.2">
      <c r="A104" s="13" t="s">
        <v>271</v>
      </c>
      <c r="B104" s="13" t="s">
        <v>272</v>
      </c>
      <c r="C104" s="13" t="s">
        <v>205</v>
      </c>
      <c r="D104" s="13" t="s">
        <v>23</v>
      </c>
      <c r="E104" s="13" t="s">
        <v>35</v>
      </c>
      <c r="F104" s="13" t="s">
        <v>78</v>
      </c>
      <c r="G104" s="13" t="s">
        <v>168</v>
      </c>
      <c r="H104" s="13" t="s">
        <v>273</v>
      </c>
      <c r="I104" s="13" t="s">
        <v>191</v>
      </c>
      <c r="J104" s="13" t="s">
        <v>274</v>
      </c>
      <c r="K104" s="19" t="s">
        <v>1815</v>
      </c>
      <c r="L104" s="17"/>
      <c r="M104" s="17"/>
      <c r="N104" s="13" t="s">
        <v>244</v>
      </c>
      <c r="O104" s="13" t="s">
        <v>209</v>
      </c>
      <c r="P104" s="16"/>
      <c r="Q104" s="16"/>
      <c r="R104" s="16"/>
      <c r="S104" s="21">
        <f>IF($C104&lt;&gt;"Organisation","",IF(OR($P104&lt;&gt;"",$Q104&lt;&gt;""),IF($P104&lt;&gt;"",IF($Q104&lt;&gt;"",($P104+$Q104)/2,$P104),$Q104),ROUND(_xlfn.XLOOKUP($N104,Assumptions!$B$5:$B$9,Assumptions!$C$5:$C$9,0)*_xlfn.XLOOKUP($G104,Assumptions!$B$13:$B$26,Assumptions!$C$13:$C$26,0)*_xlfn.XLOOKUP($I104,Assumptions!$B$30:$B$50,Assumptions!$C$30:$C$50,0),0)))</f>
        <v>60</v>
      </c>
      <c r="T104" s="16" t="str">
        <f>IF($C104&lt;&gt;"Organisation","",IF(OR($P104&lt;&gt;"",$Q104&lt;&gt;""),"Documented in source - midpoint of annual_intake_low/high",IF($I104="","No confirmed programme - modelled as zero",$N104&amp;" base x "&amp;TEXT(_xlfn.XLOOKUP($G104,Assumptions!$B$13:$B$26,Assumptions!$C$13:$C$26,0),"0.0#")&amp;" sector x "&amp;TEXT(_xlfn.XLOOKUP($I104,Assumptions!$B$30:$B$50,Assumptions!$C$30:$C$50,0),"0.0#")&amp;" mechanism")))</f>
        <v>Mid base x 2.0 sector x 1.0 mechanism</v>
      </c>
      <c r="U104" s="13" t="s">
        <v>210</v>
      </c>
      <c r="V104" s="13" t="s">
        <v>211</v>
      </c>
      <c r="W104" s="13" t="s">
        <v>80</v>
      </c>
      <c r="X104" s="13"/>
    </row>
    <row r="105" spans="1:24" x14ac:dyDescent="0.2">
      <c r="A105" s="13" t="s">
        <v>275</v>
      </c>
      <c r="B105" s="13" t="s">
        <v>276</v>
      </c>
      <c r="C105" s="13" t="s">
        <v>205</v>
      </c>
      <c r="D105" s="13" t="s">
        <v>23</v>
      </c>
      <c r="E105" s="13" t="s">
        <v>35</v>
      </c>
      <c r="F105" s="13" t="s">
        <v>90</v>
      </c>
      <c r="G105" s="13" t="s">
        <v>168</v>
      </c>
      <c r="H105" s="13" t="s">
        <v>273</v>
      </c>
      <c r="I105" s="13" t="s">
        <v>191</v>
      </c>
      <c r="J105" s="13" t="s">
        <v>277</v>
      </c>
      <c r="K105" s="19" t="s">
        <v>1815</v>
      </c>
      <c r="L105" s="17"/>
      <c r="M105" s="17"/>
      <c r="N105" s="13" t="s">
        <v>244</v>
      </c>
      <c r="O105" s="13" t="s">
        <v>209</v>
      </c>
      <c r="P105" s="16"/>
      <c r="Q105" s="16">
        <v>300</v>
      </c>
      <c r="R105" s="16">
        <v>108000</v>
      </c>
      <c r="S105" s="21">
        <f>IF($C105&lt;&gt;"Organisation","",IF(OR($P105&lt;&gt;"",$Q105&lt;&gt;""),IF($P105&lt;&gt;"",IF($Q105&lt;&gt;"",($P105+$Q105)/2,$P105),$Q105),ROUND(_xlfn.XLOOKUP($N105,Assumptions!$B$5:$B$9,Assumptions!$C$5:$C$9,0)*_xlfn.XLOOKUP($G105,Assumptions!$B$13:$B$26,Assumptions!$C$13:$C$26,0)*_xlfn.XLOOKUP($I105,Assumptions!$B$30:$B$50,Assumptions!$C$30:$C$50,0),0)))</f>
        <v>300</v>
      </c>
      <c r="T105" s="16" t="str">
        <f>IF($C105&lt;&gt;"Organisation","",IF(OR($P105&lt;&gt;"",$Q105&lt;&gt;""),"Documented in source - midpoint of annual_intake_low/high",IF($I105="","No confirmed programme - modelled as zero",$N105&amp;" base x "&amp;TEXT(_xlfn.XLOOKUP($G105,Assumptions!$B$13:$B$26,Assumptions!$C$13:$C$26,0),"0.0#")&amp;" sector x "&amp;TEXT(_xlfn.XLOOKUP($I105,Assumptions!$B$30:$B$50,Assumptions!$C$30:$C$50,0),"0.0#")&amp;" mechanism")))</f>
        <v>Documented in source - midpoint of annual_intake_low/high</v>
      </c>
      <c r="U105" s="13" t="s">
        <v>222</v>
      </c>
      <c r="V105" s="13" t="s">
        <v>223</v>
      </c>
      <c r="W105" s="13" t="s">
        <v>80</v>
      </c>
      <c r="X105" s="13" t="s">
        <v>278</v>
      </c>
    </row>
    <row r="106" spans="1:24" x14ac:dyDescent="0.2">
      <c r="A106" s="13" t="s">
        <v>279</v>
      </c>
      <c r="B106" s="13" t="s">
        <v>280</v>
      </c>
      <c r="C106" s="13" t="s">
        <v>205</v>
      </c>
      <c r="D106" s="13" t="s">
        <v>23</v>
      </c>
      <c r="E106" s="13" t="s">
        <v>35</v>
      </c>
      <c r="F106" s="13" t="s">
        <v>78</v>
      </c>
      <c r="G106" s="13" t="s">
        <v>168</v>
      </c>
      <c r="H106" s="13" t="s">
        <v>273</v>
      </c>
      <c r="I106" s="13" t="s">
        <v>191</v>
      </c>
      <c r="J106" s="13" t="s">
        <v>277</v>
      </c>
      <c r="K106" s="19" t="s">
        <v>1815</v>
      </c>
      <c r="L106" s="17"/>
      <c r="M106" s="17"/>
      <c r="N106" s="13" t="s">
        <v>244</v>
      </c>
      <c r="O106" s="13" t="s">
        <v>209</v>
      </c>
      <c r="P106" s="16"/>
      <c r="Q106" s="16"/>
      <c r="R106" s="16"/>
      <c r="S106" s="21">
        <f>IF($C106&lt;&gt;"Organisation","",IF(OR($P106&lt;&gt;"",$Q106&lt;&gt;""),IF($P106&lt;&gt;"",IF($Q106&lt;&gt;"",($P106+$Q106)/2,$P106),$Q106),ROUND(_xlfn.XLOOKUP($N106,Assumptions!$B$5:$B$9,Assumptions!$C$5:$C$9,0)*_xlfn.XLOOKUP($G106,Assumptions!$B$13:$B$26,Assumptions!$C$13:$C$26,0)*_xlfn.XLOOKUP($I106,Assumptions!$B$30:$B$50,Assumptions!$C$30:$C$50,0),0)))</f>
        <v>60</v>
      </c>
      <c r="T106" s="16" t="str">
        <f>IF($C106&lt;&gt;"Organisation","",IF(OR($P106&lt;&gt;"",$Q106&lt;&gt;""),"Documented in source - midpoint of annual_intake_low/high",IF($I106="","No confirmed programme - modelled as zero",$N106&amp;" base x "&amp;TEXT(_xlfn.XLOOKUP($G106,Assumptions!$B$13:$B$26,Assumptions!$C$13:$C$26,0),"0.0#")&amp;" sector x "&amp;TEXT(_xlfn.XLOOKUP($I106,Assumptions!$B$30:$B$50,Assumptions!$C$30:$C$50,0),"0.0#")&amp;" mechanism")))</f>
        <v>Mid base x 2.0 sector x 1.0 mechanism</v>
      </c>
      <c r="U106" s="13" t="s">
        <v>222</v>
      </c>
      <c r="V106" s="13" t="s">
        <v>223</v>
      </c>
      <c r="W106" s="13" t="s">
        <v>80</v>
      </c>
      <c r="X106" s="13"/>
    </row>
    <row r="107" spans="1:24" x14ac:dyDescent="0.2">
      <c r="A107" s="13" t="s">
        <v>281</v>
      </c>
      <c r="B107" s="13" t="s">
        <v>282</v>
      </c>
      <c r="C107" s="13" t="s">
        <v>205</v>
      </c>
      <c r="D107" s="13" t="s">
        <v>23</v>
      </c>
      <c r="E107" s="13" t="s">
        <v>35</v>
      </c>
      <c r="F107" s="13" t="s">
        <v>82</v>
      </c>
      <c r="G107" s="13" t="s">
        <v>168</v>
      </c>
      <c r="H107" s="13" t="s">
        <v>273</v>
      </c>
      <c r="I107" s="13" t="s">
        <v>191</v>
      </c>
      <c r="J107" s="13" t="s">
        <v>277</v>
      </c>
      <c r="K107" s="19" t="s">
        <v>1815</v>
      </c>
      <c r="L107" s="17"/>
      <c r="M107" s="17"/>
      <c r="N107" s="13" t="s">
        <v>236</v>
      </c>
      <c r="O107" s="13" t="s">
        <v>209</v>
      </c>
      <c r="P107" s="16"/>
      <c r="Q107" s="16"/>
      <c r="R107" s="16"/>
      <c r="S107" s="21">
        <f>IF($C107&lt;&gt;"Organisation","",IF(OR($P107&lt;&gt;"",$Q107&lt;&gt;""),IF($P107&lt;&gt;"",IF($Q107&lt;&gt;"",($P107+$Q107)/2,$P107),$Q107),ROUND(_xlfn.XLOOKUP($N107,Assumptions!$B$5:$B$9,Assumptions!$C$5:$C$9,0)*_xlfn.XLOOKUP($G107,Assumptions!$B$13:$B$26,Assumptions!$C$13:$C$26,0)*_xlfn.XLOOKUP($I107,Assumptions!$B$30:$B$50,Assumptions!$C$30:$C$50,0),0)))</f>
        <v>16</v>
      </c>
      <c r="T107" s="16" t="str">
        <f>IF($C107&lt;&gt;"Organisation","",IF(OR($P107&lt;&gt;"",$Q107&lt;&gt;""),"Documented in source - midpoint of annual_intake_low/high",IF($I107="","No confirmed programme - modelled as zero",$N107&amp;" base x "&amp;TEXT(_xlfn.XLOOKUP($G107,Assumptions!$B$13:$B$26,Assumptions!$C$13:$C$26,0),"0.0#")&amp;" sector x "&amp;TEXT(_xlfn.XLOOKUP($I107,Assumptions!$B$30:$B$50,Assumptions!$C$30:$C$50,0),"0.0#")&amp;" mechanism")))</f>
        <v>Boutique base x 2.0 sector x 1.0 mechanism</v>
      </c>
      <c r="U107" s="13" t="s">
        <v>222</v>
      </c>
      <c r="V107" s="13" t="s">
        <v>223</v>
      </c>
      <c r="W107" s="13" t="s">
        <v>80</v>
      </c>
      <c r="X107" s="13"/>
    </row>
    <row r="108" spans="1:24" x14ac:dyDescent="0.2">
      <c r="A108" s="13" t="s">
        <v>283</v>
      </c>
      <c r="B108" s="13" t="s">
        <v>284</v>
      </c>
      <c r="C108" s="13" t="s">
        <v>205</v>
      </c>
      <c r="D108" s="13" t="s">
        <v>23</v>
      </c>
      <c r="E108" s="13" t="s">
        <v>35</v>
      </c>
      <c r="F108" s="13" t="s">
        <v>78</v>
      </c>
      <c r="G108" s="13" t="s">
        <v>168</v>
      </c>
      <c r="H108" s="13" t="s">
        <v>273</v>
      </c>
      <c r="I108" s="13" t="s">
        <v>191</v>
      </c>
      <c r="J108" s="13" t="s">
        <v>277</v>
      </c>
      <c r="K108" s="19" t="s">
        <v>1815</v>
      </c>
      <c r="L108" s="17"/>
      <c r="M108" s="17"/>
      <c r="N108" s="13" t="s">
        <v>244</v>
      </c>
      <c r="O108" s="13" t="s">
        <v>209</v>
      </c>
      <c r="P108" s="16"/>
      <c r="Q108" s="16"/>
      <c r="R108" s="16"/>
      <c r="S108" s="21">
        <f>IF($C108&lt;&gt;"Organisation","",IF(OR($P108&lt;&gt;"",$Q108&lt;&gt;""),IF($P108&lt;&gt;"",IF($Q108&lt;&gt;"",($P108+$Q108)/2,$P108),$Q108),ROUND(_xlfn.XLOOKUP($N108,Assumptions!$B$5:$B$9,Assumptions!$C$5:$C$9,0)*_xlfn.XLOOKUP($G108,Assumptions!$B$13:$B$26,Assumptions!$C$13:$C$26,0)*_xlfn.XLOOKUP($I108,Assumptions!$B$30:$B$50,Assumptions!$C$30:$C$50,0),0)))</f>
        <v>60</v>
      </c>
      <c r="T108" s="16" t="str">
        <f>IF($C108&lt;&gt;"Organisation","",IF(OR($P108&lt;&gt;"",$Q108&lt;&gt;""),"Documented in source - midpoint of annual_intake_low/high",IF($I108="","No confirmed programme - modelled as zero",$N108&amp;" base x "&amp;TEXT(_xlfn.XLOOKUP($G108,Assumptions!$B$13:$B$26,Assumptions!$C$13:$C$26,0),"0.0#")&amp;" sector x "&amp;TEXT(_xlfn.XLOOKUP($I108,Assumptions!$B$30:$B$50,Assumptions!$C$30:$C$50,0),"0.0#")&amp;" mechanism")))</f>
        <v>Mid base x 2.0 sector x 1.0 mechanism</v>
      </c>
      <c r="U108" s="13" t="s">
        <v>222</v>
      </c>
      <c r="V108" s="13" t="s">
        <v>223</v>
      </c>
      <c r="W108" s="13" t="s">
        <v>80</v>
      </c>
      <c r="X108" s="13"/>
    </row>
    <row r="109" spans="1:24" x14ac:dyDescent="0.2">
      <c r="A109" s="13" t="s">
        <v>285</v>
      </c>
      <c r="B109" s="13" t="s">
        <v>286</v>
      </c>
      <c r="C109" s="13" t="s">
        <v>205</v>
      </c>
      <c r="D109" s="13" t="s">
        <v>23</v>
      </c>
      <c r="E109" s="13" t="s">
        <v>35</v>
      </c>
      <c r="F109" s="13" t="s">
        <v>94</v>
      </c>
      <c r="G109" s="13" t="s">
        <v>168</v>
      </c>
      <c r="H109" s="13" t="s">
        <v>273</v>
      </c>
      <c r="I109" s="13" t="s">
        <v>191</v>
      </c>
      <c r="J109" s="13" t="s">
        <v>277</v>
      </c>
      <c r="K109" s="19" t="s">
        <v>1815</v>
      </c>
      <c r="L109" s="17"/>
      <c r="M109" s="17"/>
      <c r="N109" s="13" t="s">
        <v>244</v>
      </c>
      <c r="O109" s="13" t="s">
        <v>209</v>
      </c>
      <c r="P109" s="16"/>
      <c r="Q109" s="16"/>
      <c r="R109" s="16"/>
      <c r="S109" s="21">
        <f>IF($C109&lt;&gt;"Organisation","",IF(OR($P109&lt;&gt;"",$Q109&lt;&gt;""),IF($P109&lt;&gt;"",IF($Q109&lt;&gt;"",($P109+$Q109)/2,$P109),$Q109),ROUND(_xlfn.XLOOKUP($N109,Assumptions!$B$5:$B$9,Assumptions!$C$5:$C$9,0)*_xlfn.XLOOKUP($G109,Assumptions!$B$13:$B$26,Assumptions!$C$13:$C$26,0)*_xlfn.XLOOKUP($I109,Assumptions!$B$30:$B$50,Assumptions!$C$30:$C$50,0),0)))</f>
        <v>60</v>
      </c>
      <c r="T109" s="16" t="str">
        <f>IF($C109&lt;&gt;"Organisation","",IF(OR($P109&lt;&gt;"",$Q109&lt;&gt;""),"Documented in source - midpoint of annual_intake_low/high",IF($I109="","No confirmed programme - modelled as zero",$N109&amp;" base x "&amp;TEXT(_xlfn.XLOOKUP($G109,Assumptions!$B$13:$B$26,Assumptions!$C$13:$C$26,0),"0.0#")&amp;" sector x "&amp;TEXT(_xlfn.XLOOKUP($I109,Assumptions!$B$30:$B$50,Assumptions!$C$30:$C$50,0),"0.0#")&amp;" mechanism")))</f>
        <v>Mid base x 2.0 sector x 1.0 mechanism</v>
      </c>
      <c r="U109" s="13" t="s">
        <v>222</v>
      </c>
      <c r="V109" s="13" t="s">
        <v>223</v>
      </c>
      <c r="W109" s="13" t="s">
        <v>80</v>
      </c>
      <c r="X109" s="13"/>
    </row>
    <row r="110" spans="1:24" x14ac:dyDescent="0.2">
      <c r="A110" s="13" t="s">
        <v>287</v>
      </c>
      <c r="B110" s="13" t="s">
        <v>288</v>
      </c>
      <c r="C110" s="13" t="s">
        <v>205</v>
      </c>
      <c r="D110" s="13" t="s">
        <v>23</v>
      </c>
      <c r="E110" s="13" t="s">
        <v>35</v>
      </c>
      <c r="F110" s="13" t="s">
        <v>96</v>
      </c>
      <c r="G110" s="13" t="s">
        <v>170</v>
      </c>
      <c r="H110" s="13" t="s">
        <v>289</v>
      </c>
      <c r="I110" s="13" t="s">
        <v>191</v>
      </c>
      <c r="K110" s="19" t="s">
        <v>1815</v>
      </c>
      <c r="L110" s="17"/>
      <c r="M110" s="17"/>
      <c r="N110" s="13" t="s">
        <v>208</v>
      </c>
      <c r="O110" s="13" t="s">
        <v>209</v>
      </c>
      <c r="P110" s="16"/>
      <c r="Q110" s="16"/>
      <c r="R110" s="16"/>
      <c r="S110" s="21">
        <f>IF($C110&lt;&gt;"Organisation","",IF(OR($P110&lt;&gt;"",$Q110&lt;&gt;""),IF($P110&lt;&gt;"",IF($Q110&lt;&gt;"",($P110+$Q110)/2,$P110),$Q110),ROUND(_xlfn.XLOOKUP($N110,Assumptions!$B$5:$B$9,Assumptions!$C$5:$C$9,0)*_xlfn.XLOOKUP($G110,Assumptions!$B$13:$B$26,Assumptions!$C$13:$C$26,0)*_xlfn.XLOOKUP($I110,Assumptions!$B$30:$B$50,Assumptions!$C$30:$C$50,0),0)))</f>
        <v>120</v>
      </c>
      <c r="T110" s="16" t="str">
        <f>IF($C110&lt;&gt;"Organisation","",IF(OR($P110&lt;&gt;"",$Q110&lt;&gt;""),"Documented in source - midpoint of annual_intake_low/high",IF($I110="","No confirmed programme - modelled as zero",$N110&amp;" base x "&amp;TEXT(_xlfn.XLOOKUP($G110,Assumptions!$B$13:$B$26,Assumptions!$C$13:$C$26,0),"0.0#")&amp;" sector x "&amp;TEXT(_xlfn.XLOOKUP($I110,Assumptions!$B$30:$B$50,Assumptions!$C$30:$C$50,0),"0.0#")&amp;" mechanism")))</f>
        <v>Large base x 1.0 sector x 1.0 mechanism</v>
      </c>
      <c r="U110" s="13" t="s">
        <v>230</v>
      </c>
      <c r="V110" s="13" t="s">
        <v>231</v>
      </c>
      <c r="W110" s="13" t="s">
        <v>80</v>
      </c>
      <c r="X110" s="13"/>
    </row>
    <row r="111" spans="1:24" x14ac:dyDescent="0.2">
      <c r="A111" s="13" t="s">
        <v>290</v>
      </c>
      <c r="B111" s="13" t="s">
        <v>291</v>
      </c>
      <c r="C111" s="13" t="s">
        <v>205</v>
      </c>
      <c r="D111" s="13" t="s">
        <v>23</v>
      </c>
      <c r="E111" s="13" t="s">
        <v>35</v>
      </c>
      <c r="F111" s="13" t="s">
        <v>96</v>
      </c>
      <c r="G111" s="13" t="s">
        <v>170</v>
      </c>
      <c r="H111" s="13" t="s">
        <v>289</v>
      </c>
      <c r="I111" s="13" t="s">
        <v>191</v>
      </c>
      <c r="J111" s="13" t="s">
        <v>292</v>
      </c>
      <c r="K111" s="19" t="s">
        <v>1815</v>
      </c>
      <c r="L111" s="17"/>
      <c r="M111" s="17"/>
      <c r="N111" s="13" t="s">
        <v>208</v>
      </c>
      <c r="O111" s="13" t="s">
        <v>209</v>
      </c>
      <c r="P111" s="16"/>
      <c r="Q111" s="16"/>
      <c r="R111" s="16"/>
      <c r="S111" s="21">
        <f>IF($C111&lt;&gt;"Organisation","",IF(OR($P111&lt;&gt;"",$Q111&lt;&gt;""),IF($P111&lt;&gt;"",IF($Q111&lt;&gt;"",($P111+$Q111)/2,$P111),$Q111),ROUND(_xlfn.XLOOKUP($N111,Assumptions!$B$5:$B$9,Assumptions!$C$5:$C$9,0)*_xlfn.XLOOKUP($G111,Assumptions!$B$13:$B$26,Assumptions!$C$13:$C$26,0)*_xlfn.XLOOKUP($I111,Assumptions!$B$30:$B$50,Assumptions!$C$30:$C$50,0),0)))</f>
        <v>120</v>
      </c>
      <c r="T111" s="16" t="str">
        <f>IF($C111&lt;&gt;"Organisation","",IF(OR($P111&lt;&gt;"",$Q111&lt;&gt;""),"Documented in source - midpoint of annual_intake_low/high",IF($I111="","No confirmed programme - modelled as zero",$N111&amp;" base x "&amp;TEXT(_xlfn.XLOOKUP($G111,Assumptions!$B$13:$B$26,Assumptions!$C$13:$C$26,0),"0.0#")&amp;" sector x "&amp;TEXT(_xlfn.XLOOKUP($I111,Assumptions!$B$30:$B$50,Assumptions!$C$30:$C$50,0),"0.0#")&amp;" mechanism")))</f>
        <v>Large base x 1.0 sector x 1.0 mechanism</v>
      </c>
      <c r="U111" s="13" t="s">
        <v>230</v>
      </c>
      <c r="V111" s="13" t="s">
        <v>231</v>
      </c>
      <c r="W111" s="13" t="s">
        <v>80</v>
      </c>
      <c r="X111" s="13"/>
    </row>
    <row r="112" spans="1:24" x14ac:dyDescent="0.2">
      <c r="A112" s="13" t="s">
        <v>293</v>
      </c>
      <c r="B112" s="13" t="s">
        <v>294</v>
      </c>
      <c r="C112" s="13" t="s">
        <v>205</v>
      </c>
      <c r="D112" s="13" t="s">
        <v>23</v>
      </c>
      <c r="E112" s="13" t="s">
        <v>35</v>
      </c>
      <c r="F112" s="13" t="s">
        <v>86</v>
      </c>
      <c r="G112" s="13" t="s">
        <v>170</v>
      </c>
      <c r="H112" s="13" t="s">
        <v>289</v>
      </c>
      <c r="I112" s="13" t="s">
        <v>191</v>
      </c>
      <c r="J112" s="13" t="s">
        <v>295</v>
      </c>
      <c r="K112" s="19" t="s">
        <v>1815</v>
      </c>
      <c r="L112" s="17"/>
      <c r="M112" s="17"/>
      <c r="N112" s="13" t="s">
        <v>208</v>
      </c>
      <c r="O112" s="13" t="s">
        <v>209</v>
      </c>
      <c r="P112" s="16"/>
      <c r="Q112" s="16"/>
      <c r="R112" s="16"/>
      <c r="S112" s="21">
        <f>IF($C112&lt;&gt;"Organisation","",IF(OR($P112&lt;&gt;"",$Q112&lt;&gt;""),IF($P112&lt;&gt;"",IF($Q112&lt;&gt;"",($P112+$Q112)/2,$P112),$Q112),ROUND(_xlfn.XLOOKUP($N112,Assumptions!$B$5:$B$9,Assumptions!$C$5:$C$9,0)*_xlfn.XLOOKUP($G112,Assumptions!$B$13:$B$26,Assumptions!$C$13:$C$26,0)*_xlfn.XLOOKUP($I112,Assumptions!$B$30:$B$50,Assumptions!$C$30:$C$50,0),0)))</f>
        <v>120</v>
      </c>
      <c r="T112" s="16" t="str">
        <f>IF($C112&lt;&gt;"Organisation","",IF(OR($P112&lt;&gt;"",$Q112&lt;&gt;""),"Documented in source - midpoint of annual_intake_low/high",IF($I112="","No confirmed programme - modelled as zero",$N112&amp;" base x "&amp;TEXT(_xlfn.XLOOKUP($G112,Assumptions!$B$13:$B$26,Assumptions!$C$13:$C$26,0),"0.0#")&amp;" sector x "&amp;TEXT(_xlfn.XLOOKUP($I112,Assumptions!$B$30:$B$50,Assumptions!$C$30:$C$50,0),"0.0#")&amp;" mechanism")))</f>
        <v>Large base x 1.0 sector x 1.0 mechanism</v>
      </c>
      <c r="U112" s="13" t="s">
        <v>230</v>
      </c>
      <c r="V112" s="13" t="s">
        <v>231</v>
      </c>
      <c r="W112" s="13" t="s">
        <v>80</v>
      </c>
      <c r="X112" s="13"/>
    </row>
    <row r="113" spans="1:24" x14ac:dyDescent="0.2">
      <c r="A113" s="13" t="s">
        <v>296</v>
      </c>
      <c r="B113" s="13" t="s">
        <v>297</v>
      </c>
      <c r="C113" s="13" t="s">
        <v>205</v>
      </c>
      <c r="D113" s="13" t="s">
        <v>23</v>
      </c>
      <c r="E113" s="13" t="s">
        <v>35</v>
      </c>
      <c r="F113" s="13" t="s">
        <v>96</v>
      </c>
      <c r="G113" s="13" t="s">
        <v>170</v>
      </c>
      <c r="H113" s="13" t="s">
        <v>289</v>
      </c>
      <c r="I113" s="13" t="s">
        <v>191</v>
      </c>
      <c r="J113" s="13" t="s">
        <v>298</v>
      </c>
      <c r="K113" s="19" t="s">
        <v>1815</v>
      </c>
      <c r="L113" s="17"/>
      <c r="M113" s="17"/>
      <c r="N113" s="13" t="s">
        <v>208</v>
      </c>
      <c r="O113" s="13" t="s">
        <v>209</v>
      </c>
      <c r="P113" s="16"/>
      <c r="Q113" s="16"/>
      <c r="R113" s="16"/>
      <c r="S113" s="21">
        <f>IF($C113&lt;&gt;"Organisation","",IF(OR($P113&lt;&gt;"",$Q113&lt;&gt;""),IF($P113&lt;&gt;"",IF($Q113&lt;&gt;"",($P113+$Q113)/2,$P113),$Q113),ROUND(_xlfn.XLOOKUP($N113,Assumptions!$B$5:$B$9,Assumptions!$C$5:$C$9,0)*_xlfn.XLOOKUP($G113,Assumptions!$B$13:$B$26,Assumptions!$C$13:$C$26,0)*_xlfn.XLOOKUP($I113,Assumptions!$B$30:$B$50,Assumptions!$C$30:$C$50,0),0)))</f>
        <v>120</v>
      </c>
      <c r="T113" s="16" t="str">
        <f>IF($C113&lt;&gt;"Organisation","",IF(OR($P113&lt;&gt;"",$Q113&lt;&gt;""),"Documented in source - midpoint of annual_intake_low/high",IF($I113="","No confirmed programme - modelled as zero",$N113&amp;" base x "&amp;TEXT(_xlfn.XLOOKUP($G113,Assumptions!$B$13:$B$26,Assumptions!$C$13:$C$26,0),"0.0#")&amp;" sector x "&amp;TEXT(_xlfn.XLOOKUP($I113,Assumptions!$B$30:$B$50,Assumptions!$C$30:$C$50,0),"0.0#")&amp;" mechanism")))</f>
        <v>Large base x 1.0 sector x 1.0 mechanism</v>
      </c>
      <c r="U113" s="13" t="s">
        <v>230</v>
      </c>
      <c r="V113" s="13" t="s">
        <v>231</v>
      </c>
      <c r="W113" s="13" t="s">
        <v>80</v>
      </c>
      <c r="X113" s="13"/>
    </row>
    <row r="114" spans="1:24" x14ac:dyDescent="0.2">
      <c r="A114" s="13" t="s">
        <v>299</v>
      </c>
      <c r="B114" s="13" t="s">
        <v>300</v>
      </c>
      <c r="C114" s="13" t="s">
        <v>205</v>
      </c>
      <c r="D114" s="13" t="s">
        <v>23</v>
      </c>
      <c r="E114" s="13" t="s">
        <v>35</v>
      </c>
      <c r="F114" s="13" t="s">
        <v>96</v>
      </c>
      <c r="G114" s="13" t="s">
        <v>170</v>
      </c>
      <c r="H114" s="13" t="s">
        <v>289</v>
      </c>
      <c r="I114" s="13" t="s">
        <v>191</v>
      </c>
      <c r="K114" s="19" t="s">
        <v>1815</v>
      </c>
      <c r="L114" s="17"/>
      <c r="M114" s="17"/>
      <c r="N114" s="13" t="s">
        <v>244</v>
      </c>
      <c r="O114" s="13" t="s">
        <v>209</v>
      </c>
      <c r="P114" s="16"/>
      <c r="Q114" s="16"/>
      <c r="R114" s="16"/>
      <c r="S114" s="21">
        <f>IF($C114&lt;&gt;"Organisation","",IF(OR($P114&lt;&gt;"",$Q114&lt;&gt;""),IF($P114&lt;&gt;"",IF($Q114&lt;&gt;"",($P114+$Q114)/2,$P114),$Q114),ROUND(_xlfn.XLOOKUP($N114,Assumptions!$B$5:$B$9,Assumptions!$C$5:$C$9,0)*_xlfn.XLOOKUP($G114,Assumptions!$B$13:$B$26,Assumptions!$C$13:$C$26,0)*_xlfn.XLOOKUP($I114,Assumptions!$B$30:$B$50,Assumptions!$C$30:$C$50,0),0)))</f>
        <v>30</v>
      </c>
      <c r="T114" s="16" t="str">
        <f>IF($C114&lt;&gt;"Organisation","",IF(OR($P114&lt;&gt;"",$Q114&lt;&gt;""),"Documented in source - midpoint of annual_intake_low/high",IF($I114="","No confirmed programme - modelled as zero",$N114&amp;" base x "&amp;TEXT(_xlfn.XLOOKUP($G114,Assumptions!$B$13:$B$26,Assumptions!$C$13:$C$26,0),"0.0#")&amp;" sector x "&amp;TEXT(_xlfn.XLOOKUP($I114,Assumptions!$B$30:$B$50,Assumptions!$C$30:$C$50,0),"0.0#")&amp;" mechanism")))</f>
        <v>Mid base x 1.0 sector x 1.0 mechanism</v>
      </c>
      <c r="U114" s="13" t="s">
        <v>230</v>
      </c>
      <c r="V114" s="13" t="s">
        <v>231</v>
      </c>
      <c r="W114" s="13" t="s">
        <v>80</v>
      </c>
      <c r="X114" s="13"/>
    </row>
    <row r="115" spans="1:24" x14ac:dyDescent="0.2">
      <c r="A115" s="13" t="s">
        <v>301</v>
      </c>
      <c r="B115" s="13" t="s">
        <v>302</v>
      </c>
      <c r="C115" s="13" t="s">
        <v>205</v>
      </c>
      <c r="D115" s="13" t="s">
        <v>23</v>
      </c>
      <c r="E115" s="13" t="s">
        <v>35</v>
      </c>
      <c r="F115" s="13" t="s">
        <v>96</v>
      </c>
      <c r="G115" s="13" t="s">
        <v>170</v>
      </c>
      <c r="H115" s="13" t="s">
        <v>289</v>
      </c>
      <c r="I115" s="13" t="s">
        <v>191</v>
      </c>
      <c r="K115" s="19" t="s">
        <v>1815</v>
      </c>
      <c r="L115" s="17"/>
      <c r="M115" s="17"/>
      <c r="N115" s="13" t="s">
        <v>244</v>
      </c>
      <c r="O115" s="13" t="s">
        <v>209</v>
      </c>
      <c r="P115" s="16"/>
      <c r="Q115" s="16"/>
      <c r="R115" s="16"/>
      <c r="S115" s="21">
        <f>IF($C115&lt;&gt;"Organisation","",IF(OR($P115&lt;&gt;"",$Q115&lt;&gt;""),IF($P115&lt;&gt;"",IF($Q115&lt;&gt;"",($P115+$Q115)/2,$P115),$Q115),ROUND(_xlfn.XLOOKUP($N115,Assumptions!$B$5:$B$9,Assumptions!$C$5:$C$9,0)*_xlfn.XLOOKUP($G115,Assumptions!$B$13:$B$26,Assumptions!$C$13:$C$26,0)*_xlfn.XLOOKUP($I115,Assumptions!$B$30:$B$50,Assumptions!$C$30:$C$50,0),0)))</f>
        <v>30</v>
      </c>
      <c r="T115" s="16" t="str">
        <f>IF($C115&lt;&gt;"Organisation","",IF(OR($P115&lt;&gt;"",$Q115&lt;&gt;""),"Documented in source - midpoint of annual_intake_low/high",IF($I115="","No confirmed programme - modelled as zero",$N115&amp;" base x "&amp;TEXT(_xlfn.XLOOKUP($G115,Assumptions!$B$13:$B$26,Assumptions!$C$13:$C$26,0),"0.0#")&amp;" sector x "&amp;TEXT(_xlfn.XLOOKUP($I115,Assumptions!$B$30:$B$50,Assumptions!$C$30:$C$50,0),"0.0#")&amp;" mechanism")))</f>
        <v>Mid base x 1.0 sector x 1.0 mechanism</v>
      </c>
      <c r="U115" s="13" t="s">
        <v>230</v>
      </c>
      <c r="V115" s="13" t="s">
        <v>231</v>
      </c>
      <c r="W115" s="13" t="s">
        <v>80</v>
      </c>
      <c r="X115" s="13"/>
    </row>
    <row r="116" spans="1:24" x14ac:dyDescent="0.2">
      <c r="A116" s="13" t="s">
        <v>303</v>
      </c>
      <c r="B116" s="13" t="s">
        <v>304</v>
      </c>
      <c r="C116" s="13" t="s">
        <v>205</v>
      </c>
      <c r="D116" s="13" t="s">
        <v>23</v>
      </c>
      <c r="E116" s="13" t="s">
        <v>35</v>
      </c>
      <c r="F116" s="13" t="s">
        <v>96</v>
      </c>
      <c r="G116" s="13" t="s">
        <v>170</v>
      </c>
      <c r="H116" s="13" t="s">
        <v>289</v>
      </c>
      <c r="I116" s="13" t="s">
        <v>191</v>
      </c>
      <c r="K116" s="19" t="s">
        <v>1815</v>
      </c>
      <c r="L116" s="17"/>
      <c r="M116" s="17"/>
      <c r="N116" s="13" t="s">
        <v>244</v>
      </c>
      <c r="O116" s="13" t="s">
        <v>209</v>
      </c>
      <c r="P116" s="16"/>
      <c r="Q116" s="16"/>
      <c r="R116" s="16"/>
      <c r="S116" s="21">
        <f>IF($C116&lt;&gt;"Organisation","",IF(OR($P116&lt;&gt;"",$Q116&lt;&gt;""),IF($P116&lt;&gt;"",IF($Q116&lt;&gt;"",($P116+$Q116)/2,$P116),$Q116),ROUND(_xlfn.XLOOKUP($N116,Assumptions!$B$5:$B$9,Assumptions!$C$5:$C$9,0)*_xlfn.XLOOKUP($G116,Assumptions!$B$13:$B$26,Assumptions!$C$13:$C$26,0)*_xlfn.XLOOKUP($I116,Assumptions!$B$30:$B$50,Assumptions!$C$30:$C$50,0),0)))</f>
        <v>30</v>
      </c>
      <c r="T116" s="16" t="str">
        <f>IF($C116&lt;&gt;"Organisation","",IF(OR($P116&lt;&gt;"",$Q116&lt;&gt;""),"Documented in source - midpoint of annual_intake_low/high",IF($I116="","No confirmed programme - modelled as zero",$N116&amp;" base x "&amp;TEXT(_xlfn.XLOOKUP($G116,Assumptions!$B$13:$B$26,Assumptions!$C$13:$C$26,0),"0.0#")&amp;" sector x "&amp;TEXT(_xlfn.XLOOKUP($I116,Assumptions!$B$30:$B$50,Assumptions!$C$30:$C$50,0),"0.0#")&amp;" mechanism")))</f>
        <v>Mid base x 1.0 sector x 1.0 mechanism</v>
      </c>
      <c r="U116" s="13" t="s">
        <v>230</v>
      </c>
      <c r="V116" s="13" t="s">
        <v>231</v>
      </c>
      <c r="W116" s="13" t="s">
        <v>80</v>
      </c>
      <c r="X116" s="13"/>
    </row>
    <row r="117" spans="1:24" x14ac:dyDescent="0.2">
      <c r="A117" s="13" t="s">
        <v>305</v>
      </c>
      <c r="B117" s="13" t="s">
        <v>306</v>
      </c>
      <c r="C117" s="13" t="s">
        <v>205</v>
      </c>
      <c r="D117" s="13" t="s">
        <v>23</v>
      </c>
      <c r="E117" s="13" t="s">
        <v>35</v>
      </c>
      <c r="F117" s="13" t="s">
        <v>96</v>
      </c>
      <c r="G117" s="13" t="s">
        <v>170</v>
      </c>
      <c r="H117" s="13" t="s">
        <v>289</v>
      </c>
      <c r="I117" s="13" t="s">
        <v>191</v>
      </c>
      <c r="K117" s="19" t="s">
        <v>1815</v>
      </c>
      <c r="L117" s="17"/>
      <c r="M117" s="17"/>
      <c r="N117" s="13" t="s">
        <v>244</v>
      </c>
      <c r="O117" s="13" t="s">
        <v>209</v>
      </c>
      <c r="P117" s="16"/>
      <c r="Q117" s="16"/>
      <c r="R117" s="16"/>
      <c r="S117" s="21">
        <f>IF($C117&lt;&gt;"Organisation","",IF(OR($P117&lt;&gt;"",$Q117&lt;&gt;""),IF($P117&lt;&gt;"",IF($Q117&lt;&gt;"",($P117+$Q117)/2,$P117),$Q117),ROUND(_xlfn.XLOOKUP($N117,Assumptions!$B$5:$B$9,Assumptions!$C$5:$C$9,0)*_xlfn.XLOOKUP($G117,Assumptions!$B$13:$B$26,Assumptions!$C$13:$C$26,0)*_xlfn.XLOOKUP($I117,Assumptions!$B$30:$B$50,Assumptions!$C$30:$C$50,0),0)))</f>
        <v>30</v>
      </c>
      <c r="T117" s="16" t="str">
        <f>IF($C117&lt;&gt;"Organisation","",IF(OR($P117&lt;&gt;"",$Q117&lt;&gt;""),"Documented in source - midpoint of annual_intake_low/high",IF($I117="","No confirmed programme - modelled as zero",$N117&amp;" base x "&amp;TEXT(_xlfn.XLOOKUP($G117,Assumptions!$B$13:$B$26,Assumptions!$C$13:$C$26,0),"0.0#")&amp;" sector x "&amp;TEXT(_xlfn.XLOOKUP($I117,Assumptions!$B$30:$B$50,Assumptions!$C$30:$C$50,0),"0.0#")&amp;" mechanism")))</f>
        <v>Mid base x 1.0 sector x 1.0 mechanism</v>
      </c>
      <c r="U117" s="13" t="s">
        <v>230</v>
      </c>
      <c r="V117" s="13" t="s">
        <v>231</v>
      </c>
      <c r="W117" s="13" t="s">
        <v>80</v>
      </c>
      <c r="X117" s="13"/>
    </row>
    <row r="118" spans="1:24" x14ac:dyDescent="0.2">
      <c r="A118" s="13" t="s">
        <v>307</v>
      </c>
      <c r="B118" s="13" t="s">
        <v>308</v>
      </c>
      <c r="C118" s="13" t="s">
        <v>205</v>
      </c>
      <c r="D118" s="13" t="s">
        <v>23</v>
      </c>
      <c r="E118" s="13" t="s">
        <v>35</v>
      </c>
      <c r="F118" s="13" t="s">
        <v>96</v>
      </c>
      <c r="G118" s="13" t="s">
        <v>170</v>
      </c>
      <c r="H118" s="13" t="s">
        <v>289</v>
      </c>
      <c r="I118" s="13" t="s">
        <v>191</v>
      </c>
      <c r="K118" s="19" t="s">
        <v>1815</v>
      </c>
      <c r="L118" s="17"/>
      <c r="M118" s="17"/>
      <c r="N118" s="13" t="s">
        <v>244</v>
      </c>
      <c r="O118" s="13" t="s">
        <v>209</v>
      </c>
      <c r="P118" s="16"/>
      <c r="Q118" s="16"/>
      <c r="R118" s="16"/>
      <c r="S118" s="21">
        <f>IF($C118&lt;&gt;"Organisation","",IF(OR($P118&lt;&gt;"",$Q118&lt;&gt;""),IF($P118&lt;&gt;"",IF($Q118&lt;&gt;"",($P118+$Q118)/2,$P118),$Q118),ROUND(_xlfn.XLOOKUP($N118,Assumptions!$B$5:$B$9,Assumptions!$C$5:$C$9,0)*_xlfn.XLOOKUP($G118,Assumptions!$B$13:$B$26,Assumptions!$C$13:$C$26,0)*_xlfn.XLOOKUP($I118,Assumptions!$B$30:$B$50,Assumptions!$C$30:$C$50,0),0)))</f>
        <v>30</v>
      </c>
      <c r="T118" s="16" t="str">
        <f>IF($C118&lt;&gt;"Organisation","",IF(OR($P118&lt;&gt;"",$Q118&lt;&gt;""),"Documented in source - midpoint of annual_intake_low/high",IF($I118="","No confirmed programme - modelled as zero",$N118&amp;" base x "&amp;TEXT(_xlfn.XLOOKUP($G118,Assumptions!$B$13:$B$26,Assumptions!$C$13:$C$26,0),"0.0#")&amp;" sector x "&amp;TEXT(_xlfn.XLOOKUP($I118,Assumptions!$B$30:$B$50,Assumptions!$C$30:$C$50,0),"0.0#")&amp;" mechanism")))</f>
        <v>Mid base x 1.0 sector x 1.0 mechanism</v>
      </c>
      <c r="U118" s="13" t="s">
        <v>230</v>
      </c>
      <c r="V118" s="13" t="s">
        <v>231</v>
      </c>
      <c r="W118" s="13" t="s">
        <v>80</v>
      </c>
      <c r="X118" s="13"/>
    </row>
    <row r="119" spans="1:24" x14ac:dyDescent="0.2">
      <c r="A119" s="13" t="s">
        <v>309</v>
      </c>
      <c r="B119" s="13" t="s">
        <v>310</v>
      </c>
      <c r="C119" s="13" t="s">
        <v>205</v>
      </c>
      <c r="D119" s="13" t="s">
        <v>23</v>
      </c>
      <c r="E119" s="13" t="s">
        <v>35</v>
      </c>
      <c r="F119" s="13" t="s">
        <v>78</v>
      </c>
      <c r="G119" s="13" t="s">
        <v>172</v>
      </c>
      <c r="H119" s="13" t="s">
        <v>311</v>
      </c>
      <c r="I119" s="13" t="s">
        <v>191</v>
      </c>
      <c r="J119" s="13" t="s">
        <v>312</v>
      </c>
      <c r="K119" s="19" t="s">
        <v>1817</v>
      </c>
      <c r="L119" s="17"/>
      <c r="M119" s="17"/>
      <c r="N119" s="13" t="s">
        <v>208</v>
      </c>
      <c r="O119" s="13" t="s">
        <v>209</v>
      </c>
      <c r="P119" s="16"/>
      <c r="Q119" s="16"/>
      <c r="R119" s="16"/>
      <c r="S119" s="21">
        <f>IF($C119&lt;&gt;"Organisation","",IF(OR($P119&lt;&gt;"",$Q119&lt;&gt;""),IF($P119&lt;&gt;"",IF($Q119&lt;&gt;"",($P119+$Q119)/2,$P119),$Q119),ROUND(_xlfn.XLOOKUP($N119,Assumptions!$B$5:$B$9,Assumptions!$C$5:$C$9,0)*_xlfn.XLOOKUP($G119,Assumptions!$B$13:$B$26,Assumptions!$C$13:$C$26,0)*_xlfn.XLOOKUP($I119,Assumptions!$B$30:$B$50,Assumptions!$C$30:$C$50,0),0)))</f>
        <v>180</v>
      </c>
      <c r="T119" s="16" t="str">
        <f>IF($C119&lt;&gt;"Organisation","",IF(OR($P119&lt;&gt;"",$Q119&lt;&gt;""),"Documented in source - midpoint of annual_intake_low/high",IF($I119="","No confirmed programme - modelled as zero",$N119&amp;" base x "&amp;TEXT(_xlfn.XLOOKUP($G119,Assumptions!$B$13:$B$26,Assumptions!$C$13:$C$26,0),"0.0#")&amp;" sector x "&amp;TEXT(_xlfn.XLOOKUP($I119,Assumptions!$B$30:$B$50,Assumptions!$C$30:$C$50,0),"0.0#")&amp;" mechanism")))</f>
        <v>Large base x 1.5 sector x 1.0 mechanism</v>
      </c>
      <c r="U119" s="13" t="s">
        <v>210</v>
      </c>
      <c r="V119" s="13" t="s">
        <v>211</v>
      </c>
      <c r="W119" s="13" t="s">
        <v>80</v>
      </c>
      <c r="X119" s="13"/>
    </row>
    <row r="120" spans="1:24" x14ac:dyDescent="0.2">
      <c r="A120" s="13" t="s">
        <v>313</v>
      </c>
      <c r="B120" s="13" t="s">
        <v>314</v>
      </c>
      <c r="C120" s="13" t="s">
        <v>205</v>
      </c>
      <c r="D120" s="13" t="s">
        <v>23</v>
      </c>
      <c r="E120" s="13" t="s">
        <v>35</v>
      </c>
      <c r="F120" s="13" t="s">
        <v>84</v>
      </c>
      <c r="G120" s="13" t="s">
        <v>172</v>
      </c>
      <c r="H120" s="13" t="s">
        <v>311</v>
      </c>
      <c r="I120" s="13" t="s">
        <v>191</v>
      </c>
      <c r="J120" s="13" t="s">
        <v>315</v>
      </c>
      <c r="K120" s="19" t="s">
        <v>1815</v>
      </c>
      <c r="L120" s="17"/>
      <c r="M120" s="17"/>
      <c r="N120" s="13" t="s">
        <v>208</v>
      </c>
      <c r="O120" s="13" t="s">
        <v>209</v>
      </c>
      <c r="P120" s="16"/>
      <c r="Q120" s="16"/>
      <c r="R120" s="16"/>
      <c r="S120" s="21">
        <f>IF($C120&lt;&gt;"Organisation","",IF(OR($P120&lt;&gt;"",$Q120&lt;&gt;""),IF($P120&lt;&gt;"",IF($Q120&lt;&gt;"",($P120+$Q120)/2,$P120),$Q120),ROUND(_xlfn.XLOOKUP($N120,Assumptions!$B$5:$B$9,Assumptions!$C$5:$C$9,0)*_xlfn.XLOOKUP($G120,Assumptions!$B$13:$B$26,Assumptions!$C$13:$C$26,0)*_xlfn.XLOOKUP($I120,Assumptions!$B$30:$B$50,Assumptions!$C$30:$C$50,0),0)))</f>
        <v>180</v>
      </c>
      <c r="T120" s="16" t="str">
        <f>IF($C120&lt;&gt;"Organisation","",IF(OR($P120&lt;&gt;"",$Q120&lt;&gt;""),"Documented in source - midpoint of annual_intake_low/high",IF($I120="","No confirmed programme - modelled as zero",$N120&amp;" base x "&amp;TEXT(_xlfn.XLOOKUP($G120,Assumptions!$B$13:$B$26,Assumptions!$C$13:$C$26,0),"0.0#")&amp;" sector x "&amp;TEXT(_xlfn.XLOOKUP($I120,Assumptions!$B$30:$B$50,Assumptions!$C$30:$C$50,0),"0.0#")&amp;" mechanism")))</f>
        <v>Large base x 1.5 sector x 1.0 mechanism</v>
      </c>
      <c r="U120" s="13" t="s">
        <v>210</v>
      </c>
      <c r="V120" s="13" t="s">
        <v>211</v>
      </c>
      <c r="W120" s="13" t="s">
        <v>80</v>
      </c>
      <c r="X120" s="13"/>
    </row>
    <row r="121" spans="1:24" x14ac:dyDescent="0.2">
      <c r="A121" s="13" t="s">
        <v>316</v>
      </c>
      <c r="B121" s="13" t="s">
        <v>317</v>
      </c>
      <c r="C121" s="13" t="s">
        <v>205</v>
      </c>
      <c r="D121" s="13" t="s">
        <v>23</v>
      </c>
      <c r="E121" s="13" t="s">
        <v>35</v>
      </c>
      <c r="F121" s="13" t="s">
        <v>82</v>
      </c>
      <c r="G121" s="13" t="s">
        <v>172</v>
      </c>
      <c r="H121" s="13" t="s">
        <v>311</v>
      </c>
      <c r="I121" s="13" t="s">
        <v>191</v>
      </c>
      <c r="J121" s="13" t="s">
        <v>318</v>
      </c>
      <c r="K121" s="19" t="s">
        <v>1818</v>
      </c>
      <c r="L121" s="17"/>
      <c r="M121" s="17"/>
      <c r="N121" s="13" t="s">
        <v>208</v>
      </c>
      <c r="O121" s="13" t="s">
        <v>209</v>
      </c>
      <c r="P121" s="16"/>
      <c r="Q121" s="16"/>
      <c r="R121" s="16"/>
      <c r="S121" s="21">
        <f>IF($C121&lt;&gt;"Organisation","",IF(OR($P121&lt;&gt;"",$Q121&lt;&gt;""),IF($P121&lt;&gt;"",IF($Q121&lt;&gt;"",($P121+$Q121)/2,$P121),$Q121),ROUND(_xlfn.XLOOKUP($N121,Assumptions!$B$5:$B$9,Assumptions!$C$5:$C$9,0)*_xlfn.XLOOKUP($G121,Assumptions!$B$13:$B$26,Assumptions!$C$13:$C$26,0)*_xlfn.XLOOKUP($I121,Assumptions!$B$30:$B$50,Assumptions!$C$30:$C$50,0),0)))</f>
        <v>180</v>
      </c>
      <c r="T121" s="16" t="str">
        <f>IF($C121&lt;&gt;"Organisation","",IF(OR($P121&lt;&gt;"",$Q121&lt;&gt;""),"Documented in source - midpoint of annual_intake_low/high",IF($I121="","No confirmed programme - modelled as zero",$N121&amp;" base x "&amp;TEXT(_xlfn.XLOOKUP($G121,Assumptions!$B$13:$B$26,Assumptions!$C$13:$C$26,0),"0.0#")&amp;" sector x "&amp;TEXT(_xlfn.XLOOKUP($I121,Assumptions!$B$30:$B$50,Assumptions!$C$30:$C$50,0),"0.0#")&amp;" mechanism")))</f>
        <v>Large base x 1.5 sector x 1.0 mechanism</v>
      </c>
      <c r="U121" s="13" t="s">
        <v>210</v>
      </c>
      <c r="V121" s="13" t="s">
        <v>211</v>
      </c>
      <c r="W121" s="13" t="s">
        <v>80</v>
      </c>
      <c r="X121" s="13"/>
    </row>
    <row r="122" spans="1:24" x14ac:dyDescent="0.2">
      <c r="A122" s="13" t="s">
        <v>319</v>
      </c>
      <c r="B122" s="13" t="s">
        <v>320</v>
      </c>
      <c r="C122" s="13" t="s">
        <v>205</v>
      </c>
      <c r="D122" s="13" t="s">
        <v>23</v>
      </c>
      <c r="E122" s="13" t="s">
        <v>35</v>
      </c>
      <c r="F122" s="13" t="s">
        <v>78</v>
      </c>
      <c r="G122" s="13" t="s">
        <v>174</v>
      </c>
      <c r="H122" s="13" t="s">
        <v>321</v>
      </c>
      <c r="I122" s="13" t="s">
        <v>191</v>
      </c>
      <c r="J122" s="13" t="s">
        <v>322</v>
      </c>
      <c r="K122" s="19" t="s">
        <v>1817</v>
      </c>
      <c r="L122" s="17"/>
      <c r="M122" s="17"/>
      <c r="N122" s="13" t="s">
        <v>208</v>
      </c>
      <c r="O122" s="13" t="s">
        <v>209</v>
      </c>
      <c r="P122" s="16"/>
      <c r="Q122" s="16"/>
      <c r="R122" s="16"/>
      <c r="S122" s="21">
        <f>IF($C122&lt;&gt;"Organisation","",IF(OR($P122&lt;&gt;"",$Q122&lt;&gt;""),IF($P122&lt;&gt;"",IF($Q122&lt;&gt;"",($P122+$Q122)/2,$P122),$Q122),ROUND(_xlfn.XLOOKUP($N122,Assumptions!$B$5:$B$9,Assumptions!$C$5:$C$9,0)*_xlfn.XLOOKUP($G122,Assumptions!$B$13:$B$26,Assumptions!$C$13:$C$26,0)*_xlfn.XLOOKUP($I122,Assumptions!$B$30:$B$50,Assumptions!$C$30:$C$50,0),0)))</f>
        <v>96</v>
      </c>
      <c r="T122" s="16" t="str">
        <f>IF($C122&lt;&gt;"Organisation","",IF(OR($P122&lt;&gt;"",$Q122&lt;&gt;""),"Documented in source - midpoint of annual_intake_low/high",IF($I122="","No confirmed programme - modelled as zero",$N122&amp;" base x "&amp;TEXT(_xlfn.XLOOKUP($G122,Assumptions!$B$13:$B$26,Assumptions!$C$13:$C$26,0),"0.0#")&amp;" sector x "&amp;TEXT(_xlfn.XLOOKUP($I122,Assumptions!$B$30:$B$50,Assumptions!$C$30:$C$50,0),"0.0#")&amp;" mechanism")))</f>
        <v>Large base x 0.8 sector x 1.0 mechanism</v>
      </c>
      <c r="U122" s="13" t="s">
        <v>210</v>
      </c>
      <c r="V122" s="13" t="s">
        <v>211</v>
      </c>
      <c r="W122" s="13" t="s">
        <v>80</v>
      </c>
      <c r="X122" s="13"/>
    </row>
    <row r="123" spans="1:24" x14ac:dyDescent="0.2">
      <c r="A123" s="13" t="s">
        <v>323</v>
      </c>
      <c r="B123" s="13" t="s">
        <v>324</v>
      </c>
      <c r="C123" s="13" t="s">
        <v>205</v>
      </c>
      <c r="D123" s="13" t="s">
        <v>23</v>
      </c>
      <c r="E123" s="13" t="s">
        <v>35</v>
      </c>
      <c r="F123" s="13" t="s">
        <v>94</v>
      </c>
      <c r="G123" s="13" t="s">
        <v>174</v>
      </c>
      <c r="H123" s="13" t="s">
        <v>321</v>
      </c>
      <c r="I123" s="13" t="s">
        <v>191</v>
      </c>
      <c r="J123" s="13" t="s">
        <v>325</v>
      </c>
      <c r="K123" s="19" t="s">
        <v>1815</v>
      </c>
      <c r="L123" s="17"/>
      <c r="M123" s="17"/>
      <c r="N123" s="13" t="s">
        <v>208</v>
      </c>
      <c r="O123" s="13" t="s">
        <v>209</v>
      </c>
      <c r="P123" s="16"/>
      <c r="Q123" s="16"/>
      <c r="R123" s="16"/>
      <c r="S123" s="21">
        <f>IF($C123&lt;&gt;"Organisation","",IF(OR($P123&lt;&gt;"",$Q123&lt;&gt;""),IF($P123&lt;&gt;"",IF($Q123&lt;&gt;"",($P123+$Q123)/2,$P123),$Q123),ROUND(_xlfn.XLOOKUP($N123,Assumptions!$B$5:$B$9,Assumptions!$C$5:$C$9,0)*_xlfn.XLOOKUP($G123,Assumptions!$B$13:$B$26,Assumptions!$C$13:$C$26,0)*_xlfn.XLOOKUP($I123,Assumptions!$B$30:$B$50,Assumptions!$C$30:$C$50,0),0)))</f>
        <v>96</v>
      </c>
      <c r="T123" s="16" t="str">
        <f>IF($C123&lt;&gt;"Organisation","",IF(OR($P123&lt;&gt;"",$Q123&lt;&gt;""),"Documented in source - midpoint of annual_intake_low/high",IF($I123="","No confirmed programme - modelled as zero",$N123&amp;" base x "&amp;TEXT(_xlfn.XLOOKUP($G123,Assumptions!$B$13:$B$26,Assumptions!$C$13:$C$26,0),"0.0#")&amp;" sector x "&amp;TEXT(_xlfn.XLOOKUP($I123,Assumptions!$B$30:$B$50,Assumptions!$C$30:$C$50,0),"0.0#")&amp;" mechanism")))</f>
        <v>Large base x 0.8 sector x 1.0 mechanism</v>
      </c>
      <c r="U123" s="13" t="s">
        <v>222</v>
      </c>
      <c r="V123" s="13" t="s">
        <v>223</v>
      </c>
      <c r="W123" s="13" t="s">
        <v>80</v>
      </c>
      <c r="X123" s="13"/>
    </row>
    <row r="124" spans="1:24" x14ac:dyDescent="0.2">
      <c r="A124" s="13" t="s">
        <v>326</v>
      </c>
      <c r="B124" s="13" t="s">
        <v>327</v>
      </c>
      <c r="C124" s="13" t="s">
        <v>205</v>
      </c>
      <c r="D124" s="13" t="s">
        <v>23</v>
      </c>
      <c r="E124" s="13" t="s">
        <v>35</v>
      </c>
      <c r="F124" s="13" t="s">
        <v>84</v>
      </c>
      <c r="G124" s="13" t="s">
        <v>174</v>
      </c>
      <c r="H124" s="13" t="s">
        <v>321</v>
      </c>
      <c r="I124" s="13" t="s">
        <v>191</v>
      </c>
      <c r="J124" s="13" t="s">
        <v>214</v>
      </c>
      <c r="K124" s="19" t="s">
        <v>1815</v>
      </c>
      <c r="L124" s="17"/>
      <c r="M124" s="17"/>
      <c r="N124" s="13" t="s">
        <v>208</v>
      </c>
      <c r="O124" s="13" t="s">
        <v>209</v>
      </c>
      <c r="P124" s="16"/>
      <c r="Q124" s="16"/>
      <c r="R124" s="16"/>
      <c r="S124" s="21">
        <f>IF($C124&lt;&gt;"Organisation","",IF(OR($P124&lt;&gt;"",$Q124&lt;&gt;""),IF($P124&lt;&gt;"",IF($Q124&lt;&gt;"",($P124+$Q124)/2,$P124),$Q124),ROUND(_xlfn.XLOOKUP($N124,Assumptions!$B$5:$B$9,Assumptions!$C$5:$C$9,0)*_xlfn.XLOOKUP($G124,Assumptions!$B$13:$B$26,Assumptions!$C$13:$C$26,0)*_xlfn.XLOOKUP($I124,Assumptions!$B$30:$B$50,Assumptions!$C$30:$C$50,0),0)))</f>
        <v>96</v>
      </c>
      <c r="T124" s="16" t="str">
        <f>IF($C124&lt;&gt;"Organisation","",IF(OR($P124&lt;&gt;"",$Q124&lt;&gt;""),"Documented in source - midpoint of annual_intake_low/high",IF($I124="","No confirmed programme - modelled as zero",$N124&amp;" base x "&amp;TEXT(_xlfn.XLOOKUP($G124,Assumptions!$B$13:$B$26,Assumptions!$C$13:$C$26,0),"0.0#")&amp;" sector x "&amp;TEXT(_xlfn.XLOOKUP($I124,Assumptions!$B$30:$B$50,Assumptions!$C$30:$C$50,0),"0.0#")&amp;" mechanism")))</f>
        <v>Large base x 0.8 sector x 1.0 mechanism</v>
      </c>
      <c r="U124" s="13" t="s">
        <v>222</v>
      </c>
      <c r="V124" s="13" t="s">
        <v>223</v>
      </c>
      <c r="W124" s="13" t="s">
        <v>80</v>
      </c>
      <c r="X124" s="13"/>
    </row>
    <row r="125" spans="1:24" x14ac:dyDescent="0.2">
      <c r="A125" s="13" t="s">
        <v>328</v>
      </c>
      <c r="B125" s="13" t="s">
        <v>329</v>
      </c>
      <c r="C125" s="13" t="s">
        <v>205</v>
      </c>
      <c r="D125" s="13" t="s">
        <v>23</v>
      </c>
      <c r="E125" s="13" t="s">
        <v>35</v>
      </c>
      <c r="F125" s="13" t="s">
        <v>96</v>
      </c>
      <c r="G125" s="13" t="s">
        <v>174</v>
      </c>
      <c r="H125" s="13" t="s">
        <v>321</v>
      </c>
      <c r="I125" s="13" t="s">
        <v>191</v>
      </c>
      <c r="J125" s="13" t="s">
        <v>330</v>
      </c>
      <c r="K125" s="19" t="s">
        <v>1815</v>
      </c>
      <c r="L125" s="17"/>
      <c r="M125" s="17"/>
      <c r="N125" s="13" t="s">
        <v>208</v>
      </c>
      <c r="O125" s="13" t="s">
        <v>209</v>
      </c>
      <c r="P125" s="16"/>
      <c r="Q125" s="16"/>
      <c r="R125" s="16"/>
      <c r="S125" s="21">
        <f>IF($C125&lt;&gt;"Organisation","",IF(OR($P125&lt;&gt;"",$Q125&lt;&gt;""),IF($P125&lt;&gt;"",IF($Q125&lt;&gt;"",($P125+$Q125)/2,$P125),$Q125),ROUND(_xlfn.XLOOKUP($N125,Assumptions!$B$5:$B$9,Assumptions!$C$5:$C$9,0)*_xlfn.XLOOKUP($G125,Assumptions!$B$13:$B$26,Assumptions!$C$13:$C$26,0)*_xlfn.XLOOKUP($I125,Assumptions!$B$30:$B$50,Assumptions!$C$30:$C$50,0),0)))</f>
        <v>96</v>
      </c>
      <c r="T125" s="16" t="str">
        <f>IF($C125&lt;&gt;"Organisation","",IF(OR($P125&lt;&gt;"",$Q125&lt;&gt;""),"Documented in source - midpoint of annual_intake_low/high",IF($I125="","No confirmed programme - modelled as zero",$N125&amp;" base x "&amp;TEXT(_xlfn.XLOOKUP($G125,Assumptions!$B$13:$B$26,Assumptions!$C$13:$C$26,0),"0.0#")&amp;" sector x "&amp;TEXT(_xlfn.XLOOKUP($I125,Assumptions!$B$30:$B$50,Assumptions!$C$30:$C$50,0),"0.0#")&amp;" mechanism")))</f>
        <v>Large base x 0.8 sector x 1.0 mechanism</v>
      </c>
      <c r="U125" s="13" t="s">
        <v>210</v>
      </c>
      <c r="V125" s="13" t="s">
        <v>211</v>
      </c>
      <c r="W125" s="13" t="s">
        <v>80</v>
      </c>
      <c r="X125" s="13"/>
    </row>
    <row r="126" spans="1:24" x14ac:dyDescent="0.2">
      <c r="A126" s="13" t="s">
        <v>331</v>
      </c>
      <c r="B126" s="13" t="s">
        <v>332</v>
      </c>
      <c r="C126" s="13" t="s">
        <v>205</v>
      </c>
      <c r="D126" s="13" t="s">
        <v>23</v>
      </c>
      <c r="E126" s="13" t="s">
        <v>35</v>
      </c>
      <c r="F126" s="13" t="s">
        <v>92</v>
      </c>
      <c r="G126" s="13" t="s">
        <v>174</v>
      </c>
      <c r="H126" s="13" t="s">
        <v>333</v>
      </c>
      <c r="I126" s="13" t="s">
        <v>191</v>
      </c>
      <c r="J126" s="13" t="s">
        <v>243</v>
      </c>
      <c r="K126" s="19" t="s">
        <v>1815</v>
      </c>
      <c r="L126" s="17"/>
      <c r="M126" s="17"/>
      <c r="N126" s="13" t="s">
        <v>244</v>
      </c>
      <c r="O126" s="13" t="s">
        <v>209</v>
      </c>
      <c r="P126" s="16"/>
      <c r="Q126" s="16"/>
      <c r="R126" s="16"/>
      <c r="S126" s="21">
        <f>IF($C126&lt;&gt;"Organisation","",IF(OR($P126&lt;&gt;"",$Q126&lt;&gt;""),IF($P126&lt;&gt;"",IF($Q126&lt;&gt;"",($P126+$Q126)/2,$P126),$Q126),ROUND(_xlfn.XLOOKUP($N126,Assumptions!$B$5:$B$9,Assumptions!$C$5:$C$9,0)*_xlfn.XLOOKUP($G126,Assumptions!$B$13:$B$26,Assumptions!$C$13:$C$26,0)*_xlfn.XLOOKUP($I126,Assumptions!$B$30:$B$50,Assumptions!$C$30:$C$50,0),0)))</f>
        <v>24</v>
      </c>
      <c r="T126" s="16" t="str">
        <f>IF($C126&lt;&gt;"Organisation","",IF(OR($P126&lt;&gt;"",$Q126&lt;&gt;""),"Documented in source - midpoint of annual_intake_low/high",IF($I126="","No confirmed programme - modelled as zero",$N126&amp;" base x "&amp;TEXT(_xlfn.XLOOKUP($G126,Assumptions!$B$13:$B$26,Assumptions!$C$13:$C$26,0),"0.0#")&amp;" sector x "&amp;TEXT(_xlfn.XLOOKUP($I126,Assumptions!$B$30:$B$50,Assumptions!$C$30:$C$50,0),"0.0#")&amp;" mechanism")))</f>
        <v>Mid base x 0.8 sector x 1.0 mechanism</v>
      </c>
      <c r="U126" s="13" t="s">
        <v>230</v>
      </c>
      <c r="V126" s="13" t="s">
        <v>231</v>
      </c>
      <c r="W126" s="13" t="s">
        <v>80</v>
      </c>
      <c r="X126" s="13"/>
    </row>
    <row r="127" spans="1:24" x14ac:dyDescent="0.2">
      <c r="A127" s="13" t="s">
        <v>334</v>
      </c>
      <c r="B127" s="13" t="s">
        <v>335</v>
      </c>
      <c r="C127" s="13" t="s">
        <v>205</v>
      </c>
      <c r="D127" s="13" t="s">
        <v>23</v>
      </c>
      <c r="E127" s="13" t="s">
        <v>35</v>
      </c>
      <c r="F127" s="13" t="s">
        <v>92</v>
      </c>
      <c r="G127" s="13" t="s">
        <v>174</v>
      </c>
      <c r="H127" s="13" t="s">
        <v>333</v>
      </c>
      <c r="I127" s="13" t="s">
        <v>191</v>
      </c>
      <c r="J127" s="13" t="s">
        <v>336</v>
      </c>
      <c r="K127" s="19" t="s">
        <v>1815</v>
      </c>
      <c r="L127" s="17"/>
      <c r="M127" s="17"/>
      <c r="N127" s="13" t="s">
        <v>244</v>
      </c>
      <c r="O127" s="13" t="s">
        <v>209</v>
      </c>
      <c r="P127" s="16"/>
      <c r="Q127" s="16"/>
      <c r="R127" s="16"/>
      <c r="S127" s="21">
        <f>IF($C127&lt;&gt;"Organisation","",IF(OR($P127&lt;&gt;"",$Q127&lt;&gt;""),IF($P127&lt;&gt;"",IF($Q127&lt;&gt;"",($P127+$Q127)/2,$P127),$Q127),ROUND(_xlfn.XLOOKUP($N127,Assumptions!$B$5:$B$9,Assumptions!$C$5:$C$9,0)*_xlfn.XLOOKUP($G127,Assumptions!$B$13:$B$26,Assumptions!$C$13:$C$26,0)*_xlfn.XLOOKUP($I127,Assumptions!$B$30:$B$50,Assumptions!$C$30:$C$50,0),0)))</f>
        <v>24</v>
      </c>
      <c r="T127" s="16" t="str">
        <f>IF($C127&lt;&gt;"Organisation","",IF(OR($P127&lt;&gt;"",$Q127&lt;&gt;""),"Documented in source - midpoint of annual_intake_low/high",IF($I127="","No confirmed programme - modelled as zero",$N127&amp;" base x "&amp;TEXT(_xlfn.XLOOKUP($G127,Assumptions!$B$13:$B$26,Assumptions!$C$13:$C$26,0),"0.0#")&amp;" sector x "&amp;TEXT(_xlfn.XLOOKUP($I127,Assumptions!$B$30:$B$50,Assumptions!$C$30:$C$50,0),"0.0#")&amp;" mechanism")))</f>
        <v>Mid base x 0.8 sector x 1.0 mechanism</v>
      </c>
      <c r="U127" s="13" t="s">
        <v>230</v>
      </c>
      <c r="V127" s="13" t="s">
        <v>231</v>
      </c>
      <c r="W127" s="13" t="s">
        <v>80</v>
      </c>
      <c r="X127" s="13"/>
    </row>
    <row r="128" spans="1:24" x14ac:dyDescent="0.2">
      <c r="A128" s="13" t="s">
        <v>337</v>
      </c>
      <c r="B128" s="13" t="s">
        <v>338</v>
      </c>
      <c r="C128" s="13" t="s">
        <v>205</v>
      </c>
      <c r="D128" s="13" t="s">
        <v>23</v>
      </c>
      <c r="E128" s="13" t="s">
        <v>35</v>
      </c>
      <c r="F128" s="13" t="s">
        <v>84</v>
      </c>
      <c r="G128" s="13" t="s">
        <v>174</v>
      </c>
      <c r="H128" s="13" t="s">
        <v>333</v>
      </c>
      <c r="I128" s="13" t="s">
        <v>191</v>
      </c>
      <c r="K128" s="19" t="s">
        <v>1815</v>
      </c>
      <c r="L128" s="17"/>
      <c r="M128" s="17"/>
      <c r="N128" s="13" t="s">
        <v>244</v>
      </c>
      <c r="O128" s="13" t="s">
        <v>209</v>
      </c>
      <c r="P128" s="16"/>
      <c r="Q128" s="16"/>
      <c r="R128" s="16"/>
      <c r="S128" s="21">
        <f>IF($C128&lt;&gt;"Organisation","",IF(OR($P128&lt;&gt;"",$Q128&lt;&gt;""),IF($P128&lt;&gt;"",IF($Q128&lt;&gt;"",($P128+$Q128)/2,$P128),$Q128),ROUND(_xlfn.XLOOKUP($N128,Assumptions!$B$5:$B$9,Assumptions!$C$5:$C$9,0)*_xlfn.XLOOKUP($G128,Assumptions!$B$13:$B$26,Assumptions!$C$13:$C$26,0)*_xlfn.XLOOKUP($I128,Assumptions!$B$30:$B$50,Assumptions!$C$30:$C$50,0),0)))</f>
        <v>24</v>
      </c>
      <c r="T128" s="16" t="str">
        <f>IF($C128&lt;&gt;"Organisation","",IF(OR($P128&lt;&gt;"",$Q128&lt;&gt;""),"Documented in source - midpoint of annual_intake_low/high",IF($I128="","No confirmed programme - modelled as zero",$N128&amp;" base x "&amp;TEXT(_xlfn.XLOOKUP($G128,Assumptions!$B$13:$B$26,Assumptions!$C$13:$C$26,0),"0.0#")&amp;" sector x "&amp;TEXT(_xlfn.XLOOKUP($I128,Assumptions!$B$30:$B$50,Assumptions!$C$30:$C$50,0),"0.0#")&amp;" mechanism")))</f>
        <v>Mid base x 0.8 sector x 1.0 mechanism</v>
      </c>
      <c r="U128" s="13" t="s">
        <v>230</v>
      </c>
      <c r="V128" s="13" t="s">
        <v>231</v>
      </c>
      <c r="W128" s="13" t="s">
        <v>80</v>
      </c>
      <c r="X128" s="13"/>
    </row>
    <row r="129" spans="1:24" x14ac:dyDescent="0.2">
      <c r="A129" s="13" t="s">
        <v>339</v>
      </c>
      <c r="B129" s="13" t="s">
        <v>340</v>
      </c>
      <c r="C129" s="13" t="s">
        <v>205</v>
      </c>
      <c r="D129" s="13" t="s">
        <v>23</v>
      </c>
      <c r="E129" s="13" t="s">
        <v>35</v>
      </c>
      <c r="F129" s="13" t="s">
        <v>96</v>
      </c>
      <c r="G129" s="13" t="s">
        <v>174</v>
      </c>
      <c r="H129" s="13" t="s">
        <v>333</v>
      </c>
      <c r="I129" s="13" t="s">
        <v>191</v>
      </c>
      <c r="K129" s="19" t="s">
        <v>1815</v>
      </c>
      <c r="L129" s="17"/>
      <c r="M129" s="17"/>
      <c r="N129" s="13" t="s">
        <v>244</v>
      </c>
      <c r="O129" s="13" t="s">
        <v>209</v>
      </c>
      <c r="P129" s="16"/>
      <c r="Q129" s="16"/>
      <c r="R129" s="16"/>
      <c r="S129" s="21">
        <f>IF($C129&lt;&gt;"Organisation","",IF(OR($P129&lt;&gt;"",$Q129&lt;&gt;""),IF($P129&lt;&gt;"",IF($Q129&lt;&gt;"",($P129+$Q129)/2,$P129),$Q129),ROUND(_xlfn.XLOOKUP($N129,Assumptions!$B$5:$B$9,Assumptions!$C$5:$C$9,0)*_xlfn.XLOOKUP($G129,Assumptions!$B$13:$B$26,Assumptions!$C$13:$C$26,0)*_xlfn.XLOOKUP($I129,Assumptions!$B$30:$B$50,Assumptions!$C$30:$C$50,0),0)))</f>
        <v>24</v>
      </c>
      <c r="T129" s="16" t="str">
        <f>IF($C129&lt;&gt;"Organisation","",IF(OR($P129&lt;&gt;"",$Q129&lt;&gt;""),"Documented in source - midpoint of annual_intake_low/high",IF($I129="","No confirmed programme - modelled as zero",$N129&amp;" base x "&amp;TEXT(_xlfn.XLOOKUP($G129,Assumptions!$B$13:$B$26,Assumptions!$C$13:$C$26,0),"0.0#")&amp;" sector x "&amp;TEXT(_xlfn.XLOOKUP($I129,Assumptions!$B$30:$B$50,Assumptions!$C$30:$C$50,0),"0.0#")&amp;" mechanism")))</f>
        <v>Mid base x 0.8 sector x 1.0 mechanism</v>
      </c>
      <c r="U129" s="13" t="s">
        <v>230</v>
      </c>
      <c r="V129" s="13" t="s">
        <v>231</v>
      </c>
      <c r="W129" s="13" t="s">
        <v>80</v>
      </c>
      <c r="X129" s="13"/>
    </row>
    <row r="130" spans="1:24" x14ac:dyDescent="0.2">
      <c r="A130" s="13" t="s">
        <v>341</v>
      </c>
      <c r="B130" s="13" t="s">
        <v>342</v>
      </c>
      <c r="C130" s="13" t="s">
        <v>205</v>
      </c>
      <c r="D130" s="13" t="s">
        <v>23</v>
      </c>
      <c r="E130" s="13" t="s">
        <v>35</v>
      </c>
      <c r="F130" s="13" t="s">
        <v>88</v>
      </c>
      <c r="G130" s="13" t="s">
        <v>174</v>
      </c>
      <c r="H130" s="13" t="s">
        <v>333</v>
      </c>
      <c r="I130" s="13" t="s">
        <v>191</v>
      </c>
      <c r="K130" s="19" t="s">
        <v>1815</v>
      </c>
      <c r="L130" s="17"/>
      <c r="M130" s="17"/>
      <c r="N130" s="13" t="s">
        <v>244</v>
      </c>
      <c r="O130" s="13" t="s">
        <v>209</v>
      </c>
      <c r="P130" s="16"/>
      <c r="Q130" s="16"/>
      <c r="R130" s="16"/>
      <c r="S130" s="21">
        <f>IF($C130&lt;&gt;"Organisation","",IF(OR($P130&lt;&gt;"",$Q130&lt;&gt;""),IF($P130&lt;&gt;"",IF($Q130&lt;&gt;"",($P130+$Q130)/2,$P130),$Q130),ROUND(_xlfn.XLOOKUP($N130,Assumptions!$B$5:$B$9,Assumptions!$C$5:$C$9,0)*_xlfn.XLOOKUP($G130,Assumptions!$B$13:$B$26,Assumptions!$C$13:$C$26,0)*_xlfn.XLOOKUP($I130,Assumptions!$B$30:$B$50,Assumptions!$C$30:$C$50,0),0)))</f>
        <v>24</v>
      </c>
      <c r="T130" s="16" t="str">
        <f>IF($C130&lt;&gt;"Organisation","",IF(OR($P130&lt;&gt;"",$Q130&lt;&gt;""),"Documented in source - midpoint of annual_intake_low/high",IF($I130="","No confirmed programme - modelled as zero",$N130&amp;" base x "&amp;TEXT(_xlfn.XLOOKUP($G130,Assumptions!$B$13:$B$26,Assumptions!$C$13:$C$26,0),"0.0#")&amp;" sector x "&amp;TEXT(_xlfn.XLOOKUP($I130,Assumptions!$B$30:$B$50,Assumptions!$C$30:$C$50,0),"0.0#")&amp;" mechanism")))</f>
        <v>Mid base x 0.8 sector x 1.0 mechanism</v>
      </c>
      <c r="U130" s="13" t="s">
        <v>230</v>
      </c>
      <c r="V130" s="13" t="s">
        <v>231</v>
      </c>
      <c r="W130" s="13" t="s">
        <v>80</v>
      </c>
      <c r="X130" s="13"/>
    </row>
    <row r="131" spans="1:24" x14ac:dyDescent="0.2">
      <c r="A131" s="13" t="s">
        <v>343</v>
      </c>
      <c r="B131" s="13" t="s">
        <v>344</v>
      </c>
      <c r="C131" s="13" t="s">
        <v>205</v>
      </c>
      <c r="D131" s="13" t="s">
        <v>23</v>
      </c>
      <c r="E131" s="13" t="s">
        <v>35</v>
      </c>
      <c r="F131" s="13" t="s">
        <v>96</v>
      </c>
      <c r="G131" s="13" t="s">
        <v>174</v>
      </c>
      <c r="H131" s="13" t="s">
        <v>345</v>
      </c>
      <c r="I131" s="13" t="s">
        <v>191</v>
      </c>
      <c r="K131" s="19" t="s">
        <v>1815</v>
      </c>
      <c r="L131" s="17"/>
      <c r="M131" s="17"/>
      <c r="N131" s="13" t="s">
        <v>244</v>
      </c>
      <c r="O131" s="13" t="s">
        <v>209</v>
      </c>
      <c r="P131" s="16"/>
      <c r="Q131" s="16"/>
      <c r="R131" s="16"/>
      <c r="S131" s="21">
        <f>IF($C131&lt;&gt;"Organisation","",IF(OR($P131&lt;&gt;"",$Q131&lt;&gt;""),IF($P131&lt;&gt;"",IF($Q131&lt;&gt;"",($P131+$Q131)/2,$P131),$Q131),ROUND(_xlfn.XLOOKUP($N131,Assumptions!$B$5:$B$9,Assumptions!$C$5:$C$9,0)*_xlfn.XLOOKUP($G131,Assumptions!$B$13:$B$26,Assumptions!$C$13:$C$26,0)*_xlfn.XLOOKUP($I131,Assumptions!$B$30:$B$50,Assumptions!$C$30:$C$50,0),0)))</f>
        <v>24</v>
      </c>
      <c r="T131" s="16" t="str">
        <f>IF($C131&lt;&gt;"Organisation","",IF(OR($P131&lt;&gt;"",$Q131&lt;&gt;""),"Documented in source - midpoint of annual_intake_low/high",IF($I131="","No confirmed programme - modelled as zero",$N131&amp;" base x "&amp;TEXT(_xlfn.XLOOKUP($G131,Assumptions!$B$13:$B$26,Assumptions!$C$13:$C$26,0),"0.0#")&amp;" sector x "&amp;TEXT(_xlfn.XLOOKUP($I131,Assumptions!$B$30:$B$50,Assumptions!$C$30:$C$50,0),"0.0#")&amp;" mechanism")))</f>
        <v>Mid base x 0.8 sector x 1.0 mechanism</v>
      </c>
      <c r="U131" s="13" t="s">
        <v>230</v>
      </c>
      <c r="V131" s="13" t="s">
        <v>231</v>
      </c>
      <c r="W131" s="13" t="s">
        <v>80</v>
      </c>
      <c r="X131" s="13"/>
    </row>
    <row r="132" spans="1:24" x14ac:dyDescent="0.2">
      <c r="A132" s="13" t="s">
        <v>346</v>
      </c>
      <c r="B132" s="13" t="s">
        <v>347</v>
      </c>
      <c r="C132" s="13" t="s">
        <v>205</v>
      </c>
      <c r="D132" s="13" t="s">
        <v>23</v>
      </c>
      <c r="E132" s="13" t="s">
        <v>35</v>
      </c>
      <c r="F132" s="13" t="s">
        <v>78</v>
      </c>
      <c r="G132" s="13" t="s">
        <v>176</v>
      </c>
      <c r="H132" s="13" t="s">
        <v>348</v>
      </c>
      <c r="I132" s="13" t="s">
        <v>201</v>
      </c>
      <c r="J132" s="13" t="s">
        <v>349</v>
      </c>
      <c r="K132" s="19" t="s">
        <v>1815</v>
      </c>
      <c r="L132" s="17"/>
      <c r="M132" s="17"/>
      <c r="N132" s="13" t="s">
        <v>208</v>
      </c>
      <c r="O132" s="13" t="s">
        <v>209</v>
      </c>
      <c r="P132" s="16"/>
      <c r="Q132" s="16"/>
      <c r="R132" s="16"/>
      <c r="S132" s="21">
        <f>IF($C132&lt;&gt;"Organisation","",IF(OR($P132&lt;&gt;"",$Q132&lt;&gt;""),IF($P132&lt;&gt;"",IF($Q132&lt;&gt;"",($P132+$Q132)/2,$P132),$Q132),ROUND(_xlfn.XLOOKUP($N132,Assumptions!$B$5:$B$9,Assumptions!$C$5:$C$9,0)*_xlfn.XLOOKUP($G132,Assumptions!$B$13:$B$26,Assumptions!$C$13:$C$26,0)*_xlfn.XLOOKUP($I132,Assumptions!$B$30:$B$50,Assumptions!$C$30:$C$50,0),0)))</f>
        <v>60</v>
      </c>
      <c r="T132" s="16" t="str">
        <f>IF($C132&lt;&gt;"Organisation","",IF(OR($P132&lt;&gt;"",$Q132&lt;&gt;""),"Documented in source - midpoint of annual_intake_low/high",IF($I132="","No confirmed programme - modelled as zero",$N132&amp;" base x "&amp;TEXT(_xlfn.XLOOKUP($G132,Assumptions!$B$13:$B$26,Assumptions!$C$13:$C$26,0),"0.0#")&amp;" sector x "&amp;TEXT(_xlfn.XLOOKUP($I132,Assumptions!$B$30:$B$50,Assumptions!$C$30:$C$50,0),"0.0#")&amp;" mechanism")))</f>
        <v>Large base x 1.0 sector x 0.5 mechanism</v>
      </c>
      <c r="U132" s="13" t="s">
        <v>210</v>
      </c>
      <c r="V132" s="13" t="s">
        <v>211</v>
      </c>
      <c r="W132" s="13" t="s">
        <v>80</v>
      </c>
      <c r="X132" s="13"/>
    </row>
    <row r="133" spans="1:24" x14ac:dyDescent="0.2">
      <c r="A133" s="13" t="s">
        <v>350</v>
      </c>
      <c r="B133" s="13" t="s">
        <v>351</v>
      </c>
      <c r="C133" s="13" t="s">
        <v>205</v>
      </c>
      <c r="D133" s="13" t="s">
        <v>23</v>
      </c>
      <c r="E133" s="13" t="s">
        <v>35</v>
      </c>
      <c r="F133" s="13" t="s">
        <v>96</v>
      </c>
      <c r="G133" s="13" t="s">
        <v>176</v>
      </c>
      <c r="H133" s="13" t="s">
        <v>348</v>
      </c>
      <c r="I133" s="13" t="s">
        <v>201</v>
      </c>
      <c r="J133" s="13" t="s">
        <v>352</v>
      </c>
      <c r="K133" s="19" t="s">
        <v>1815</v>
      </c>
      <c r="L133" s="17"/>
      <c r="M133" s="17"/>
      <c r="N133" s="13" t="s">
        <v>208</v>
      </c>
      <c r="O133" s="13" t="s">
        <v>209</v>
      </c>
      <c r="P133" s="16"/>
      <c r="Q133" s="16"/>
      <c r="R133" s="16"/>
      <c r="S133" s="21">
        <f>IF($C133&lt;&gt;"Organisation","",IF(OR($P133&lt;&gt;"",$Q133&lt;&gt;""),IF($P133&lt;&gt;"",IF($Q133&lt;&gt;"",($P133+$Q133)/2,$P133),$Q133),ROUND(_xlfn.XLOOKUP($N133,Assumptions!$B$5:$B$9,Assumptions!$C$5:$C$9,0)*_xlfn.XLOOKUP($G133,Assumptions!$B$13:$B$26,Assumptions!$C$13:$C$26,0)*_xlfn.XLOOKUP($I133,Assumptions!$B$30:$B$50,Assumptions!$C$30:$C$50,0),0)))</f>
        <v>60</v>
      </c>
      <c r="T133" s="16" t="str">
        <f>IF($C133&lt;&gt;"Organisation","",IF(OR($P133&lt;&gt;"",$Q133&lt;&gt;""),"Documented in source - midpoint of annual_intake_low/high",IF($I133="","No confirmed programme - modelled as zero",$N133&amp;" base x "&amp;TEXT(_xlfn.XLOOKUP($G133,Assumptions!$B$13:$B$26,Assumptions!$C$13:$C$26,0),"0.0#")&amp;" sector x "&amp;TEXT(_xlfn.XLOOKUP($I133,Assumptions!$B$30:$B$50,Assumptions!$C$30:$C$50,0),"0.0#")&amp;" mechanism")))</f>
        <v>Large base x 1.0 sector x 0.5 mechanism</v>
      </c>
      <c r="U133" s="13" t="s">
        <v>222</v>
      </c>
      <c r="V133" s="13" t="s">
        <v>223</v>
      </c>
      <c r="W133" s="13" t="s">
        <v>80</v>
      </c>
      <c r="X133" s="13"/>
    </row>
    <row r="134" spans="1:24" x14ac:dyDescent="0.2">
      <c r="A134" s="13" t="s">
        <v>353</v>
      </c>
      <c r="B134" s="13" t="s">
        <v>354</v>
      </c>
      <c r="C134" s="13" t="s">
        <v>205</v>
      </c>
      <c r="D134" s="13" t="s">
        <v>23</v>
      </c>
      <c r="E134" s="13" t="s">
        <v>35</v>
      </c>
      <c r="F134" s="13" t="s">
        <v>78</v>
      </c>
      <c r="G134" s="13" t="s">
        <v>176</v>
      </c>
      <c r="H134" s="13" t="s">
        <v>348</v>
      </c>
      <c r="I134" s="13" t="s">
        <v>201</v>
      </c>
      <c r="J134" s="13" t="s">
        <v>355</v>
      </c>
      <c r="K134" s="19" t="s">
        <v>1815</v>
      </c>
      <c r="L134" s="17"/>
      <c r="M134" s="17"/>
      <c r="N134" s="13" t="s">
        <v>208</v>
      </c>
      <c r="O134" s="13" t="s">
        <v>209</v>
      </c>
      <c r="P134" s="16"/>
      <c r="Q134" s="16"/>
      <c r="R134" s="16"/>
      <c r="S134" s="21">
        <f>IF($C134&lt;&gt;"Organisation","",IF(OR($P134&lt;&gt;"",$Q134&lt;&gt;""),IF($P134&lt;&gt;"",IF($Q134&lt;&gt;"",($P134+$Q134)/2,$P134),$Q134),ROUND(_xlfn.XLOOKUP($N134,Assumptions!$B$5:$B$9,Assumptions!$C$5:$C$9,0)*_xlfn.XLOOKUP($G134,Assumptions!$B$13:$B$26,Assumptions!$C$13:$C$26,0)*_xlfn.XLOOKUP($I134,Assumptions!$B$30:$B$50,Assumptions!$C$30:$C$50,0),0)))</f>
        <v>60</v>
      </c>
      <c r="T134" s="16" t="str">
        <f>IF($C134&lt;&gt;"Organisation","",IF(OR($P134&lt;&gt;"",$Q134&lt;&gt;""),"Documented in source - midpoint of annual_intake_low/high",IF($I134="","No confirmed programme - modelled as zero",$N134&amp;" base x "&amp;TEXT(_xlfn.XLOOKUP($G134,Assumptions!$B$13:$B$26,Assumptions!$C$13:$C$26,0),"0.0#")&amp;" sector x "&amp;TEXT(_xlfn.XLOOKUP($I134,Assumptions!$B$30:$B$50,Assumptions!$C$30:$C$50,0),"0.0#")&amp;" mechanism")))</f>
        <v>Large base x 1.0 sector x 0.5 mechanism</v>
      </c>
      <c r="U134" s="13" t="s">
        <v>210</v>
      </c>
      <c r="V134" s="13" t="s">
        <v>211</v>
      </c>
      <c r="W134" s="13" t="s">
        <v>80</v>
      </c>
      <c r="X134" s="13"/>
    </row>
    <row r="135" spans="1:24" x14ac:dyDescent="0.2">
      <c r="A135" s="13" t="s">
        <v>356</v>
      </c>
      <c r="B135" s="13" t="s">
        <v>357</v>
      </c>
      <c r="C135" s="13" t="s">
        <v>205</v>
      </c>
      <c r="D135" s="13" t="s">
        <v>23</v>
      </c>
      <c r="E135" s="13" t="s">
        <v>35</v>
      </c>
      <c r="F135" s="13" t="s">
        <v>94</v>
      </c>
      <c r="G135" s="13" t="s">
        <v>176</v>
      </c>
      <c r="H135" s="13" t="s">
        <v>348</v>
      </c>
      <c r="I135" s="13" t="s">
        <v>201</v>
      </c>
      <c r="J135" s="13" t="s">
        <v>358</v>
      </c>
      <c r="K135" s="19" t="s">
        <v>1815</v>
      </c>
      <c r="L135" s="17"/>
      <c r="M135" s="17"/>
      <c r="N135" s="13" t="s">
        <v>208</v>
      </c>
      <c r="O135" s="13" t="s">
        <v>209</v>
      </c>
      <c r="P135" s="16"/>
      <c r="Q135" s="16"/>
      <c r="R135" s="16"/>
      <c r="S135" s="21">
        <f>IF($C135&lt;&gt;"Organisation","",IF(OR($P135&lt;&gt;"",$Q135&lt;&gt;""),IF($P135&lt;&gt;"",IF($Q135&lt;&gt;"",($P135+$Q135)/2,$P135),$Q135),ROUND(_xlfn.XLOOKUP($N135,Assumptions!$B$5:$B$9,Assumptions!$C$5:$C$9,0)*_xlfn.XLOOKUP($G135,Assumptions!$B$13:$B$26,Assumptions!$C$13:$C$26,0)*_xlfn.XLOOKUP($I135,Assumptions!$B$30:$B$50,Assumptions!$C$30:$C$50,0),0)))</f>
        <v>60</v>
      </c>
      <c r="T135" s="16" t="str">
        <f>IF($C135&lt;&gt;"Organisation","",IF(OR($P135&lt;&gt;"",$Q135&lt;&gt;""),"Documented in source - midpoint of annual_intake_low/high",IF($I135="","No confirmed programme - modelled as zero",$N135&amp;" base x "&amp;TEXT(_xlfn.XLOOKUP($G135,Assumptions!$B$13:$B$26,Assumptions!$C$13:$C$26,0),"0.0#")&amp;" sector x "&amp;TEXT(_xlfn.XLOOKUP($I135,Assumptions!$B$30:$B$50,Assumptions!$C$30:$C$50,0),"0.0#")&amp;" mechanism")))</f>
        <v>Large base x 1.0 sector x 0.5 mechanism</v>
      </c>
      <c r="U135" s="13" t="s">
        <v>222</v>
      </c>
      <c r="V135" s="13" t="s">
        <v>223</v>
      </c>
      <c r="W135" s="13" t="s">
        <v>80</v>
      </c>
      <c r="X135" s="13"/>
    </row>
    <row r="136" spans="1:24" x14ac:dyDescent="0.2">
      <c r="A136" s="13" t="s">
        <v>359</v>
      </c>
      <c r="B136" s="13" t="s">
        <v>360</v>
      </c>
      <c r="C136" s="13" t="s">
        <v>205</v>
      </c>
      <c r="D136" s="13" t="s">
        <v>23</v>
      </c>
      <c r="E136" s="13" t="s">
        <v>35</v>
      </c>
      <c r="F136" s="13" t="s">
        <v>96</v>
      </c>
      <c r="G136" s="13" t="s">
        <v>176</v>
      </c>
      <c r="H136" s="13" t="s">
        <v>348</v>
      </c>
      <c r="I136" s="13" t="s">
        <v>201</v>
      </c>
      <c r="J136" s="13" t="s">
        <v>361</v>
      </c>
      <c r="K136" s="19" t="s">
        <v>1815</v>
      </c>
      <c r="L136" s="17"/>
      <c r="M136" s="17"/>
      <c r="N136" s="13" t="s">
        <v>208</v>
      </c>
      <c r="O136" s="13" t="s">
        <v>209</v>
      </c>
      <c r="P136" s="16"/>
      <c r="Q136" s="16"/>
      <c r="R136" s="16"/>
      <c r="S136" s="21">
        <f>IF($C136&lt;&gt;"Organisation","",IF(OR($P136&lt;&gt;"",$Q136&lt;&gt;""),IF($P136&lt;&gt;"",IF($Q136&lt;&gt;"",($P136+$Q136)/2,$P136),$Q136),ROUND(_xlfn.XLOOKUP($N136,Assumptions!$B$5:$B$9,Assumptions!$C$5:$C$9,0)*_xlfn.XLOOKUP($G136,Assumptions!$B$13:$B$26,Assumptions!$C$13:$C$26,0)*_xlfn.XLOOKUP($I136,Assumptions!$B$30:$B$50,Assumptions!$C$30:$C$50,0),0)))</f>
        <v>60</v>
      </c>
      <c r="T136" s="16" t="str">
        <f>IF($C136&lt;&gt;"Organisation","",IF(OR($P136&lt;&gt;"",$Q136&lt;&gt;""),"Documented in source - midpoint of annual_intake_low/high",IF($I136="","No confirmed programme - modelled as zero",$N136&amp;" base x "&amp;TEXT(_xlfn.XLOOKUP($G136,Assumptions!$B$13:$B$26,Assumptions!$C$13:$C$26,0),"0.0#")&amp;" sector x "&amp;TEXT(_xlfn.XLOOKUP($I136,Assumptions!$B$30:$B$50,Assumptions!$C$30:$C$50,0),"0.0#")&amp;" mechanism")))</f>
        <v>Large base x 1.0 sector x 0.5 mechanism</v>
      </c>
      <c r="U136" s="13" t="s">
        <v>222</v>
      </c>
      <c r="V136" s="13" t="s">
        <v>223</v>
      </c>
      <c r="W136" s="13" t="s">
        <v>80</v>
      </c>
      <c r="X136" s="13"/>
    </row>
    <row r="137" spans="1:24" x14ac:dyDescent="0.2">
      <c r="A137" s="13" t="s">
        <v>362</v>
      </c>
      <c r="B137" s="13" t="s">
        <v>363</v>
      </c>
      <c r="C137" s="13" t="s">
        <v>205</v>
      </c>
      <c r="D137" s="13" t="s">
        <v>23</v>
      </c>
      <c r="E137" s="13" t="s">
        <v>35</v>
      </c>
      <c r="F137" s="13" t="s">
        <v>84</v>
      </c>
      <c r="G137" s="13" t="s">
        <v>176</v>
      </c>
      <c r="H137" s="13" t="s">
        <v>348</v>
      </c>
      <c r="I137" s="13" t="s">
        <v>201</v>
      </c>
      <c r="J137" s="13" t="s">
        <v>364</v>
      </c>
      <c r="K137" s="19" t="s">
        <v>1815</v>
      </c>
      <c r="L137" s="17"/>
      <c r="M137" s="17"/>
      <c r="N137" s="13" t="s">
        <v>208</v>
      </c>
      <c r="O137" s="13" t="s">
        <v>209</v>
      </c>
      <c r="P137" s="16"/>
      <c r="Q137" s="16"/>
      <c r="R137" s="16"/>
      <c r="S137" s="21">
        <f>IF($C137&lt;&gt;"Organisation","",IF(OR($P137&lt;&gt;"",$Q137&lt;&gt;""),IF($P137&lt;&gt;"",IF($Q137&lt;&gt;"",($P137+$Q137)/2,$P137),$Q137),ROUND(_xlfn.XLOOKUP($N137,Assumptions!$B$5:$B$9,Assumptions!$C$5:$C$9,0)*_xlfn.XLOOKUP($G137,Assumptions!$B$13:$B$26,Assumptions!$C$13:$C$26,0)*_xlfn.XLOOKUP($I137,Assumptions!$B$30:$B$50,Assumptions!$C$30:$C$50,0),0)))</f>
        <v>60</v>
      </c>
      <c r="T137" s="16" t="str">
        <f>IF($C137&lt;&gt;"Organisation","",IF(OR($P137&lt;&gt;"",$Q137&lt;&gt;""),"Documented in source - midpoint of annual_intake_low/high",IF($I137="","No confirmed programme - modelled as zero",$N137&amp;" base x "&amp;TEXT(_xlfn.XLOOKUP($G137,Assumptions!$B$13:$B$26,Assumptions!$C$13:$C$26,0),"0.0#")&amp;" sector x "&amp;TEXT(_xlfn.XLOOKUP($I137,Assumptions!$B$30:$B$50,Assumptions!$C$30:$C$50,0),"0.0#")&amp;" mechanism")))</f>
        <v>Large base x 1.0 sector x 0.5 mechanism</v>
      </c>
      <c r="U137" s="13" t="s">
        <v>222</v>
      </c>
      <c r="V137" s="13" t="s">
        <v>223</v>
      </c>
      <c r="W137" s="13" t="s">
        <v>80</v>
      </c>
      <c r="X137" s="13"/>
    </row>
    <row r="138" spans="1:24" x14ac:dyDescent="0.2">
      <c r="A138" s="13" t="s">
        <v>365</v>
      </c>
      <c r="B138" s="13" t="s">
        <v>366</v>
      </c>
      <c r="C138" s="13" t="s">
        <v>205</v>
      </c>
      <c r="D138" s="13" t="s">
        <v>23</v>
      </c>
      <c r="E138" s="13" t="s">
        <v>35</v>
      </c>
      <c r="F138" s="13" t="s">
        <v>96</v>
      </c>
      <c r="G138" s="13" t="s">
        <v>176</v>
      </c>
      <c r="H138" s="13" t="s">
        <v>348</v>
      </c>
      <c r="I138" s="13" t="s">
        <v>201</v>
      </c>
      <c r="J138" s="13" t="s">
        <v>367</v>
      </c>
      <c r="K138" s="19" t="s">
        <v>1815</v>
      </c>
      <c r="L138" s="17"/>
      <c r="M138" s="17"/>
      <c r="N138" s="13" t="s">
        <v>218</v>
      </c>
      <c r="O138" s="13" t="s">
        <v>209</v>
      </c>
      <c r="P138" s="16"/>
      <c r="Q138" s="16"/>
      <c r="R138" s="16"/>
      <c r="S138" s="21">
        <f>IF($C138&lt;&gt;"Organisation","",IF(OR($P138&lt;&gt;"",$Q138&lt;&gt;""),IF($P138&lt;&gt;"",IF($Q138&lt;&gt;"",($P138+$Q138)/2,$P138),$Q138),ROUND(_xlfn.XLOOKUP($N138,Assumptions!$B$5:$B$9,Assumptions!$C$5:$C$9,0)*_xlfn.XLOOKUP($G138,Assumptions!$B$13:$B$26,Assumptions!$C$13:$C$26,0)*_xlfn.XLOOKUP($I138,Assumptions!$B$30:$B$50,Assumptions!$C$30:$C$50,0),0)))</f>
        <v>200</v>
      </c>
      <c r="T138" s="16" t="str">
        <f>IF($C138&lt;&gt;"Organisation","",IF(OR($P138&lt;&gt;"",$Q138&lt;&gt;""),"Documented in source - midpoint of annual_intake_low/high",IF($I138="","No confirmed programme - modelled as zero",$N138&amp;" base x "&amp;TEXT(_xlfn.XLOOKUP($G138,Assumptions!$B$13:$B$26,Assumptions!$C$13:$C$26,0),"0.0#")&amp;" sector x "&amp;TEXT(_xlfn.XLOOKUP($I138,Assumptions!$B$30:$B$50,Assumptions!$C$30:$C$50,0),"0.0#")&amp;" mechanism")))</f>
        <v>Mega base x 1.0 sector x 0.5 mechanism</v>
      </c>
      <c r="U138" s="13" t="s">
        <v>222</v>
      </c>
      <c r="V138" s="13" t="s">
        <v>223</v>
      </c>
      <c r="W138" s="13" t="s">
        <v>80</v>
      </c>
      <c r="X138" s="13"/>
    </row>
    <row r="139" spans="1:24" x14ac:dyDescent="0.2">
      <c r="A139" s="13" t="s">
        <v>368</v>
      </c>
      <c r="B139" s="13" t="s">
        <v>369</v>
      </c>
      <c r="C139" s="13" t="s">
        <v>205</v>
      </c>
      <c r="D139" s="13" t="s">
        <v>23</v>
      </c>
      <c r="E139" s="13" t="s">
        <v>35</v>
      </c>
      <c r="F139" s="13" t="s">
        <v>96</v>
      </c>
      <c r="G139" s="13" t="s">
        <v>176</v>
      </c>
      <c r="H139" s="13" t="s">
        <v>348</v>
      </c>
      <c r="I139" s="13" t="s">
        <v>201</v>
      </c>
      <c r="J139" s="13" t="s">
        <v>364</v>
      </c>
      <c r="K139" s="19" t="s">
        <v>1815</v>
      </c>
      <c r="L139" s="17"/>
      <c r="M139" s="17"/>
      <c r="N139" s="13" t="s">
        <v>218</v>
      </c>
      <c r="O139" s="13" t="s">
        <v>209</v>
      </c>
      <c r="P139" s="16"/>
      <c r="Q139" s="16"/>
      <c r="R139" s="16"/>
      <c r="S139" s="21">
        <f>IF($C139&lt;&gt;"Organisation","",IF(OR($P139&lt;&gt;"",$Q139&lt;&gt;""),IF($P139&lt;&gt;"",IF($Q139&lt;&gt;"",($P139+$Q139)/2,$P139),$Q139),ROUND(_xlfn.XLOOKUP($N139,Assumptions!$B$5:$B$9,Assumptions!$C$5:$C$9,0)*_xlfn.XLOOKUP($G139,Assumptions!$B$13:$B$26,Assumptions!$C$13:$C$26,0)*_xlfn.XLOOKUP($I139,Assumptions!$B$30:$B$50,Assumptions!$C$30:$C$50,0),0)))</f>
        <v>200</v>
      </c>
      <c r="T139" s="16" t="str">
        <f>IF($C139&lt;&gt;"Organisation","",IF(OR($P139&lt;&gt;"",$Q139&lt;&gt;""),"Documented in source - midpoint of annual_intake_low/high",IF($I139="","No confirmed programme - modelled as zero",$N139&amp;" base x "&amp;TEXT(_xlfn.XLOOKUP($G139,Assumptions!$B$13:$B$26,Assumptions!$C$13:$C$26,0),"0.0#")&amp;" sector x "&amp;TEXT(_xlfn.XLOOKUP($I139,Assumptions!$B$30:$B$50,Assumptions!$C$30:$C$50,0),"0.0#")&amp;" mechanism")))</f>
        <v>Mega base x 1.0 sector x 0.5 mechanism</v>
      </c>
      <c r="U139" s="13" t="s">
        <v>222</v>
      </c>
      <c r="V139" s="13" t="s">
        <v>223</v>
      </c>
      <c r="W139" s="13" t="s">
        <v>80</v>
      </c>
      <c r="X139" s="13"/>
    </row>
    <row r="140" spans="1:24" x14ac:dyDescent="0.2">
      <c r="A140" s="13" t="s">
        <v>370</v>
      </c>
      <c r="B140" s="13" t="s">
        <v>371</v>
      </c>
      <c r="C140" s="13" t="s">
        <v>205</v>
      </c>
      <c r="D140" s="13" t="s">
        <v>23</v>
      </c>
      <c r="E140" s="13" t="s">
        <v>35</v>
      </c>
      <c r="F140" s="13" t="s">
        <v>78</v>
      </c>
      <c r="G140" s="13" t="s">
        <v>178</v>
      </c>
      <c r="H140" s="13" t="s">
        <v>372</v>
      </c>
      <c r="I140" s="13" t="s">
        <v>191</v>
      </c>
      <c r="J140" s="13" t="s">
        <v>373</v>
      </c>
      <c r="K140" s="19" t="s">
        <v>1815</v>
      </c>
      <c r="L140" s="17"/>
      <c r="M140" s="17"/>
      <c r="N140" s="13" t="s">
        <v>208</v>
      </c>
      <c r="O140" s="13" t="s">
        <v>209</v>
      </c>
      <c r="P140" s="16"/>
      <c r="Q140" s="16"/>
      <c r="R140" s="16"/>
      <c r="S140" s="21">
        <f>IF($C140&lt;&gt;"Organisation","",IF(OR($P140&lt;&gt;"",$Q140&lt;&gt;""),IF($P140&lt;&gt;"",IF($Q140&lt;&gt;"",($P140+$Q140)/2,$P140),$Q140),ROUND(_xlfn.XLOOKUP($N140,Assumptions!$B$5:$B$9,Assumptions!$C$5:$C$9,0)*_xlfn.XLOOKUP($G140,Assumptions!$B$13:$B$26,Assumptions!$C$13:$C$26,0)*_xlfn.XLOOKUP($I140,Assumptions!$B$30:$B$50,Assumptions!$C$30:$C$50,0),0)))</f>
        <v>180</v>
      </c>
      <c r="T140" s="16" t="str">
        <f>IF($C140&lt;&gt;"Organisation","",IF(OR($P140&lt;&gt;"",$Q140&lt;&gt;""),"Documented in source - midpoint of annual_intake_low/high",IF($I140="","No confirmed programme - modelled as zero",$N140&amp;" base x "&amp;TEXT(_xlfn.XLOOKUP($G140,Assumptions!$B$13:$B$26,Assumptions!$C$13:$C$26,0),"0.0#")&amp;" sector x "&amp;TEXT(_xlfn.XLOOKUP($I140,Assumptions!$B$30:$B$50,Assumptions!$C$30:$C$50,0),"0.0#")&amp;" mechanism")))</f>
        <v>Large base x 1.5 sector x 1.0 mechanism</v>
      </c>
      <c r="U140" s="13" t="s">
        <v>210</v>
      </c>
      <c r="V140" s="13" t="s">
        <v>211</v>
      </c>
      <c r="W140" s="13" t="s">
        <v>80</v>
      </c>
      <c r="X140" s="13"/>
    </row>
    <row r="141" spans="1:24" x14ac:dyDescent="0.2">
      <c r="A141" s="13" t="s">
        <v>374</v>
      </c>
      <c r="B141" s="13" t="s">
        <v>375</v>
      </c>
      <c r="C141" s="13" t="s">
        <v>205</v>
      </c>
      <c r="D141" s="13" t="s">
        <v>23</v>
      </c>
      <c r="E141" s="13" t="s">
        <v>35</v>
      </c>
      <c r="F141" s="13" t="s">
        <v>78</v>
      </c>
      <c r="G141" s="13" t="s">
        <v>178</v>
      </c>
      <c r="H141" s="13" t="s">
        <v>372</v>
      </c>
      <c r="I141" s="13" t="s">
        <v>191</v>
      </c>
      <c r="J141" s="13" t="s">
        <v>376</v>
      </c>
      <c r="K141" s="19" t="s">
        <v>1815</v>
      </c>
      <c r="L141" s="17"/>
      <c r="M141" s="17"/>
      <c r="N141" s="13" t="s">
        <v>208</v>
      </c>
      <c r="O141" s="13" t="s">
        <v>209</v>
      </c>
      <c r="P141" s="16"/>
      <c r="Q141" s="16"/>
      <c r="R141" s="16"/>
      <c r="S141" s="21">
        <f>IF($C141&lt;&gt;"Organisation","",IF(OR($P141&lt;&gt;"",$Q141&lt;&gt;""),IF($P141&lt;&gt;"",IF($Q141&lt;&gt;"",($P141+$Q141)/2,$P141),$Q141),ROUND(_xlfn.XLOOKUP($N141,Assumptions!$B$5:$B$9,Assumptions!$C$5:$C$9,0)*_xlfn.XLOOKUP($G141,Assumptions!$B$13:$B$26,Assumptions!$C$13:$C$26,0)*_xlfn.XLOOKUP($I141,Assumptions!$B$30:$B$50,Assumptions!$C$30:$C$50,0),0)))</f>
        <v>180</v>
      </c>
      <c r="T141" s="16" t="str">
        <f>IF($C141&lt;&gt;"Organisation","",IF(OR($P141&lt;&gt;"",$Q141&lt;&gt;""),"Documented in source - midpoint of annual_intake_low/high",IF($I141="","No confirmed programme - modelled as zero",$N141&amp;" base x "&amp;TEXT(_xlfn.XLOOKUP($G141,Assumptions!$B$13:$B$26,Assumptions!$C$13:$C$26,0),"0.0#")&amp;" sector x "&amp;TEXT(_xlfn.XLOOKUP($I141,Assumptions!$B$30:$B$50,Assumptions!$C$30:$C$50,0),"0.0#")&amp;" mechanism")))</f>
        <v>Large base x 1.5 sector x 1.0 mechanism</v>
      </c>
      <c r="U141" s="13" t="s">
        <v>222</v>
      </c>
      <c r="V141" s="13" t="s">
        <v>223</v>
      </c>
      <c r="W141" s="13" t="s">
        <v>80</v>
      </c>
      <c r="X141" s="13"/>
    </row>
    <row r="142" spans="1:24" x14ac:dyDescent="0.2">
      <c r="A142" s="13" t="s">
        <v>377</v>
      </c>
      <c r="B142" s="13" t="s">
        <v>378</v>
      </c>
      <c r="C142" s="13" t="s">
        <v>205</v>
      </c>
      <c r="D142" s="13" t="s">
        <v>23</v>
      </c>
      <c r="E142" s="13" t="s">
        <v>35</v>
      </c>
      <c r="F142" s="13" t="s">
        <v>78</v>
      </c>
      <c r="G142" s="13" t="s">
        <v>178</v>
      </c>
      <c r="H142" s="13" t="s">
        <v>372</v>
      </c>
      <c r="I142" s="13" t="s">
        <v>191</v>
      </c>
      <c r="J142" s="13" t="s">
        <v>243</v>
      </c>
      <c r="K142" s="19" t="s">
        <v>1815</v>
      </c>
      <c r="L142" s="17"/>
      <c r="M142" s="17"/>
      <c r="N142" s="13" t="s">
        <v>244</v>
      </c>
      <c r="O142" s="13" t="s">
        <v>209</v>
      </c>
      <c r="P142" s="16"/>
      <c r="Q142" s="16"/>
      <c r="R142" s="16"/>
      <c r="S142" s="21">
        <f>IF($C142&lt;&gt;"Organisation","",IF(OR($P142&lt;&gt;"",$Q142&lt;&gt;""),IF($P142&lt;&gt;"",IF($Q142&lt;&gt;"",($P142+$Q142)/2,$P142),$Q142),ROUND(_xlfn.XLOOKUP($N142,Assumptions!$B$5:$B$9,Assumptions!$C$5:$C$9,0)*_xlfn.XLOOKUP($G142,Assumptions!$B$13:$B$26,Assumptions!$C$13:$C$26,0)*_xlfn.XLOOKUP($I142,Assumptions!$B$30:$B$50,Assumptions!$C$30:$C$50,0),0)))</f>
        <v>45</v>
      </c>
      <c r="T142" s="16" t="str">
        <f>IF($C142&lt;&gt;"Organisation","",IF(OR($P142&lt;&gt;"",$Q142&lt;&gt;""),"Documented in source - midpoint of annual_intake_low/high",IF($I142="","No confirmed programme - modelled as zero",$N142&amp;" base x "&amp;TEXT(_xlfn.XLOOKUP($G142,Assumptions!$B$13:$B$26,Assumptions!$C$13:$C$26,0),"0.0#")&amp;" sector x "&amp;TEXT(_xlfn.XLOOKUP($I142,Assumptions!$B$30:$B$50,Assumptions!$C$30:$C$50,0),"0.0#")&amp;" mechanism")))</f>
        <v>Mid base x 1.5 sector x 1.0 mechanism</v>
      </c>
      <c r="U142" s="13" t="s">
        <v>230</v>
      </c>
      <c r="V142" s="13" t="s">
        <v>231</v>
      </c>
      <c r="W142" s="13" t="s">
        <v>80</v>
      </c>
      <c r="X142" s="13"/>
    </row>
    <row r="143" spans="1:24" x14ac:dyDescent="0.2">
      <c r="A143" s="13" t="s">
        <v>379</v>
      </c>
      <c r="B143" s="13" t="s">
        <v>380</v>
      </c>
      <c r="C143" s="13" t="s">
        <v>205</v>
      </c>
      <c r="D143" s="13" t="s">
        <v>23</v>
      </c>
      <c r="E143" s="13" t="s">
        <v>35</v>
      </c>
      <c r="F143" s="13" t="s">
        <v>78</v>
      </c>
      <c r="G143" s="13" t="s">
        <v>178</v>
      </c>
      <c r="H143" s="13" t="s">
        <v>372</v>
      </c>
      <c r="I143" s="13" t="s">
        <v>191</v>
      </c>
      <c r="J143" s="13" t="s">
        <v>243</v>
      </c>
      <c r="K143" s="19" t="s">
        <v>1815</v>
      </c>
      <c r="L143" s="17"/>
      <c r="M143" s="17"/>
      <c r="N143" s="13" t="s">
        <v>244</v>
      </c>
      <c r="O143" s="13" t="s">
        <v>209</v>
      </c>
      <c r="P143" s="16"/>
      <c r="Q143" s="16"/>
      <c r="R143" s="16"/>
      <c r="S143" s="21">
        <f>IF($C143&lt;&gt;"Organisation","",IF(OR($P143&lt;&gt;"",$Q143&lt;&gt;""),IF($P143&lt;&gt;"",IF($Q143&lt;&gt;"",($P143+$Q143)/2,$P143),$Q143),ROUND(_xlfn.XLOOKUP($N143,Assumptions!$B$5:$B$9,Assumptions!$C$5:$C$9,0)*_xlfn.XLOOKUP($G143,Assumptions!$B$13:$B$26,Assumptions!$C$13:$C$26,0)*_xlfn.XLOOKUP($I143,Assumptions!$B$30:$B$50,Assumptions!$C$30:$C$50,0),0)))</f>
        <v>45</v>
      </c>
      <c r="T143" s="16" t="str">
        <f>IF($C143&lt;&gt;"Organisation","",IF(OR($P143&lt;&gt;"",$Q143&lt;&gt;""),"Documented in source - midpoint of annual_intake_low/high",IF($I143="","No confirmed programme - modelled as zero",$N143&amp;" base x "&amp;TEXT(_xlfn.XLOOKUP($G143,Assumptions!$B$13:$B$26,Assumptions!$C$13:$C$26,0),"0.0#")&amp;" sector x "&amp;TEXT(_xlfn.XLOOKUP($I143,Assumptions!$B$30:$B$50,Assumptions!$C$30:$C$50,0),"0.0#")&amp;" mechanism")))</f>
        <v>Mid base x 1.5 sector x 1.0 mechanism</v>
      </c>
      <c r="U143" s="13" t="s">
        <v>230</v>
      </c>
      <c r="V143" s="13" t="s">
        <v>231</v>
      </c>
      <c r="W143" s="13" t="s">
        <v>80</v>
      </c>
      <c r="X143" s="13"/>
    </row>
    <row r="144" spans="1:24" x14ac:dyDescent="0.2">
      <c r="A144" s="13" t="s">
        <v>381</v>
      </c>
      <c r="B144" s="13" t="s">
        <v>382</v>
      </c>
      <c r="C144" s="13" t="s">
        <v>205</v>
      </c>
      <c r="D144" s="13" t="s">
        <v>23</v>
      </c>
      <c r="E144" s="13" t="s">
        <v>35</v>
      </c>
      <c r="F144" s="13" t="s">
        <v>78</v>
      </c>
      <c r="G144" s="13" t="s">
        <v>178</v>
      </c>
      <c r="H144" s="13" t="s">
        <v>372</v>
      </c>
      <c r="I144" s="13" t="s">
        <v>191</v>
      </c>
      <c r="J144" s="13" t="s">
        <v>383</v>
      </c>
      <c r="K144" s="19" t="s">
        <v>1815</v>
      </c>
      <c r="L144" s="17"/>
      <c r="M144" s="17"/>
      <c r="N144" s="13" t="s">
        <v>208</v>
      </c>
      <c r="O144" s="13" t="s">
        <v>209</v>
      </c>
      <c r="P144" s="16"/>
      <c r="Q144" s="16"/>
      <c r="R144" s="16"/>
      <c r="S144" s="21">
        <f>IF($C144&lt;&gt;"Organisation","",IF(OR($P144&lt;&gt;"",$Q144&lt;&gt;""),IF($P144&lt;&gt;"",IF($Q144&lt;&gt;"",($P144+$Q144)/2,$P144),$Q144),ROUND(_xlfn.XLOOKUP($N144,Assumptions!$B$5:$B$9,Assumptions!$C$5:$C$9,0)*_xlfn.XLOOKUP($G144,Assumptions!$B$13:$B$26,Assumptions!$C$13:$C$26,0)*_xlfn.XLOOKUP($I144,Assumptions!$B$30:$B$50,Assumptions!$C$30:$C$50,0),0)))</f>
        <v>180</v>
      </c>
      <c r="T144" s="16" t="str">
        <f>IF($C144&lt;&gt;"Organisation","",IF(OR($P144&lt;&gt;"",$Q144&lt;&gt;""),"Documented in source - midpoint of annual_intake_low/high",IF($I144="","No confirmed programme - modelled as zero",$N144&amp;" base x "&amp;TEXT(_xlfn.XLOOKUP($G144,Assumptions!$B$13:$B$26,Assumptions!$C$13:$C$26,0),"0.0#")&amp;" sector x "&amp;TEXT(_xlfn.XLOOKUP($I144,Assumptions!$B$30:$B$50,Assumptions!$C$30:$C$50,0),"0.0#")&amp;" mechanism")))</f>
        <v>Large base x 1.5 sector x 1.0 mechanism</v>
      </c>
      <c r="U144" s="13" t="s">
        <v>222</v>
      </c>
      <c r="V144" s="13" t="s">
        <v>223</v>
      </c>
      <c r="W144" s="13" t="s">
        <v>80</v>
      </c>
      <c r="X144" s="13"/>
    </row>
    <row r="145" spans="1:24" x14ac:dyDescent="0.2">
      <c r="A145" s="13" t="s">
        <v>384</v>
      </c>
      <c r="B145" s="13" t="s">
        <v>385</v>
      </c>
      <c r="C145" s="13" t="s">
        <v>205</v>
      </c>
      <c r="D145" s="13" t="s">
        <v>23</v>
      </c>
      <c r="E145" s="13" t="s">
        <v>35</v>
      </c>
      <c r="F145" s="13" t="s">
        <v>96</v>
      </c>
      <c r="G145" s="13" t="s">
        <v>178</v>
      </c>
      <c r="H145" s="13" t="s">
        <v>372</v>
      </c>
      <c r="I145" s="13" t="s">
        <v>191</v>
      </c>
      <c r="J145" s="13" t="s">
        <v>386</v>
      </c>
      <c r="K145" s="19" t="s">
        <v>1815</v>
      </c>
      <c r="L145" s="17"/>
      <c r="M145" s="17"/>
      <c r="N145" s="13" t="s">
        <v>244</v>
      </c>
      <c r="O145" s="13" t="s">
        <v>209</v>
      </c>
      <c r="P145" s="16"/>
      <c r="Q145" s="16"/>
      <c r="R145" s="16"/>
      <c r="S145" s="21">
        <f>IF($C145&lt;&gt;"Organisation","",IF(OR($P145&lt;&gt;"",$Q145&lt;&gt;""),IF($P145&lt;&gt;"",IF($Q145&lt;&gt;"",($P145+$Q145)/2,$P145),$Q145),ROUND(_xlfn.XLOOKUP($N145,Assumptions!$B$5:$B$9,Assumptions!$C$5:$C$9,0)*_xlfn.XLOOKUP($G145,Assumptions!$B$13:$B$26,Assumptions!$C$13:$C$26,0)*_xlfn.XLOOKUP($I145,Assumptions!$B$30:$B$50,Assumptions!$C$30:$C$50,0),0)))</f>
        <v>45</v>
      </c>
      <c r="T145" s="16" t="str">
        <f>IF($C145&lt;&gt;"Organisation","",IF(OR($P145&lt;&gt;"",$Q145&lt;&gt;""),"Documented in source - midpoint of annual_intake_low/high",IF($I145="","No confirmed programme - modelled as zero",$N145&amp;" base x "&amp;TEXT(_xlfn.XLOOKUP($G145,Assumptions!$B$13:$B$26,Assumptions!$C$13:$C$26,0),"0.0#")&amp;" sector x "&amp;TEXT(_xlfn.XLOOKUP($I145,Assumptions!$B$30:$B$50,Assumptions!$C$30:$C$50,0),"0.0#")&amp;" mechanism")))</f>
        <v>Mid base x 1.5 sector x 1.0 mechanism</v>
      </c>
      <c r="U145" s="13" t="s">
        <v>230</v>
      </c>
      <c r="V145" s="13" t="s">
        <v>231</v>
      </c>
      <c r="W145" s="13" t="s">
        <v>80</v>
      </c>
      <c r="X145" s="13"/>
    </row>
    <row r="146" spans="1:24" x14ac:dyDescent="0.2">
      <c r="A146" s="13" t="s">
        <v>387</v>
      </c>
      <c r="B146" s="13" t="s">
        <v>388</v>
      </c>
      <c r="C146" s="13" t="s">
        <v>205</v>
      </c>
      <c r="D146" s="13" t="s">
        <v>23</v>
      </c>
      <c r="E146" s="13" t="s">
        <v>35</v>
      </c>
      <c r="F146" s="13" t="s">
        <v>96</v>
      </c>
      <c r="G146" s="13" t="s">
        <v>178</v>
      </c>
      <c r="H146" s="13" t="s">
        <v>372</v>
      </c>
      <c r="I146" s="13" t="s">
        <v>191</v>
      </c>
      <c r="J146" s="13" t="s">
        <v>243</v>
      </c>
      <c r="K146" s="19" t="s">
        <v>1815</v>
      </c>
      <c r="L146" s="17"/>
      <c r="M146" s="17"/>
      <c r="N146" s="13" t="s">
        <v>244</v>
      </c>
      <c r="O146" s="13" t="s">
        <v>209</v>
      </c>
      <c r="P146" s="16"/>
      <c r="Q146" s="16"/>
      <c r="R146" s="16"/>
      <c r="S146" s="21">
        <f>IF($C146&lt;&gt;"Organisation","",IF(OR($P146&lt;&gt;"",$Q146&lt;&gt;""),IF($P146&lt;&gt;"",IF($Q146&lt;&gt;"",($P146+$Q146)/2,$P146),$Q146),ROUND(_xlfn.XLOOKUP($N146,Assumptions!$B$5:$B$9,Assumptions!$C$5:$C$9,0)*_xlfn.XLOOKUP($G146,Assumptions!$B$13:$B$26,Assumptions!$C$13:$C$26,0)*_xlfn.XLOOKUP($I146,Assumptions!$B$30:$B$50,Assumptions!$C$30:$C$50,0),0)))</f>
        <v>45</v>
      </c>
      <c r="T146" s="16" t="str">
        <f>IF($C146&lt;&gt;"Organisation","",IF(OR($P146&lt;&gt;"",$Q146&lt;&gt;""),"Documented in source - midpoint of annual_intake_low/high",IF($I146="","No confirmed programme - modelled as zero",$N146&amp;" base x "&amp;TEXT(_xlfn.XLOOKUP($G146,Assumptions!$B$13:$B$26,Assumptions!$C$13:$C$26,0),"0.0#")&amp;" sector x "&amp;TEXT(_xlfn.XLOOKUP($I146,Assumptions!$B$30:$B$50,Assumptions!$C$30:$C$50,0),"0.0#")&amp;" mechanism")))</f>
        <v>Mid base x 1.5 sector x 1.0 mechanism</v>
      </c>
      <c r="U146" s="13" t="s">
        <v>230</v>
      </c>
      <c r="V146" s="13" t="s">
        <v>231</v>
      </c>
      <c r="W146" s="13" t="s">
        <v>80</v>
      </c>
      <c r="X146" s="13"/>
    </row>
    <row r="147" spans="1:24" x14ac:dyDescent="0.2">
      <c r="A147" s="13" t="s">
        <v>389</v>
      </c>
      <c r="B147" s="13" t="s">
        <v>390</v>
      </c>
      <c r="C147" s="13" t="s">
        <v>205</v>
      </c>
      <c r="D147" s="13" t="s">
        <v>23</v>
      </c>
      <c r="E147" s="13" t="s">
        <v>35</v>
      </c>
      <c r="F147" s="13" t="s">
        <v>78</v>
      </c>
      <c r="G147" s="13" t="s">
        <v>178</v>
      </c>
      <c r="H147" s="13" t="s">
        <v>372</v>
      </c>
      <c r="I147" s="13" t="s">
        <v>191</v>
      </c>
      <c r="J147" s="13" t="s">
        <v>243</v>
      </c>
      <c r="K147" s="19" t="s">
        <v>1815</v>
      </c>
      <c r="L147" s="17"/>
      <c r="M147" s="17"/>
      <c r="N147" s="13" t="s">
        <v>244</v>
      </c>
      <c r="O147" s="13" t="s">
        <v>209</v>
      </c>
      <c r="P147" s="16"/>
      <c r="Q147" s="16"/>
      <c r="R147" s="16"/>
      <c r="S147" s="21">
        <f>IF($C147&lt;&gt;"Organisation","",IF(OR($P147&lt;&gt;"",$Q147&lt;&gt;""),IF($P147&lt;&gt;"",IF($Q147&lt;&gt;"",($P147+$Q147)/2,$P147),$Q147),ROUND(_xlfn.XLOOKUP($N147,Assumptions!$B$5:$B$9,Assumptions!$C$5:$C$9,0)*_xlfn.XLOOKUP($G147,Assumptions!$B$13:$B$26,Assumptions!$C$13:$C$26,0)*_xlfn.XLOOKUP($I147,Assumptions!$B$30:$B$50,Assumptions!$C$30:$C$50,0),0)))</f>
        <v>45</v>
      </c>
      <c r="T147" s="16" t="str">
        <f>IF($C147&lt;&gt;"Organisation","",IF(OR($P147&lt;&gt;"",$Q147&lt;&gt;""),"Documented in source - midpoint of annual_intake_low/high",IF($I147="","No confirmed programme - modelled as zero",$N147&amp;" base x "&amp;TEXT(_xlfn.XLOOKUP($G147,Assumptions!$B$13:$B$26,Assumptions!$C$13:$C$26,0),"0.0#")&amp;" sector x "&amp;TEXT(_xlfn.XLOOKUP($I147,Assumptions!$B$30:$B$50,Assumptions!$C$30:$C$50,0),"0.0#")&amp;" mechanism")))</f>
        <v>Mid base x 1.5 sector x 1.0 mechanism</v>
      </c>
      <c r="U147" s="13" t="s">
        <v>230</v>
      </c>
      <c r="V147" s="13" t="s">
        <v>231</v>
      </c>
      <c r="W147" s="13" t="s">
        <v>80</v>
      </c>
      <c r="X147" s="13"/>
    </row>
    <row r="148" spans="1:24" x14ac:dyDescent="0.2">
      <c r="A148" s="13" t="s">
        <v>391</v>
      </c>
      <c r="B148" s="13" t="s">
        <v>392</v>
      </c>
      <c r="C148" s="13" t="s">
        <v>205</v>
      </c>
      <c r="D148" s="13" t="s">
        <v>23</v>
      </c>
      <c r="E148" s="13" t="s">
        <v>35</v>
      </c>
      <c r="F148" s="13" t="s">
        <v>78</v>
      </c>
      <c r="G148" s="13" t="s">
        <v>180</v>
      </c>
      <c r="H148" s="13" t="s">
        <v>393</v>
      </c>
      <c r="I148" s="13" t="s">
        <v>191</v>
      </c>
      <c r="J148" s="13" t="s">
        <v>394</v>
      </c>
      <c r="K148" s="19" t="s">
        <v>1815</v>
      </c>
      <c r="L148" s="17"/>
      <c r="M148" s="17"/>
      <c r="N148" s="13" t="s">
        <v>208</v>
      </c>
      <c r="O148" s="13" t="s">
        <v>209</v>
      </c>
      <c r="P148" s="16"/>
      <c r="Q148" s="16"/>
      <c r="R148" s="16"/>
      <c r="S148" s="21">
        <f>IF($C148&lt;&gt;"Organisation","",IF(OR($P148&lt;&gt;"",$Q148&lt;&gt;""),IF($P148&lt;&gt;"",IF($Q148&lt;&gt;"",($P148+$Q148)/2,$P148),$Q148),ROUND(_xlfn.XLOOKUP($N148,Assumptions!$B$5:$B$9,Assumptions!$C$5:$C$9,0)*_xlfn.XLOOKUP($G148,Assumptions!$B$13:$B$26,Assumptions!$C$13:$C$26,0)*_xlfn.XLOOKUP($I148,Assumptions!$B$30:$B$50,Assumptions!$C$30:$C$50,0),0)))</f>
        <v>360</v>
      </c>
      <c r="T148" s="16" t="str">
        <f>IF($C148&lt;&gt;"Organisation","",IF(OR($P148&lt;&gt;"",$Q148&lt;&gt;""),"Documented in source - midpoint of annual_intake_low/high",IF($I148="","No confirmed programme - modelled as zero",$N148&amp;" base x "&amp;TEXT(_xlfn.XLOOKUP($G148,Assumptions!$B$13:$B$26,Assumptions!$C$13:$C$26,0),"0.0#")&amp;" sector x "&amp;TEXT(_xlfn.XLOOKUP($I148,Assumptions!$B$30:$B$50,Assumptions!$C$30:$C$50,0),"0.0#")&amp;" mechanism")))</f>
        <v>Large base x 3.0 sector x 1.0 mechanism</v>
      </c>
      <c r="U148" s="13" t="s">
        <v>222</v>
      </c>
      <c r="V148" s="13" t="s">
        <v>223</v>
      </c>
      <c r="W148" s="13" t="s">
        <v>80</v>
      </c>
      <c r="X148" s="13"/>
    </row>
    <row r="149" spans="1:24" x14ac:dyDescent="0.2">
      <c r="A149" s="13" t="s">
        <v>395</v>
      </c>
      <c r="B149" s="13" t="s">
        <v>396</v>
      </c>
      <c r="C149" s="13" t="s">
        <v>205</v>
      </c>
      <c r="D149" s="13" t="s">
        <v>23</v>
      </c>
      <c r="E149" s="13" t="s">
        <v>35</v>
      </c>
      <c r="F149" s="13" t="s">
        <v>78</v>
      </c>
      <c r="G149" s="13" t="s">
        <v>180</v>
      </c>
      <c r="H149" s="13" t="s">
        <v>397</v>
      </c>
      <c r="I149" s="13" t="s">
        <v>191</v>
      </c>
      <c r="J149" s="13" t="s">
        <v>394</v>
      </c>
      <c r="K149" s="19" t="s">
        <v>1815</v>
      </c>
      <c r="L149" s="17"/>
      <c r="M149" s="17"/>
      <c r="N149" s="13" t="s">
        <v>218</v>
      </c>
      <c r="O149" s="13" t="s">
        <v>209</v>
      </c>
      <c r="P149" s="16"/>
      <c r="Q149" s="16"/>
      <c r="R149" s="16"/>
      <c r="S149" s="21">
        <f>IF($C149&lt;&gt;"Organisation","",IF(OR($P149&lt;&gt;"",$Q149&lt;&gt;""),IF($P149&lt;&gt;"",IF($Q149&lt;&gt;"",($P149+$Q149)/2,$P149),$Q149),ROUND(_xlfn.XLOOKUP($N149,Assumptions!$B$5:$B$9,Assumptions!$C$5:$C$9,0)*_xlfn.XLOOKUP($G149,Assumptions!$B$13:$B$26,Assumptions!$C$13:$C$26,0)*_xlfn.XLOOKUP($I149,Assumptions!$B$30:$B$50,Assumptions!$C$30:$C$50,0),0)))</f>
        <v>1200</v>
      </c>
      <c r="T149" s="16" t="str">
        <f>IF($C149&lt;&gt;"Organisation","",IF(OR($P149&lt;&gt;"",$Q149&lt;&gt;""),"Documented in source - midpoint of annual_intake_low/high",IF($I149="","No confirmed programme - modelled as zero",$N149&amp;" base x "&amp;TEXT(_xlfn.XLOOKUP($G149,Assumptions!$B$13:$B$26,Assumptions!$C$13:$C$26,0),"0.0#")&amp;" sector x "&amp;TEXT(_xlfn.XLOOKUP($I149,Assumptions!$B$30:$B$50,Assumptions!$C$30:$C$50,0),"0.0#")&amp;" mechanism")))</f>
        <v>Mega base x 3.0 sector x 1.0 mechanism</v>
      </c>
      <c r="U149" s="13" t="s">
        <v>222</v>
      </c>
      <c r="V149" s="13" t="s">
        <v>223</v>
      </c>
      <c r="W149" s="13" t="s">
        <v>80</v>
      </c>
      <c r="X149" s="13"/>
    </row>
    <row r="150" spans="1:24" x14ac:dyDescent="0.2">
      <c r="A150" s="13" t="s">
        <v>398</v>
      </c>
      <c r="B150" s="13" t="s">
        <v>399</v>
      </c>
      <c r="C150" s="13" t="s">
        <v>205</v>
      </c>
      <c r="D150" s="13" t="s">
        <v>23</v>
      </c>
      <c r="E150" s="13" t="s">
        <v>35</v>
      </c>
      <c r="F150" s="13" t="s">
        <v>78</v>
      </c>
      <c r="G150" s="13" t="s">
        <v>180</v>
      </c>
      <c r="H150" s="13" t="s">
        <v>400</v>
      </c>
      <c r="I150" s="13" t="s">
        <v>191</v>
      </c>
      <c r="J150" s="13" t="s">
        <v>394</v>
      </c>
      <c r="K150" s="19" t="s">
        <v>1815</v>
      </c>
      <c r="L150" s="17"/>
      <c r="M150" s="17"/>
      <c r="N150" s="13" t="s">
        <v>244</v>
      </c>
      <c r="O150" s="13" t="s">
        <v>209</v>
      </c>
      <c r="P150" s="16"/>
      <c r="Q150" s="16"/>
      <c r="R150" s="16"/>
      <c r="S150" s="21">
        <f>IF($C150&lt;&gt;"Organisation","",IF(OR($P150&lt;&gt;"",$Q150&lt;&gt;""),IF($P150&lt;&gt;"",IF($Q150&lt;&gt;"",($P150+$Q150)/2,$P150),$Q150),ROUND(_xlfn.XLOOKUP($N150,Assumptions!$B$5:$B$9,Assumptions!$C$5:$C$9,0)*_xlfn.XLOOKUP($G150,Assumptions!$B$13:$B$26,Assumptions!$C$13:$C$26,0)*_xlfn.XLOOKUP($I150,Assumptions!$B$30:$B$50,Assumptions!$C$30:$C$50,0),0)))</f>
        <v>90</v>
      </c>
      <c r="T150" s="16" t="str">
        <f>IF($C150&lt;&gt;"Organisation","",IF(OR($P150&lt;&gt;"",$Q150&lt;&gt;""),"Documented in source - midpoint of annual_intake_low/high",IF($I150="","No confirmed programme - modelled as zero",$N150&amp;" base x "&amp;TEXT(_xlfn.XLOOKUP($G150,Assumptions!$B$13:$B$26,Assumptions!$C$13:$C$26,0),"0.0#")&amp;" sector x "&amp;TEXT(_xlfn.XLOOKUP($I150,Assumptions!$B$30:$B$50,Assumptions!$C$30:$C$50,0),"0.0#")&amp;" mechanism")))</f>
        <v>Mid base x 3.0 sector x 1.0 mechanism</v>
      </c>
      <c r="U150" s="13" t="s">
        <v>222</v>
      </c>
      <c r="V150" s="13" t="s">
        <v>223</v>
      </c>
      <c r="W150" s="13" t="s">
        <v>80</v>
      </c>
      <c r="X150" s="13"/>
    </row>
    <row r="151" spans="1:24" x14ac:dyDescent="0.2">
      <c r="A151" s="13" t="s">
        <v>401</v>
      </c>
      <c r="B151" s="13" t="s">
        <v>402</v>
      </c>
      <c r="C151" s="13" t="s">
        <v>205</v>
      </c>
      <c r="D151" s="13" t="s">
        <v>23</v>
      </c>
      <c r="E151" s="13" t="s">
        <v>35</v>
      </c>
      <c r="F151" s="13" t="s">
        <v>78</v>
      </c>
      <c r="G151" s="13" t="s">
        <v>180</v>
      </c>
      <c r="H151" s="13" t="s">
        <v>403</v>
      </c>
      <c r="I151" s="13" t="s">
        <v>191</v>
      </c>
      <c r="J151" s="13" t="s">
        <v>394</v>
      </c>
      <c r="K151" s="19" t="s">
        <v>1815</v>
      </c>
      <c r="L151" s="17"/>
      <c r="M151" s="17"/>
      <c r="N151" s="13" t="s">
        <v>218</v>
      </c>
      <c r="O151" s="13" t="s">
        <v>209</v>
      </c>
      <c r="P151" s="16"/>
      <c r="Q151" s="16"/>
      <c r="R151" s="16"/>
      <c r="S151" s="21">
        <f>IF($C151&lt;&gt;"Organisation","",IF(OR($P151&lt;&gt;"",$Q151&lt;&gt;""),IF($P151&lt;&gt;"",IF($Q151&lt;&gt;"",($P151+$Q151)/2,$P151),$Q151),ROUND(_xlfn.XLOOKUP($N151,Assumptions!$B$5:$B$9,Assumptions!$C$5:$C$9,0)*_xlfn.XLOOKUP($G151,Assumptions!$B$13:$B$26,Assumptions!$C$13:$C$26,0)*_xlfn.XLOOKUP($I151,Assumptions!$B$30:$B$50,Assumptions!$C$30:$C$50,0),0)))</f>
        <v>1200</v>
      </c>
      <c r="T151" s="16" t="str">
        <f>IF($C151&lt;&gt;"Organisation","",IF(OR($P151&lt;&gt;"",$Q151&lt;&gt;""),"Documented in source - midpoint of annual_intake_low/high",IF($I151="","No confirmed programme - modelled as zero",$N151&amp;" base x "&amp;TEXT(_xlfn.XLOOKUP($G151,Assumptions!$B$13:$B$26,Assumptions!$C$13:$C$26,0),"0.0#")&amp;" sector x "&amp;TEXT(_xlfn.XLOOKUP($I151,Assumptions!$B$30:$B$50,Assumptions!$C$30:$C$50,0),"0.0#")&amp;" mechanism")))</f>
        <v>Mega base x 3.0 sector x 1.0 mechanism</v>
      </c>
      <c r="U151" s="13" t="s">
        <v>230</v>
      </c>
      <c r="V151" s="13" t="s">
        <v>231</v>
      </c>
      <c r="W151" s="13" t="s">
        <v>80</v>
      </c>
      <c r="X151" s="13"/>
    </row>
    <row r="152" spans="1:24" x14ac:dyDescent="0.2">
      <c r="A152" s="13" t="s">
        <v>612</v>
      </c>
      <c r="B152" s="13" t="s">
        <v>613</v>
      </c>
      <c r="C152" s="13" t="s">
        <v>205</v>
      </c>
      <c r="D152" s="13" t="s">
        <v>27</v>
      </c>
      <c r="E152" s="13" t="s">
        <v>27</v>
      </c>
      <c r="F152" s="13" t="s">
        <v>98</v>
      </c>
      <c r="G152" s="13" t="s">
        <v>170</v>
      </c>
      <c r="H152" s="13" t="s">
        <v>614</v>
      </c>
      <c r="I152" s="13" t="s">
        <v>193</v>
      </c>
      <c r="J152" s="13" t="s">
        <v>615</v>
      </c>
      <c r="K152" s="19" t="s">
        <v>1815</v>
      </c>
      <c r="L152" s="17"/>
      <c r="M152" s="17"/>
      <c r="N152" s="13" t="s">
        <v>218</v>
      </c>
      <c r="O152" s="13" t="s">
        <v>209</v>
      </c>
      <c r="P152" s="16">
        <v>541</v>
      </c>
      <c r="Q152" s="16">
        <v>541</v>
      </c>
      <c r="R152" s="16">
        <v>650000</v>
      </c>
      <c r="S152" s="21">
        <f>IF($C152&lt;&gt;"Organisation","",IF(OR($P152&lt;&gt;"",$Q152&lt;&gt;""),IF($P152&lt;&gt;"",IF($Q152&lt;&gt;"",($P152+$Q152)/2,$P152),$Q152),ROUND(_xlfn.XLOOKUP($N152,Assumptions!$B$5:$B$9,Assumptions!$C$5:$C$9,0)*_xlfn.XLOOKUP($G152,Assumptions!$B$13:$B$26,Assumptions!$C$13:$C$26,0)*_xlfn.XLOOKUP($I152,Assumptions!$B$30:$B$50,Assumptions!$C$30:$C$50,0),0)))</f>
        <v>541</v>
      </c>
      <c r="T152" s="16" t="str">
        <f>IF($C152&lt;&gt;"Organisation","",IF(OR($P152&lt;&gt;"",$Q152&lt;&gt;""),"Documented in source - midpoint of annual_intake_low/high",IF($I152="","No confirmed programme - modelled as zero",$N152&amp;" base x "&amp;TEXT(_xlfn.XLOOKUP($G152,Assumptions!$B$13:$B$26,Assumptions!$C$13:$C$26,0),"0.0#")&amp;" sector x "&amp;TEXT(_xlfn.XLOOKUP($I152,Assumptions!$B$30:$B$50,Assumptions!$C$30:$C$50,0),"0.0#")&amp;" mechanism")))</f>
        <v>Documented in source - midpoint of annual_intake_low/high</v>
      </c>
      <c r="U152" s="13" t="s">
        <v>210</v>
      </c>
      <c r="V152" s="13" t="s">
        <v>211</v>
      </c>
      <c r="W152" s="13" t="s">
        <v>99</v>
      </c>
      <c r="X152" s="13" t="s">
        <v>616</v>
      </c>
    </row>
    <row r="153" spans="1:24" x14ac:dyDescent="0.2">
      <c r="A153" s="13" t="s">
        <v>617</v>
      </c>
      <c r="B153" s="13" t="s">
        <v>618</v>
      </c>
      <c r="C153" s="13" t="s">
        <v>205</v>
      </c>
      <c r="D153" s="13" t="s">
        <v>27</v>
      </c>
      <c r="E153" s="13" t="s">
        <v>27</v>
      </c>
      <c r="F153" s="13" t="s">
        <v>98</v>
      </c>
      <c r="G153" s="13" t="s">
        <v>170</v>
      </c>
      <c r="H153" s="13" t="s">
        <v>614</v>
      </c>
      <c r="I153" s="13" t="s">
        <v>193</v>
      </c>
      <c r="J153" s="13" t="s">
        <v>619</v>
      </c>
      <c r="K153" s="19" t="s">
        <v>1815</v>
      </c>
      <c r="L153" s="17"/>
      <c r="M153" s="17"/>
      <c r="N153" s="13" t="s">
        <v>218</v>
      </c>
      <c r="O153" s="13" t="s">
        <v>209</v>
      </c>
      <c r="P153" s="16"/>
      <c r="Q153" s="16"/>
      <c r="R153" s="16"/>
      <c r="S153" s="21">
        <f>IF($C153&lt;&gt;"Organisation","",IF(OR($P153&lt;&gt;"",$Q153&lt;&gt;""),IF($P153&lt;&gt;"",IF($Q153&lt;&gt;"",($P153+$Q153)/2,$P153),$Q153),ROUND(_xlfn.XLOOKUP($N153,Assumptions!$B$5:$B$9,Assumptions!$C$5:$C$9,0)*_xlfn.XLOOKUP($G153,Assumptions!$B$13:$B$26,Assumptions!$C$13:$C$26,0)*_xlfn.XLOOKUP($I153,Assumptions!$B$30:$B$50,Assumptions!$C$30:$C$50,0),0)))</f>
        <v>560</v>
      </c>
      <c r="T153" s="16" t="str">
        <f>IF($C153&lt;&gt;"Organisation","",IF(OR($P153&lt;&gt;"",$Q153&lt;&gt;""),"Documented in source - midpoint of annual_intake_low/high",IF($I153="","No confirmed programme - modelled as zero",$N153&amp;" base x "&amp;TEXT(_xlfn.XLOOKUP($G153,Assumptions!$B$13:$B$26,Assumptions!$C$13:$C$26,0),"0.0#")&amp;" sector x "&amp;TEXT(_xlfn.XLOOKUP($I153,Assumptions!$B$30:$B$50,Assumptions!$C$30:$C$50,0),"0.0#")&amp;" mechanism")))</f>
        <v>Mega base x 1.0 sector x 1.4 mechanism</v>
      </c>
      <c r="U153" s="13" t="s">
        <v>210</v>
      </c>
      <c r="V153" s="13" t="s">
        <v>211</v>
      </c>
      <c r="W153" s="13" t="s">
        <v>99</v>
      </c>
      <c r="X153" s="13"/>
    </row>
    <row r="154" spans="1:24" x14ac:dyDescent="0.2">
      <c r="A154" s="13" t="s">
        <v>620</v>
      </c>
      <c r="B154" s="13" t="s">
        <v>621</v>
      </c>
      <c r="C154" s="13" t="s">
        <v>205</v>
      </c>
      <c r="D154" s="13" t="s">
        <v>27</v>
      </c>
      <c r="E154" s="13" t="s">
        <v>27</v>
      </c>
      <c r="F154" s="13" t="s">
        <v>98</v>
      </c>
      <c r="G154" s="13" t="s">
        <v>170</v>
      </c>
      <c r="H154" s="13" t="s">
        <v>614</v>
      </c>
      <c r="I154" s="13" t="s">
        <v>193</v>
      </c>
      <c r="J154" s="13" t="s">
        <v>619</v>
      </c>
      <c r="K154" s="19" t="s">
        <v>1815</v>
      </c>
      <c r="L154" s="17"/>
      <c r="M154" s="17"/>
      <c r="N154" s="13" t="s">
        <v>218</v>
      </c>
      <c r="O154" s="13" t="s">
        <v>209</v>
      </c>
      <c r="P154" s="16"/>
      <c r="Q154" s="16"/>
      <c r="R154" s="16"/>
      <c r="S154" s="21">
        <f>IF($C154&lt;&gt;"Organisation","",IF(OR($P154&lt;&gt;"",$Q154&lt;&gt;""),IF($P154&lt;&gt;"",IF($Q154&lt;&gt;"",($P154+$Q154)/2,$P154),$Q154),ROUND(_xlfn.XLOOKUP($N154,Assumptions!$B$5:$B$9,Assumptions!$C$5:$C$9,0)*_xlfn.XLOOKUP($G154,Assumptions!$B$13:$B$26,Assumptions!$C$13:$C$26,0)*_xlfn.XLOOKUP($I154,Assumptions!$B$30:$B$50,Assumptions!$C$30:$C$50,0),0)))</f>
        <v>560</v>
      </c>
      <c r="T154" s="16" t="str">
        <f>IF($C154&lt;&gt;"Organisation","",IF(OR($P154&lt;&gt;"",$Q154&lt;&gt;""),"Documented in source - midpoint of annual_intake_low/high",IF($I154="","No confirmed programme - modelled as zero",$N154&amp;" base x "&amp;TEXT(_xlfn.XLOOKUP($G154,Assumptions!$B$13:$B$26,Assumptions!$C$13:$C$26,0),"0.0#")&amp;" sector x "&amp;TEXT(_xlfn.XLOOKUP($I154,Assumptions!$B$30:$B$50,Assumptions!$C$30:$C$50,0),"0.0#")&amp;" mechanism")))</f>
        <v>Mega base x 1.0 sector x 1.4 mechanism</v>
      </c>
      <c r="U154" s="13" t="s">
        <v>210</v>
      </c>
      <c r="V154" s="13" t="s">
        <v>211</v>
      </c>
      <c r="W154" s="13" t="s">
        <v>99</v>
      </c>
      <c r="X154" s="13"/>
    </row>
    <row r="155" spans="1:24" x14ac:dyDescent="0.2">
      <c r="A155" s="13" t="s">
        <v>622</v>
      </c>
      <c r="B155" s="13" t="s">
        <v>623</v>
      </c>
      <c r="C155" s="13" t="s">
        <v>205</v>
      </c>
      <c r="D155" s="13" t="s">
        <v>27</v>
      </c>
      <c r="E155" s="13" t="s">
        <v>27</v>
      </c>
      <c r="F155" s="13" t="s">
        <v>98</v>
      </c>
      <c r="G155" s="13" t="s">
        <v>170</v>
      </c>
      <c r="H155" s="13" t="s">
        <v>614</v>
      </c>
      <c r="I155" s="13" t="s">
        <v>193</v>
      </c>
      <c r="J155" s="13" t="s">
        <v>619</v>
      </c>
      <c r="K155" s="19" t="s">
        <v>1815</v>
      </c>
      <c r="L155" s="17"/>
      <c r="M155" s="17"/>
      <c r="N155" s="13" t="s">
        <v>218</v>
      </c>
      <c r="O155" s="13" t="s">
        <v>209</v>
      </c>
      <c r="P155" s="16"/>
      <c r="Q155" s="16"/>
      <c r="R155" s="16"/>
      <c r="S155" s="21">
        <f>IF($C155&lt;&gt;"Organisation","",IF(OR($P155&lt;&gt;"",$Q155&lt;&gt;""),IF($P155&lt;&gt;"",IF($Q155&lt;&gt;"",($P155+$Q155)/2,$P155),$Q155),ROUND(_xlfn.XLOOKUP($N155,Assumptions!$B$5:$B$9,Assumptions!$C$5:$C$9,0)*_xlfn.XLOOKUP($G155,Assumptions!$B$13:$B$26,Assumptions!$C$13:$C$26,0)*_xlfn.XLOOKUP($I155,Assumptions!$B$30:$B$50,Assumptions!$C$30:$C$50,0),0)))</f>
        <v>560</v>
      </c>
      <c r="T155" s="16" t="str">
        <f>IF($C155&lt;&gt;"Organisation","",IF(OR($P155&lt;&gt;"",$Q155&lt;&gt;""),"Documented in source - midpoint of annual_intake_low/high",IF($I155="","No confirmed programme - modelled as zero",$N155&amp;" base x "&amp;TEXT(_xlfn.XLOOKUP($G155,Assumptions!$B$13:$B$26,Assumptions!$C$13:$C$26,0),"0.0#")&amp;" sector x "&amp;TEXT(_xlfn.XLOOKUP($I155,Assumptions!$B$30:$B$50,Assumptions!$C$30:$C$50,0),"0.0#")&amp;" mechanism")))</f>
        <v>Mega base x 1.0 sector x 1.4 mechanism</v>
      </c>
      <c r="U155" s="13" t="s">
        <v>210</v>
      </c>
      <c r="V155" s="13" t="s">
        <v>211</v>
      </c>
      <c r="W155" s="13" t="s">
        <v>99</v>
      </c>
      <c r="X155" s="13"/>
    </row>
    <row r="156" spans="1:24" x14ac:dyDescent="0.2">
      <c r="A156" s="13" t="s">
        <v>624</v>
      </c>
      <c r="B156" s="13" t="s">
        <v>625</v>
      </c>
      <c r="C156" s="13" t="s">
        <v>205</v>
      </c>
      <c r="D156" s="13" t="s">
        <v>27</v>
      </c>
      <c r="E156" s="13" t="s">
        <v>27</v>
      </c>
      <c r="F156" s="13" t="s">
        <v>98</v>
      </c>
      <c r="G156" s="13" t="s">
        <v>170</v>
      </c>
      <c r="H156" s="13" t="s">
        <v>614</v>
      </c>
      <c r="I156" s="13" t="s">
        <v>193</v>
      </c>
      <c r="J156" s="13" t="s">
        <v>619</v>
      </c>
      <c r="K156" s="19" t="s">
        <v>1815</v>
      </c>
      <c r="L156" s="17"/>
      <c r="M156" s="17"/>
      <c r="N156" s="13" t="s">
        <v>218</v>
      </c>
      <c r="O156" s="13" t="s">
        <v>209</v>
      </c>
      <c r="P156" s="16"/>
      <c r="Q156" s="16"/>
      <c r="R156" s="16"/>
      <c r="S156" s="21">
        <f>IF($C156&lt;&gt;"Organisation","",IF(OR($P156&lt;&gt;"",$Q156&lt;&gt;""),IF($P156&lt;&gt;"",IF($Q156&lt;&gt;"",($P156+$Q156)/2,$P156),$Q156),ROUND(_xlfn.XLOOKUP($N156,Assumptions!$B$5:$B$9,Assumptions!$C$5:$C$9,0)*_xlfn.XLOOKUP($G156,Assumptions!$B$13:$B$26,Assumptions!$C$13:$C$26,0)*_xlfn.XLOOKUP($I156,Assumptions!$B$30:$B$50,Assumptions!$C$30:$C$50,0),0)))</f>
        <v>560</v>
      </c>
      <c r="T156" s="16" t="str">
        <f>IF($C156&lt;&gt;"Organisation","",IF(OR($P156&lt;&gt;"",$Q156&lt;&gt;""),"Documented in source - midpoint of annual_intake_low/high",IF($I156="","No confirmed programme - modelled as zero",$N156&amp;" base x "&amp;TEXT(_xlfn.XLOOKUP($G156,Assumptions!$B$13:$B$26,Assumptions!$C$13:$C$26,0),"0.0#")&amp;" sector x "&amp;TEXT(_xlfn.XLOOKUP($I156,Assumptions!$B$30:$B$50,Assumptions!$C$30:$C$50,0),"0.0#")&amp;" mechanism")))</f>
        <v>Mega base x 1.0 sector x 1.4 mechanism</v>
      </c>
      <c r="U156" s="13" t="s">
        <v>210</v>
      </c>
      <c r="V156" s="13" t="s">
        <v>211</v>
      </c>
      <c r="W156" s="13" t="s">
        <v>99</v>
      </c>
      <c r="X156" s="13"/>
    </row>
    <row r="157" spans="1:24" x14ac:dyDescent="0.2">
      <c r="A157" s="13" t="s">
        <v>626</v>
      </c>
      <c r="B157" s="13" t="s">
        <v>627</v>
      </c>
      <c r="C157" s="13" t="s">
        <v>205</v>
      </c>
      <c r="D157" s="13" t="s">
        <v>27</v>
      </c>
      <c r="E157" s="13" t="s">
        <v>27</v>
      </c>
      <c r="F157" s="13" t="s">
        <v>98</v>
      </c>
      <c r="G157" s="13" t="s">
        <v>170</v>
      </c>
      <c r="H157" s="13" t="s">
        <v>614</v>
      </c>
      <c r="I157" s="13" t="s">
        <v>193</v>
      </c>
      <c r="J157" s="13" t="s">
        <v>619</v>
      </c>
      <c r="K157" s="19" t="s">
        <v>1815</v>
      </c>
      <c r="L157" s="17"/>
      <c r="M157" s="17"/>
      <c r="N157" s="13" t="s">
        <v>208</v>
      </c>
      <c r="O157" s="13" t="s">
        <v>209</v>
      </c>
      <c r="P157" s="16"/>
      <c r="Q157" s="16"/>
      <c r="R157" s="16"/>
      <c r="S157" s="21">
        <f>IF($C157&lt;&gt;"Organisation","",IF(OR($P157&lt;&gt;"",$Q157&lt;&gt;""),IF($P157&lt;&gt;"",IF($Q157&lt;&gt;"",($P157+$Q157)/2,$P157),$Q157),ROUND(_xlfn.XLOOKUP($N157,Assumptions!$B$5:$B$9,Assumptions!$C$5:$C$9,0)*_xlfn.XLOOKUP($G157,Assumptions!$B$13:$B$26,Assumptions!$C$13:$C$26,0)*_xlfn.XLOOKUP($I157,Assumptions!$B$30:$B$50,Assumptions!$C$30:$C$50,0),0)))</f>
        <v>168</v>
      </c>
      <c r="T157" s="16" t="str">
        <f>IF($C157&lt;&gt;"Organisation","",IF(OR($P157&lt;&gt;"",$Q157&lt;&gt;""),"Documented in source - midpoint of annual_intake_low/high",IF($I157="","No confirmed programme - modelled as zero",$N157&amp;" base x "&amp;TEXT(_xlfn.XLOOKUP($G157,Assumptions!$B$13:$B$26,Assumptions!$C$13:$C$26,0),"0.0#")&amp;" sector x "&amp;TEXT(_xlfn.XLOOKUP($I157,Assumptions!$B$30:$B$50,Assumptions!$C$30:$C$50,0),"0.0#")&amp;" mechanism")))</f>
        <v>Large base x 1.0 sector x 1.4 mechanism</v>
      </c>
      <c r="U157" s="13" t="s">
        <v>210</v>
      </c>
      <c r="V157" s="13" t="s">
        <v>211</v>
      </c>
      <c r="W157" s="13" t="s">
        <v>99</v>
      </c>
      <c r="X157" s="13"/>
    </row>
    <row r="158" spans="1:24" x14ac:dyDescent="0.2">
      <c r="A158" s="13" t="s">
        <v>628</v>
      </c>
      <c r="B158" s="13" t="s">
        <v>629</v>
      </c>
      <c r="C158" s="13" t="s">
        <v>205</v>
      </c>
      <c r="D158" s="13" t="s">
        <v>27</v>
      </c>
      <c r="E158" s="13" t="s">
        <v>27</v>
      </c>
      <c r="F158" s="13" t="s">
        <v>98</v>
      </c>
      <c r="G158" s="13" t="s">
        <v>170</v>
      </c>
      <c r="H158" s="13" t="s">
        <v>614</v>
      </c>
      <c r="I158" s="13" t="s">
        <v>193</v>
      </c>
      <c r="J158" s="13" t="s">
        <v>619</v>
      </c>
      <c r="K158" s="19" t="s">
        <v>1815</v>
      </c>
      <c r="L158" s="17"/>
      <c r="M158" s="17"/>
      <c r="N158" s="13" t="s">
        <v>208</v>
      </c>
      <c r="O158" s="13" t="s">
        <v>209</v>
      </c>
      <c r="P158" s="16"/>
      <c r="Q158" s="16"/>
      <c r="R158" s="16"/>
      <c r="S158" s="21">
        <f>IF($C158&lt;&gt;"Organisation","",IF(OR($P158&lt;&gt;"",$Q158&lt;&gt;""),IF($P158&lt;&gt;"",IF($Q158&lt;&gt;"",($P158+$Q158)/2,$P158),$Q158),ROUND(_xlfn.XLOOKUP($N158,Assumptions!$B$5:$B$9,Assumptions!$C$5:$C$9,0)*_xlfn.XLOOKUP($G158,Assumptions!$B$13:$B$26,Assumptions!$C$13:$C$26,0)*_xlfn.XLOOKUP($I158,Assumptions!$B$30:$B$50,Assumptions!$C$30:$C$50,0),0)))</f>
        <v>168</v>
      </c>
      <c r="T158" s="16" t="str">
        <f>IF($C158&lt;&gt;"Organisation","",IF(OR($P158&lt;&gt;"",$Q158&lt;&gt;""),"Documented in source - midpoint of annual_intake_low/high",IF($I158="","No confirmed programme - modelled as zero",$N158&amp;" base x "&amp;TEXT(_xlfn.XLOOKUP($G158,Assumptions!$B$13:$B$26,Assumptions!$C$13:$C$26,0),"0.0#")&amp;" sector x "&amp;TEXT(_xlfn.XLOOKUP($I158,Assumptions!$B$30:$B$50,Assumptions!$C$30:$C$50,0),"0.0#")&amp;" mechanism")))</f>
        <v>Large base x 1.0 sector x 1.4 mechanism</v>
      </c>
      <c r="U158" s="13" t="s">
        <v>210</v>
      </c>
      <c r="V158" s="13" t="s">
        <v>211</v>
      </c>
      <c r="W158" s="13" t="s">
        <v>99</v>
      </c>
      <c r="X158" s="13"/>
    </row>
    <row r="159" spans="1:24" x14ac:dyDescent="0.2">
      <c r="A159" s="13" t="s">
        <v>630</v>
      </c>
      <c r="B159" s="13" t="s">
        <v>631</v>
      </c>
      <c r="C159" s="13" t="s">
        <v>205</v>
      </c>
      <c r="D159" s="13" t="s">
        <v>27</v>
      </c>
      <c r="E159" s="13" t="s">
        <v>27</v>
      </c>
      <c r="F159" s="13" t="s">
        <v>98</v>
      </c>
      <c r="G159" s="13" t="s">
        <v>170</v>
      </c>
      <c r="H159" s="13" t="s">
        <v>632</v>
      </c>
      <c r="I159" s="13" t="s">
        <v>194</v>
      </c>
      <c r="J159" s="13" t="s">
        <v>633</v>
      </c>
      <c r="K159" s="19" t="s">
        <v>1819</v>
      </c>
      <c r="L159" s="17"/>
      <c r="M159" s="17"/>
      <c r="N159" s="13" t="s">
        <v>218</v>
      </c>
      <c r="O159" s="13" t="s">
        <v>209</v>
      </c>
      <c r="P159" s="16"/>
      <c r="Q159" s="16"/>
      <c r="R159" s="16"/>
      <c r="S159" s="21">
        <f>IF($C159&lt;&gt;"Organisation","",IF(OR($P159&lt;&gt;"",$Q159&lt;&gt;""),IF($P159&lt;&gt;"",IF($Q159&lt;&gt;"",($P159+$Q159)/2,$P159),$Q159),ROUND(_xlfn.XLOOKUP($N159,Assumptions!$B$5:$B$9,Assumptions!$C$5:$C$9,0)*_xlfn.XLOOKUP($G159,Assumptions!$B$13:$B$26,Assumptions!$C$13:$C$26,0)*_xlfn.XLOOKUP($I159,Assumptions!$B$30:$B$50,Assumptions!$C$30:$C$50,0),0)))</f>
        <v>480</v>
      </c>
      <c r="T159" s="16" t="str">
        <f>IF($C159&lt;&gt;"Organisation","",IF(OR($P159&lt;&gt;"",$Q159&lt;&gt;""),"Documented in source - midpoint of annual_intake_low/high",IF($I159="","No confirmed programme - modelled as zero",$N159&amp;" base x "&amp;TEXT(_xlfn.XLOOKUP($G159,Assumptions!$B$13:$B$26,Assumptions!$C$13:$C$26,0),"0.0#")&amp;" sector x "&amp;TEXT(_xlfn.XLOOKUP($I159,Assumptions!$B$30:$B$50,Assumptions!$C$30:$C$50,0),"0.0#")&amp;" mechanism")))</f>
        <v>Mega base x 1.0 sector x 1.2 mechanism</v>
      </c>
      <c r="U159" s="13" t="s">
        <v>210</v>
      </c>
      <c r="V159" s="13" t="s">
        <v>211</v>
      </c>
      <c r="W159" s="13" t="s">
        <v>99</v>
      </c>
      <c r="X159" s="13"/>
    </row>
    <row r="160" spans="1:24" x14ac:dyDescent="0.2">
      <c r="A160" s="13" t="s">
        <v>634</v>
      </c>
      <c r="B160" s="13" t="s">
        <v>635</v>
      </c>
      <c r="C160" s="13" t="s">
        <v>205</v>
      </c>
      <c r="D160" s="13" t="s">
        <v>27</v>
      </c>
      <c r="E160" s="13" t="s">
        <v>27</v>
      </c>
      <c r="F160" s="13" t="s">
        <v>98</v>
      </c>
      <c r="G160" s="13" t="s">
        <v>170</v>
      </c>
      <c r="H160" s="13" t="s">
        <v>632</v>
      </c>
      <c r="I160" s="13" t="s">
        <v>194</v>
      </c>
      <c r="J160" s="13" t="s">
        <v>636</v>
      </c>
      <c r="K160" s="19" t="s">
        <v>1815</v>
      </c>
      <c r="L160" s="17"/>
      <c r="M160" s="17"/>
      <c r="N160" s="13" t="s">
        <v>218</v>
      </c>
      <c r="O160" s="13" t="s">
        <v>209</v>
      </c>
      <c r="P160" s="16"/>
      <c r="Q160" s="16"/>
      <c r="R160" s="16"/>
      <c r="S160" s="21">
        <f>IF($C160&lt;&gt;"Organisation","",IF(OR($P160&lt;&gt;"",$Q160&lt;&gt;""),IF($P160&lt;&gt;"",IF($Q160&lt;&gt;"",($P160+$Q160)/2,$P160),$Q160),ROUND(_xlfn.XLOOKUP($N160,Assumptions!$B$5:$B$9,Assumptions!$C$5:$C$9,0)*_xlfn.XLOOKUP($G160,Assumptions!$B$13:$B$26,Assumptions!$C$13:$C$26,0)*_xlfn.XLOOKUP($I160,Assumptions!$B$30:$B$50,Assumptions!$C$30:$C$50,0),0)))</f>
        <v>480</v>
      </c>
      <c r="T160" s="16" t="str">
        <f>IF($C160&lt;&gt;"Organisation","",IF(OR($P160&lt;&gt;"",$Q160&lt;&gt;""),"Documented in source - midpoint of annual_intake_low/high",IF($I160="","No confirmed programme - modelled as zero",$N160&amp;" base x "&amp;TEXT(_xlfn.XLOOKUP($G160,Assumptions!$B$13:$B$26,Assumptions!$C$13:$C$26,0),"0.0#")&amp;" sector x "&amp;TEXT(_xlfn.XLOOKUP($I160,Assumptions!$B$30:$B$50,Assumptions!$C$30:$C$50,0),"0.0#")&amp;" mechanism")))</f>
        <v>Mega base x 1.0 sector x 1.2 mechanism</v>
      </c>
      <c r="U160" s="13" t="s">
        <v>222</v>
      </c>
      <c r="V160" s="13" t="s">
        <v>223</v>
      </c>
      <c r="W160" s="13" t="s">
        <v>99</v>
      </c>
      <c r="X160" s="13"/>
    </row>
    <row r="161" spans="1:24" x14ac:dyDescent="0.2">
      <c r="A161" s="13" t="s">
        <v>637</v>
      </c>
      <c r="B161" s="13" t="s">
        <v>638</v>
      </c>
      <c r="C161" s="13" t="s">
        <v>205</v>
      </c>
      <c r="D161" s="13" t="s">
        <v>27</v>
      </c>
      <c r="E161" s="13" t="s">
        <v>27</v>
      </c>
      <c r="F161" s="13" t="s">
        <v>98</v>
      </c>
      <c r="G161" s="13" t="s">
        <v>170</v>
      </c>
      <c r="H161" s="13" t="s">
        <v>632</v>
      </c>
      <c r="I161" s="13" t="s">
        <v>194</v>
      </c>
      <c r="J161" s="13" t="s">
        <v>639</v>
      </c>
      <c r="K161" s="19" t="s">
        <v>1819</v>
      </c>
      <c r="L161" s="17"/>
      <c r="M161" s="17"/>
      <c r="N161" s="13" t="s">
        <v>218</v>
      </c>
      <c r="O161" s="13" t="s">
        <v>209</v>
      </c>
      <c r="P161" s="16"/>
      <c r="Q161" s="16"/>
      <c r="R161" s="16"/>
      <c r="S161" s="21">
        <f>IF($C161&lt;&gt;"Organisation","",IF(OR($P161&lt;&gt;"",$Q161&lt;&gt;""),IF($P161&lt;&gt;"",IF($Q161&lt;&gt;"",($P161+$Q161)/2,$P161),$Q161),ROUND(_xlfn.XLOOKUP($N161,Assumptions!$B$5:$B$9,Assumptions!$C$5:$C$9,0)*_xlfn.XLOOKUP($G161,Assumptions!$B$13:$B$26,Assumptions!$C$13:$C$26,0)*_xlfn.XLOOKUP($I161,Assumptions!$B$30:$B$50,Assumptions!$C$30:$C$50,0),0)))</f>
        <v>480</v>
      </c>
      <c r="T161" s="16" t="str">
        <f>IF($C161&lt;&gt;"Organisation","",IF(OR($P161&lt;&gt;"",$Q161&lt;&gt;""),"Documented in source - midpoint of annual_intake_low/high",IF($I161="","No confirmed programme - modelled as zero",$N161&amp;" base x "&amp;TEXT(_xlfn.XLOOKUP($G161,Assumptions!$B$13:$B$26,Assumptions!$C$13:$C$26,0),"0.0#")&amp;" sector x "&amp;TEXT(_xlfn.XLOOKUP($I161,Assumptions!$B$30:$B$50,Assumptions!$C$30:$C$50,0),"0.0#")&amp;" mechanism")))</f>
        <v>Mega base x 1.0 sector x 1.2 mechanism</v>
      </c>
      <c r="U161" s="13" t="s">
        <v>210</v>
      </c>
      <c r="V161" s="13" t="s">
        <v>211</v>
      </c>
      <c r="W161" s="13" t="s">
        <v>99</v>
      </c>
      <c r="X161" s="13"/>
    </row>
    <row r="162" spans="1:24" x14ac:dyDescent="0.2">
      <c r="A162" s="13" t="s">
        <v>640</v>
      </c>
      <c r="B162" s="13" t="s">
        <v>641</v>
      </c>
      <c r="C162" s="13" t="s">
        <v>205</v>
      </c>
      <c r="D162" s="13" t="s">
        <v>27</v>
      </c>
      <c r="E162" s="13" t="s">
        <v>27</v>
      </c>
      <c r="F162" s="13" t="s">
        <v>98</v>
      </c>
      <c r="G162" s="13" t="s">
        <v>170</v>
      </c>
      <c r="H162" s="13" t="s">
        <v>632</v>
      </c>
      <c r="I162" s="13" t="s">
        <v>195</v>
      </c>
      <c r="J162" s="13" t="s">
        <v>642</v>
      </c>
      <c r="K162" s="19" t="s">
        <v>1815</v>
      </c>
      <c r="L162" s="17"/>
      <c r="M162" s="17"/>
      <c r="N162" s="13" t="s">
        <v>208</v>
      </c>
      <c r="O162" s="13" t="s">
        <v>209</v>
      </c>
      <c r="P162" s="16"/>
      <c r="Q162" s="16"/>
      <c r="R162" s="16"/>
      <c r="S162" s="21">
        <f>IF($C162&lt;&gt;"Organisation","",IF(OR($P162&lt;&gt;"",$Q162&lt;&gt;""),IF($P162&lt;&gt;"",IF($Q162&lt;&gt;"",($P162+$Q162)/2,$P162),$Q162),ROUND(_xlfn.XLOOKUP($N162,Assumptions!$B$5:$B$9,Assumptions!$C$5:$C$9,0)*_xlfn.XLOOKUP($G162,Assumptions!$B$13:$B$26,Assumptions!$C$13:$C$26,0)*_xlfn.XLOOKUP($I162,Assumptions!$B$30:$B$50,Assumptions!$C$30:$C$50,0),0)))</f>
        <v>120</v>
      </c>
      <c r="T162" s="16" t="str">
        <f>IF($C162&lt;&gt;"Organisation","",IF(OR($P162&lt;&gt;"",$Q162&lt;&gt;""),"Documented in source - midpoint of annual_intake_low/high",IF($I162="","No confirmed programme - modelled as zero",$N162&amp;" base x "&amp;TEXT(_xlfn.XLOOKUP($G162,Assumptions!$B$13:$B$26,Assumptions!$C$13:$C$26,0),"0.0#")&amp;" sector x "&amp;TEXT(_xlfn.XLOOKUP($I162,Assumptions!$B$30:$B$50,Assumptions!$C$30:$C$50,0),"0.0#")&amp;" mechanism")))</f>
        <v>Large base x 1.0 sector x 1.0 mechanism</v>
      </c>
      <c r="U162" s="13" t="s">
        <v>230</v>
      </c>
      <c r="V162" s="13" t="s">
        <v>231</v>
      </c>
      <c r="W162" s="13" t="s">
        <v>99</v>
      </c>
      <c r="X162" s="13"/>
    </row>
    <row r="163" spans="1:24" x14ac:dyDescent="0.2">
      <c r="A163" s="13" t="s">
        <v>643</v>
      </c>
      <c r="B163" s="13" t="s">
        <v>644</v>
      </c>
      <c r="C163" s="13" t="s">
        <v>205</v>
      </c>
      <c r="D163" s="13" t="s">
        <v>27</v>
      </c>
      <c r="E163" s="13" t="s">
        <v>27</v>
      </c>
      <c r="F163" s="13" t="s">
        <v>98</v>
      </c>
      <c r="G163" s="13" t="s">
        <v>170</v>
      </c>
      <c r="H163" s="13" t="s">
        <v>632</v>
      </c>
      <c r="I163" s="13" t="s">
        <v>195</v>
      </c>
      <c r="K163" s="19" t="s">
        <v>1815</v>
      </c>
      <c r="L163" s="17"/>
      <c r="M163" s="17"/>
      <c r="N163" s="13" t="s">
        <v>208</v>
      </c>
      <c r="O163" s="13" t="s">
        <v>209</v>
      </c>
      <c r="P163" s="16"/>
      <c r="Q163" s="16"/>
      <c r="R163" s="16"/>
      <c r="S163" s="21">
        <f>IF($C163&lt;&gt;"Organisation","",IF(OR($P163&lt;&gt;"",$Q163&lt;&gt;""),IF($P163&lt;&gt;"",IF($Q163&lt;&gt;"",($P163+$Q163)/2,$P163),$Q163),ROUND(_xlfn.XLOOKUP($N163,Assumptions!$B$5:$B$9,Assumptions!$C$5:$C$9,0)*_xlfn.XLOOKUP($G163,Assumptions!$B$13:$B$26,Assumptions!$C$13:$C$26,0)*_xlfn.XLOOKUP($I163,Assumptions!$B$30:$B$50,Assumptions!$C$30:$C$50,0),0)))</f>
        <v>120</v>
      </c>
      <c r="T163" s="16" t="str">
        <f>IF($C163&lt;&gt;"Organisation","",IF(OR($P163&lt;&gt;"",$Q163&lt;&gt;""),"Documented in source - midpoint of annual_intake_low/high",IF($I163="","No confirmed programme - modelled as zero",$N163&amp;" base x "&amp;TEXT(_xlfn.XLOOKUP($G163,Assumptions!$B$13:$B$26,Assumptions!$C$13:$C$26,0),"0.0#")&amp;" sector x "&amp;TEXT(_xlfn.XLOOKUP($I163,Assumptions!$B$30:$B$50,Assumptions!$C$30:$C$50,0),"0.0#")&amp;" mechanism")))</f>
        <v>Large base x 1.0 sector x 1.0 mechanism</v>
      </c>
      <c r="U163" s="13" t="s">
        <v>230</v>
      </c>
      <c r="V163" s="13" t="s">
        <v>231</v>
      </c>
      <c r="W163" s="13" t="s">
        <v>99</v>
      </c>
      <c r="X163" s="13"/>
    </row>
    <row r="164" spans="1:24" x14ac:dyDescent="0.2">
      <c r="A164" s="13" t="s">
        <v>645</v>
      </c>
      <c r="B164" s="13" t="s">
        <v>646</v>
      </c>
      <c r="C164" s="13" t="s">
        <v>205</v>
      </c>
      <c r="D164" s="13" t="s">
        <v>27</v>
      </c>
      <c r="E164" s="13" t="s">
        <v>27</v>
      </c>
      <c r="F164" s="13" t="s">
        <v>98</v>
      </c>
      <c r="G164" s="13" t="s">
        <v>170</v>
      </c>
      <c r="H164" s="13" t="s">
        <v>632</v>
      </c>
      <c r="I164" s="13" t="s">
        <v>195</v>
      </c>
      <c r="K164" s="19" t="s">
        <v>1815</v>
      </c>
      <c r="L164" s="17"/>
      <c r="M164" s="17"/>
      <c r="N164" s="13" t="s">
        <v>208</v>
      </c>
      <c r="O164" s="13" t="s">
        <v>209</v>
      </c>
      <c r="P164" s="16"/>
      <c r="Q164" s="16"/>
      <c r="R164" s="16"/>
      <c r="S164" s="21">
        <f>IF($C164&lt;&gt;"Organisation","",IF(OR($P164&lt;&gt;"",$Q164&lt;&gt;""),IF($P164&lt;&gt;"",IF($Q164&lt;&gt;"",($P164+$Q164)/2,$P164),$Q164),ROUND(_xlfn.XLOOKUP($N164,Assumptions!$B$5:$B$9,Assumptions!$C$5:$C$9,0)*_xlfn.XLOOKUP($G164,Assumptions!$B$13:$B$26,Assumptions!$C$13:$C$26,0)*_xlfn.XLOOKUP($I164,Assumptions!$B$30:$B$50,Assumptions!$C$30:$C$50,0),0)))</f>
        <v>120</v>
      </c>
      <c r="T164" s="16" t="str">
        <f>IF($C164&lt;&gt;"Organisation","",IF(OR($P164&lt;&gt;"",$Q164&lt;&gt;""),"Documented in source - midpoint of annual_intake_low/high",IF($I164="","No confirmed programme - modelled as zero",$N164&amp;" base x "&amp;TEXT(_xlfn.XLOOKUP($G164,Assumptions!$B$13:$B$26,Assumptions!$C$13:$C$26,0),"0.0#")&amp;" sector x "&amp;TEXT(_xlfn.XLOOKUP($I164,Assumptions!$B$30:$B$50,Assumptions!$C$30:$C$50,0),"0.0#")&amp;" mechanism")))</f>
        <v>Large base x 1.0 sector x 1.0 mechanism</v>
      </c>
      <c r="U164" s="13" t="s">
        <v>230</v>
      </c>
      <c r="V164" s="13" t="s">
        <v>231</v>
      </c>
      <c r="W164" s="13" t="s">
        <v>99</v>
      </c>
      <c r="X164" s="13"/>
    </row>
    <row r="165" spans="1:24" x14ac:dyDescent="0.2">
      <c r="A165" s="13" t="s">
        <v>647</v>
      </c>
      <c r="B165" s="13" t="s">
        <v>648</v>
      </c>
      <c r="C165" s="13" t="s">
        <v>205</v>
      </c>
      <c r="D165" s="13" t="s">
        <v>27</v>
      </c>
      <c r="E165" s="13" t="s">
        <v>27</v>
      </c>
      <c r="F165" s="13" t="s">
        <v>98</v>
      </c>
      <c r="G165" s="13" t="s">
        <v>166</v>
      </c>
      <c r="H165" s="13" t="s">
        <v>649</v>
      </c>
      <c r="I165" s="13" t="s">
        <v>195</v>
      </c>
      <c r="J165" s="13" t="s">
        <v>650</v>
      </c>
      <c r="K165" s="19" t="s">
        <v>1815</v>
      </c>
      <c r="L165" s="17"/>
      <c r="M165" s="17"/>
      <c r="N165" s="13" t="s">
        <v>236</v>
      </c>
      <c r="O165" s="13" t="s">
        <v>209</v>
      </c>
      <c r="P165" s="16"/>
      <c r="Q165" s="16"/>
      <c r="R165" s="16"/>
      <c r="S165" s="21">
        <f>IF($C165&lt;&gt;"Organisation","",IF(OR($P165&lt;&gt;"",$Q165&lt;&gt;""),IF($P165&lt;&gt;"",IF($Q165&lt;&gt;"",($P165+$Q165)/2,$P165),$Q165),ROUND(_xlfn.XLOOKUP($N165,Assumptions!$B$5:$B$9,Assumptions!$C$5:$C$9,0)*_xlfn.XLOOKUP($G165,Assumptions!$B$13:$B$26,Assumptions!$C$13:$C$26,0)*_xlfn.XLOOKUP($I165,Assumptions!$B$30:$B$50,Assumptions!$C$30:$C$50,0),0)))</f>
        <v>6</v>
      </c>
      <c r="T165" s="16" t="str">
        <f>IF($C165&lt;&gt;"Organisation","",IF(OR($P165&lt;&gt;"",$Q165&lt;&gt;""),"Documented in source - midpoint of annual_intake_low/high",IF($I165="","No confirmed programme - modelled as zero",$N165&amp;" base x "&amp;TEXT(_xlfn.XLOOKUP($G165,Assumptions!$B$13:$B$26,Assumptions!$C$13:$C$26,0),"0.0#")&amp;" sector x "&amp;TEXT(_xlfn.XLOOKUP($I165,Assumptions!$B$30:$B$50,Assumptions!$C$30:$C$50,0),"0.0#")&amp;" mechanism")))</f>
        <v>Boutique base x 0.8 sector x 1.0 mechanism</v>
      </c>
      <c r="U165" s="13" t="s">
        <v>230</v>
      </c>
      <c r="V165" s="13" t="s">
        <v>231</v>
      </c>
      <c r="W165" s="13" t="s">
        <v>99</v>
      </c>
      <c r="X165" s="13"/>
    </row>
    <row r="166" spans="1:24" x14ac:dyDescent="0.2">
      <c r="A166" s="13" t="s">
        <v>651</v>
      </c>
      <c r="B166" s="13" t="s">
        <v>652</v>
      </c>
      <c r="C166" s="13" t="s">
        <v>205</v>
      </c>
      <c r="D166" s="13" t="s">
        <v>27</v>
      </c>
      <c r="E166" s="13" t="s">
        <v>27</v>
      </c>
      <c r="F166" s="13" t="s">
        <v>98</v>
      </c>
      <c r="G166" s="13" t="s">
        <v>188</v>
      </c>
      <c r="H166" s="13" t="s">
        <v>653</v>
      </c>
      <c r="I166" s="13" t="s">
        <v>195</v>
      </c>
      <c r="J166" s="13" t="s">
        <v>654</v>
      </c>
      <c r="K166" s="19" t="s">
        <v>1815</v>
      </c>
      <c r="L166" s="17"/>
      <c r="M166" s="17"/>
      <c r="N166" s="13" t="s">
        <v>244</v>
      </c>
      <c r="O166" s="13" t="s">
        <v>209</v>
      </c>
      <c r="P166" s="16"/>
      <c r="Q166" s="16"/>
      <c r="R166" s="16"/>
      <c r="S166" s="21">
        <f>IF($C166&lt;&gt;"Organisation","",IF(OR($P166&lt;&gt;"",$Q166&lt;&gt;""),IF($P166&lt;&gt;"",IF($Q166&lt;&gt;"",($P166+$Q166)/2,$P166),$Q166),ROUND(_xlfn.XLOOKUP($N166,Assumptions!$B$5:$B$9,Assumptions!$C$5:$C$9,0)*_xlfn.XLOOKUP($G166,Assumptions!$B$13:$B$26,Assumptions!$C$13:$C$26,0)*_xlfn.XLOOKUP($I166,Assumptions!$B$30:$B$50,Assumptions!$C$30:$C$50,0),0)))</f>
        <v>30</v>
      </c>
      <c r="T166" s="16" t="str">
        <f>IF($C166&lt;&gt;"Organisation","",IF(OR($P166&lt;&gt;"",$Q166&lt;&gt;""),"Documented in source - midpoint of annual_intake_low/high",IF($I166="","No confirmed programme - modelled as zero",$N166&amp;" base x "&amp;TEXT(_xlfn.XLOOKUP($G166,Assumptions!$B$13:$B$26,Assumptions!$C$13:$C$26,0),"0.0#")&amp;" sector x "&amp;TEXT(_xlfn.XLOOKUP($I166,Assumptions!$B$30:$B$50,Assumptions!$C$30:$C$50,0),"0.0#")&amp;" mechanism")))</f>
        <v>Mid base x 1.0 sector x 1.0 mechanism</v>
      </c>
      <c r="U166" s="13" t="s">
        <v>230</v>
      </c>
      <c r="V166" s="13" t="s">
        <v>231</v>
      </c>
      <c r="W166" s="13" t="s">
        <v>99</v>
      </c>
      <c r="X166" s="13"/>
    </row>
    <row r="167" spans="1:24" x14ac:dyDescent="0.2">
      <c r="A167" s="13" t="s">
        <v>655</v>
      </c>
      <c r="B167" s="13" t="s">
        <v>656</v>
      </c>
      <c r="C167" s="13" t="s">
        <v>205</v>
      </c>
      <c r="D167" s="13" t="s">
        <v>27</v>
      </c>
      <c r="E167" s="13" t="s">
        <v>27</v>
      </c>
      <c r="F167" s="13" t="s">
        <v>98</v>
      </c>
      <c r="G167" s="13" t="s">
        <v>166</v>
      </c>
      <c r="H167" s="13" t="s">
        <v>649</v>
      </c>
      <c r="I167" s="13" t="s">
        <v>195</v>
      </c>
      <c r="J167" s="13" t="s">
        <v>654</v>
      </c>
      <c r="K167" s="19" t="s">
        <v>1815</v>
      </c>
      <c r="L167" s="17"/>
      <c r="M167" s="17"/>
      <c r="N167" s="13" t="s">
        <v>236</v>
      </c>
      <c r="O167" s="13" t="s">
        <v>209</v>
      </c>
      <c r="P167" s="16"/>
      <c r="Q167" s="16"/>
      <c r="R167" s="16"/>
      <c r="S167" s="21">
        <f>IF($C167&lt;&gt;"Organisation","",IF(OR($P167&lt;&gt;"",$Q167&lt;&gt;""),IF($P167&lt;&gt;"",IF($Q167&lt;&gt;"",($P167+$Q167)/2,$P167),$Q167),ROUND(_xlfn.XLOOKUP($N167,Assumptions!$B$5:$B$9,Assumptions!$C$5:$C$9,0)*_xlfn.XLOOKUP($G167,Assumptions!$B$13:$B$26,Assumptions!$C$13:$C$26,0)*_xlfn.XLOOKUP($I167,Assumptions!$B$30:$B$50,Assumptions!$C$30:$C$50,0),0)))</f>
        <v>6</v>
      </c>
      <c r="T167" s="16" t="str">
        <f>IF($C167&lt;&gt;"Organisation","",IF(OR($P167&lt;&gt;"",$Q167&lt;&gt;""),"Documented in source - midpoint of annual_intake_low/high",IF($I167="","No confirmed programme - modelled as zero",$N167&amp;" base x "&amp;TEXT(_xlfn.XLOOKUP($G167,Assumptions!$B$13:$B$26,Assumptions!$C$13:$C$26,0),"0.0#")&amp;" sector x "&amp;TEXT(_xlfn.XLOOKUP($I167,Assumptions!$B$30:$B$50,Assumptions!$C$30:$C$50,0),"0.0#")&amp;" mechanism")))</f>
        <v>Boutique base x 0.8 sector x 1.0 mechanism</v>
      </c>
      <c r="U167" s="13" t="s">
        <v>230</v>
      </c>
      <c r="V167" s="13" t="s">
        <v>231</v>
      </c>
      <c r="W167" s="13" t="s">
        <v>99</v>
      </c>
      <c r="X167" s="13"/>
    </row>
    <row r="168" spans="1:24" x14ac:dyDescent="0.2">
      <c r="A168" s="13" t="s">
        <v>657</v>
      </c>
      <c r="B168" s="13" t="s">
        <v>658</v>
      </c>
      <c r="C168" s="13" t="s">
        <v>205</v>
      </c>
      <c r="D168" s="13" t="s">
        <v>27</v>
      </c>
      <c r="E168" s="13" t="s">
        <v>27</v>
      </c>
      <c r="F168" s="13" t="s">
        <v>98</v>
      </c>
      <c r="G168" s="13" t="s">
        <v>166</v>
      </c>
      <c r="H168" s="13" t="s">
        <v>649</v>
      </c>
      <c r="I168" s="13" t="s">
        <v>195</v>
      </c>
      <c r="J168" s="13" t="s">
        <v>654</v>
      </c>
      <c r="K168" s="19" t="s">
        <v>1815</v>
      </c>
      <c r="L168" s="17"/>
      <c r="M168" s="17"/>
      <c r="N168" s="13" t="s">
        <v>244</v>
      </c>
      <c r="O168" s="13" t="s">
        <v>209</v>
      </c>
      <c r="P168" s="16"/>
      <c r="Q168" s="16"/>
      <c r="R168" s="16"/>
      <c r="S168" s="21">
        <f>IF($C168&lt;&gt;"Organisation","",IF(OR($P168&lt;&gt;"",$Q168&lt;&gt;""),IF($P168&lt;&gt;"",IF($Q168&lt;&gt;"",($P168+$Q168)/2,$P168),$Q168),ROUND(_xlfn.XLOOKUP($N168,Assumptions!$B$5:$B$9,Assumptions!$C$5:$C$9,0)*_xlfn.XLOOKUP($G168,Assumptions!$B$13:$B$26,Assumptions!$C$13:$C$26,0)*_xlfn.XLOOKUP($I168,Assumptions!$B$30:$B$50,Assumptions!$C$30:$C$50,0),0)))</f>
        <v>24</v>
      </c>
      <c r="T168" s="16" t="str">
        <f>IF($C168&lt;&gt;"Organisation","",IF(OR($P168&lt;&gt;"",$Q168&lt;&gt;""),"Documented in source - midpoint of annual_intake_low/high",IF($I168="","No confirmed programme - modelled as zero",$N168&amp;" base x "&amp;TEXT(_xlfn.XLOOKUP($G168,Assumptions!$B$13:$B$26,Assumptions!$C$13:$C$26,0),"0.0#")&amp;" sector x "&amp;TEXT(_xlfn.XLOOKUP($I168,Assumptions!$B$30:$B$50,Assumptions!$C$30:$C$50,0),"0.0#")&amp;" mechanism")))</f>
        <v>Mid base x 0.8 sector x 1.0 mechanism</v>
      </c>
      <c r="U168" s="13" t="s">
        <v>230</v>
      </c>
      <c r="V168" s="13" t="s">
        <v>231</v>
      </c>
      <c r="W168" s="13" t="s">
        <v>99</v>
      </c>
      <c r="X168" s="13"/>
    </row>
    <row r="169" spans="1:24" x14ac:dyDescent="0.2">
      <c r="A169" s="13" t="s">
        <v>659</v>
      </c>
      <c r="B169" s="13" t="s">
        <v>660</v>
      </c>
      <c r="C169" s="13" t="s">
        <v>205</v>
      </c>
      <c r="D169" s="13" t="s">
        <v>27</v>
      </c>
      <c r="E169" s="13" t="s">
        <v>27</v>
      </c>
      <c r="F169" s="13" t="s">
        <v>98</v>
      </c>
      <c r="G169" s="13" t="s">
        <v>190</v>
      </c>
      <c r="H169" s="13" t="s">
        <v>661</v>
      </c>
      <c r="I169" s="13" t="s">
        <v>195</v>
      </c>
      <c r="J169" s="13" t="s">
        <v>654</v>
      </c>
      <c r="K169" s="19" t="s">
        <v>1815</v>
      </c>
      <c r="L169" s="17"/>
      <c r="M169" s="17"/>
      <c r="N169" s="13" t="s">
        <v>244</v>
      </c>
      <c r="O169" s="13" t="s">
        <v>209</v>
      </c>
      <c r="P169" s="16"/>
      <c r="Q169" s="16"/>
      <c r="R169" s="16"/>
      <c r="S169" s="21">
        <f>IF($C169&lt;&gt;"Organisation","",IF(OR($P169&lt;&gt;"",$Q169&lt;&gt;""),IF($P169&lt;&gt;"",IF($Q169&lt;&gt;"",($P169+$Q169)/2,$P169),$Q169),ROUND(_xlfn.XLOOKUP($N169,Assumptions!$B$5:$B$9,Assumptions!$C$5:$C$9,0)*_xlfn.XLOOKUP($G169,Assumptions!$B$13:$B$26,Assumptions!$C$13:$C$26,0)*_xlfn.XLOOKUP($I169,Assumptions!$B$30:$B$50,Assumptions!$C$30:$C$50,0),0)))</f>
        <v>24</v>
      </c>
      <c r="T169" s="16" t="str">
        <f>IF($C169&lt;&gt;"Organisation","",IF(OR($P169&lt;&gt;"",$Q169&lt;&gt;""),"Documented in source - midpoint of annual_intake_low/high",IF($I169="","No confirmed programme - modelled as zero",$N169&amp;" base x "&amp;TEXT(_xlfn.XLOOKUP($G169,Assumptions!$B$13:$B$26,Assumptions!$C$13:$C$26,0),"0.0#")&amp;" sector x "&amp;TEXT(_xlfn.XLOOKUP($I169,Assumptions!$B$30:$B$50,Assumptions!$C$30:$C$50,0),"0.0#")&amp;" mechanism")))</f>
        <v>Mid base x 0.8 sector x 1.0 mechanism</v>
      </c>
      <c r="U169" s="13" t="s">
        <v>230</v>
      </c>
      <c r="V169" s="13" t="s">
        <v>231</v>
      </c>
      <c r="W169" s="13" t="s">
        <v>99</v>
      </c>
      <c r="X169" s="13"/>
    </row>
    <row r="170" spans="1:24" x14ac:dyDescent="0.2">
      <c r="A170" s="13" t="s">
        <v>662</v>
      </c>
      <c r="B170" s="13" t="s">
        <v>663</v>
      </c>
      <c r="C170" s="13" t="s">
        <v>205</v>
      </c>
      <c r="D170" s="13" t="s">
        <v>27</v>
      </c>
      <c r="E170" s="13" t="s">
        <v>27</v>
      </c>
      <c r="F170" s="13" t="s">
        <v>98</v>
      </c>
      <c r="G170" s="13" t="s">
        <v>188</v>
      </c>
      <c r="H170" s="13" t="s">
        <v>664</v>
      </c>
      <c r="I170" s="13" t="s">
        <v>195</v>
      </c>
      <c r="J170" s="13" t="s">
        <v>654</v>
      </c>
      <c r="K170" s="19" t="s">
        <v>1815</v>
      </c>
      <c r="L170" s="17"/>
      <c r="M170" s="17"/>
      <c r="N170" s="13" t="s">
        <v>244</v>
      </c>
      <c r="O170" s="13" t="s">
        <v>209</v>
      </c>
      <c r="P170" s="16"/>
      <c r="Q170" s="16"/>
      <c r="R170" s="16"/>
      <c r="S170" s="21">
        <f>IF($C170&lt;&gt;"Organisation","",IF(OR($P170&lt;&gt;"",$Q170&lt;&gt;""),IF($P170&lt;&gt;"",IF($Q170&lt;&gt;"",($P170+$Q170)/2,$P170),$Q170),ROUND(_xlfn.XLOOKUP($N170,Assumptions!$B$5:$B$9,Assumptions!$C$5:$C$9,0)*_xlfn.XLOOKUP($G170,Assumptions!$B$13:$B$26,Assumptions!$C$13:$C$26,0)*_xlfn.XLOOKUP($I170,Assumptions!$B$30:$B$50,Assumptions!$C$30:$C$50,0),0)))</f>
        <v>30</v>
      </c>
      <c r="T170" s="16" t="str">
        <f>IF($C170&lt;&gt;"Organisation","",IF(OR($P170&lt;&gt;"",$Q170&lt;&gt;""),"Documented in source - midpoint of annual_intake_low/high",IF($I170="","No confirmed programme - modelled as zero",$N170&amp;" base x "&amp;TEXT(_xlfn.XLOOKUP($G170,Assumptions!$B$13:$B$26,Assumptions!$C$13:$C$26,0),"0.0#")&amp;" sector x "&amp;TEXT(_xlfn.XLOOKUP($I170,Assumptions!$B$30:$B$50,Assumptions!$C$30:$C$50,0),"0.0#")&amp;" mechanism")))</f>
        <v>Mid base x 1.0 sector x 1.0 mechanism</v>
      </c>
      <c r="U170" s="13" t="s">
        <v>230</v>
      </c>
      <c r="V170" s="13" t="s">
        <v>231</v>
      </c>
      <c r="W170" s="13" t="s">
        <v>99</v>
      </c>
      <c r="X170" s="13"/>
    </row>
    <row r="171" spans="1:24" x14ac:dyDescent="0.2">
      <c r="A171" s="13" t="s">
        <v>665</v>
      </c>
      <c r="B171" s="13" t="s">
        <v>666</v>
      </c>
      <c r="C171" s="13" t="s">
        <v>205</v>
      </c>
      <c r="D171" s="13" t="s">
        <v>27</v>
      </c>
      <c r="E171" s="13" t="s">
        <v>27</v>
      </c>
      <c r="F171" s="13" t="s">
        <v>98</v>
      </c>
      <c r="G171" s="13" t="s">
        <v>176</v>
      </c>
      <c r="H171" s="13" t="s">
        <v>667</v>
      </c>
      <c r="I171" s="13" t="s">
        <v>193</v>
      </c>
      <c r="J171" s="13" t="s">
        <v>668</v>
      </c>
      <c r="K171" s="19" t="s">
        <v>1815</v>
      </c>
      <c r="L171" s="17"/>
      <c r="M171" s="17"/>
      <c r="N171" s="13" t="s">
        <v>218</v>
      </c>
      <c r="O171" s="13" t="s">
        <v>209</v>
      </c>
      <c r="P171" s="16"/>
      <c r="Q171" s="16"/>
      <c r="R171" s="16"/>
      <c r="S171" s="21">
        <f>IF($C171&lt;&gt;"Organisation","",IF(OR($P171&lt;&gt;"",$Q171&lt;&gt;""),IF($P171&lt;&gt;"",IF($Q171&lt;&gt;"",($P171+$Q171)/2,$P171),$Q171),ROUND(_xlfn.XLOOKUP($N171,Assumptions!$B$5:$B$9,Assumptions!$C$5:$C$9,0)*_xlfn.XLOOKUP($G171,Assumptions!$B$13:$B$26,Assumptions!$C$13:$C$26,0)*_xlfn.XLOOKUP($I171,Assumptions!$B$30:$B$50,Assumptions!$C$30:$C$50,0),0)))</f>
        <v>560</v>
      </c>
      <c r="T171" s="16" t="str">
        <f>IF($C171&lt;&gt;"Organisation","",IF(OR($P171&lt;&gt;"",$Q171&lt;&gt;""),"Documented in source - midpoint of annual_intake_low/high",IF($I171="","No confirmed programme - modelled as zero",$N171&amp;" base x "&amp;TEXT(_xlfn.XLOOKUP($G171,Assumptions!$B$13:$B$26,Assumptions!$C$13:$C$26,0),"0.0#")&amp;" sector x "&amp;TEXT(_xlfn.XLOOKUP($I171,Assumptions!$B$30:$B$50,Assumptions!$C$30:$C$50,0),"0.0#")&amp;" mechanism")))</f>
        <v>Mega base x 1.0 sector x 1.4 mechanism</v>
      </c>
      <c r="U171" s="13" t="s">
        <v>230</v>
      </c>
      <c r="V171" s="13" t="s">
        <v>231</v>
      </c>
      <c r="W171" s="13" t="s">
        <v>99</v>
      </c>
      <c r="X171" s="13"/>
    </row>
    <row r="172" spans="1:24" x14ac:dyDescent="0.2">
      <c r="A172" s="13" t="s">
        <v>669</v>
      </c>
      <c r="B172" s="13" t="s">
        <v>670</v>
      </c>
      <c r="C172" s="13" t="s">
        <v>205</v>
      </c>
      <c r="D172" s="13" t="s">
        <v>27</v>
      </c>
      <c r="E172" s="13" t="s">
        <v>27</v>
      </c>
      <c r="F172" s="13" t="s">
        <v>98</v>
      </c>
      <c r="G172" s="13" t="s">
        <v>176</v>
      </c>
      <c r="H172" s="13" t="s">
        <v>671</v>
      </c>
      <c r="I172" s="13" t="s">
        <v>195</v>
      </c>
      <c r="J172" s="13" t="s">
        <v>672</v>
      </c>
      <c r="K172" s="19" t="s">
        <v>1815</v>
      </c>
      <c r="L172" s="17"/>
      <c r="M172" s="17"/>
      <c r="N172" s="13" t="s">
        <v>208</v>
      </c>
      <c r="O172" s="13" t="s">
        <v>209</v>
      </c>
      <c r="P172" s="16"/>
      <c r="Q172" s="16"/>
      <c r="R172" s="16"/>
      <c r="S172" s="21">
        <f>IF($C172&lt;&gt;"Organisation","",IF(OR($P172&lt;&gt;"",$Q172&lt;&gt;""),IF($P172&lt;&gt;"",IF($Q172&lt;&gt;"",($P172+$Q172)/2,$P172),$Q172),ROUND(_xlfn.XLOOKUP($N172,Assumptions!$B$5:$B$9,Assumptions!$C$5:$C$9,0)*_xlfn.XLOOKUP($G172,Assumptions!$B$13:$B$26,Assumptions!$C$13:$C$26,0)*_xlfn.XLOOKUP($I172,Assumptions!$B$30:$B$50,Assumptions!$C$30:$C$50,0),0)))</f>
        <v>120</v>
      </c>
      <c r="T172" s="16" t="str">
        <f>IF($C172&lt;&gt;"Organisation","",IF(OR($P172&lt;&gt;"",$Q172&lt;&gt;""),"Documented in source - midpoint of annual_intake_low/high",IF($I172="","No confirmed programme - modelled as zero",$N172&amp;" base x "&amp;TEXT(_xlfn.XLOOKUP($G172,Assumptions!$B$13:$B$26,Assumptions!$C$13:$C$26,0),"0.0#")&amp;" sector x "&amp;TEXT(_xlfn.XLOOKUP($I172,Assumptions!$B$30:$B$50,Assumptions!$C$30:$C$50,0),"0.0#")&amp;" mechanism")))</f>
        <v>Large base x 1.0 sector x 1.0 mechanism</v>
      </c>
      <c r="U172" s="13" t="s">
        <v>230</v>
      </c>
      <c r="V172" s="13" t="s">
        <v>231</v>
      </c>
      <c r="W172" s="13" t="s">
        <v>99</v>
      </c>
      <c r="X172" s="13"/>
    </row>
    <row r="173" spans="1:24" x14ac:dyDescent="0.2">
      <c r="A173" s="13" t="s">
        <v>673</v>
      </c>
      <c r="B173" s="13" t="s">
        <v>674</v>
      </c>
      <c r="C173" s="13" t="s">
        <v>205</v>
      </c>
      <c r="D173" s="13" t="s">
        <v>27</v>
      </c>
      <c r="E173" s="13" t="s">
        <v>27</v>
      </c>
      <c r="F173" s="13" t="s">
        <v>98</v>
      </c>
      <c r="G173" s="13" t="s">
        <v>174</v>
      </c>
      <c r="H173" s="13" t="s">
        <v>675</v>
      </c>
      <c r="I173" s="13" t="s">
        <v>195</v>
      </c>
      <c r="J173" s="13" t="s">
        <v>654</v>
      </c>
      <c r="K173" s="19" t="s">
        <v>1815</v>
      </c>
      <c r="L173" s="17"/>
      <c r="M173" s="17"/>
      <c r="N173" s="13" t="s">
        <v>244</v>
      </c>
      <c r="O173" s="13" t="s">
        <v>209</v>
      </c>
      <c r="P173" s="16"/>
      <c r="Q173" s="16"/>
      <c r="R173" s="16"/>
      <c r="S173" s="21">
        <f>IF($C173&lt;&gt;"Organisation","",IF(OR($P173&lt;&gt;"",$Q173&lt;&gt;""),IF($P173&lt;&gt;"",IF($Q173&lt;&gt;"",($P173+$Q173)/2,$P173),$Q173),ROUND(_xlfn.XLOOKUP($N173,Assumptions!$B$5:$B$9,Assumptions!$C$5:$C$9,0)*_xlfn.XLOOKUP($G173,Assumptions!$B$13:$B$26,Assumptions!$C$13:$C$26,0)*_xlfn.XLOOKUP($I173,Assumptions!$B$30:$B$50,Assumptions!$C$30:$C$50,0),0)))</f>
        <v>24</v>
      </c>
      <c r="T173" s="16" t="str">
        <f>IF($C173&lt;&gt;"Organisation","",IF(OR($P173&lt;&gt;"",$Q173&lt;&gt;""),"Documented in source - midpoint of annual_intake_low/high",IF($I173="","No confirmed programme - modelled as zero",$N173&amp;" base x "&amp;TEXT(_xlfn.XLOOKUP($G173,Assumptions!$B$13:$B$26,Assumptions!$C$13:$C$26,0),"0.0#")&amp;" sector x "&amp;TEXT(_xlfn.XLOOKUP($I173,Assumptions!$B$30:$B$50,Assumptions!$C$30:$C$50,0),"0.0#")&amp;" mechanism")))</f>
        <v>Mid base x 0.8 sector x 1.0 mechanism</v>
      </c>
      <c r="U173" s="13" t="s">
        <v>230</v>
      </c>
      <c r="V173" s="13" t="s">
        <v>231</v>
      </c>
      <c r="W173" s="13" t="s">
        <v>99</v>
      </c>
      <c r="X173" s="13"/>
    </row>
    <row r="174" spans="1:24" x14ac:dyDescent="0.2">
      <c r="A174" s="13" t="s">
        <v>676</v>
      </c>
      <c r="B174" s="13" t="s">
        <v>677</v>
      </c>
      <c r="C174" s="13" t="s">
        <v>205</v>
      </c>
      <c r="D174" s="13" t="s">
        <v>27</v>
      </c>
      <c r="E174" s="13" t="s">
        <v>27</v>
      </c>
      <c r="F174" s="13" t="s">
        <v>105</v>
      </c>
      <c r="G174" s="13" t="s">
        <v>190</v>
      </c>
      <c r="H174" s="13" t="s">
        <v>678</v>
      </c>
      <c r="I174" s="13" t="s">
        <v>195</v>
      </c>
      <c r="J174" s="13" t="s">
        <v>672</v>
      </c>
      <c r="K174" s="19" t="s">
        <v>1815</v>
      </c>
      <c r="L174" s="17"/>
      <c r="M174" s="17"/>
      <c r="N174" s="13" t="s">
        <v>208</v>
      </c>
      <c r="O174" s="13" t="s">
        <v>209</v>
      </c>
      <c r="P174" s="16"/>
      <c r="Q174" s="16"/>
      <c r="R174" s="16"/>
      <c r="S174" s="21">
        <f>IF($C174&lt;&gt;"Organisation","",IF(OR($P174&lt;&gt;"",$Q174&lt;&gt;""),IF($P174&lt;&gt;"",IF($Q174&lt;&gt;"",($P174+$Q174)/2,$P174),$Q174),ROUND(_xlfn.XLOOKUP($N174,Assumptions!$B$5:$B$9,Assumptions!$C$5:$C$9,0)*_xlfn.XLOOKUP($G174,Assumptions!$B$13:$B$26,Assumptions!$C$13:$C$26,0)*_xlfn.XLOOKUP($I174,Assumptions!$B$30:$B$50,Assumptions!$C$30:$C$50,0),0)))</f>
        <v>96</v>
      </c>
      <c r="T174" s="16" t="str">
        <f>IF($C174&lt;&gt;"Organisation","",IF(OR($P174&lt;&gt;"",$Q174&lt;&gt;""),"Documented in source - midpoint of annual_intake_low/high",IF($I174="","No confirmed programme - modelled as zero",$N174&amp;" base x "&amp;TEXT(_xlfn.XLOOKUP($G174,Assumptions!$B$13:$B$26,Assumptions!$C$13:$C$26,0),"0.0#")&amp;" sector x "&amp;TEXT(_xlfn.XLOOKUP($I174,Assumptions!$B$30:$B$50,Assumptions!$C$30:$C$50,0),"0.0#")&amp;" mechanism")))</f>
        <v>Large base x 0.8 sector x 1.0 mechanism</v>
      </c>
      <c r="U174" s="13" t="s">
        <v>230</v>
      </c>
      <c r="V174" s="13" t="s">
        <v>231</v>
      </c>
      <c r="W174" s="13" t="s">
        <v>80</v>
      </c>
      <c r="X174" s="13"/>
    </row>
    <row r="175" spans="1:24" x14ac:dyDescent="0.2">
      <c r="A175" s="13" t="s">
        <v>679</v>
      </c>
      <c r="B175" s="13" t="s">
        <v>680</v>
      </c>
      <c r="C175" s="13" t="s">
        <v>205</v>
      </c>
      <c r="D175" s="13" t="s">
        <v>76</v>
      </c>
      <c r="E175" s="13" t="s">
        <v>76</v>
      </c>
      <c r="F175" s="13" t="s">
        <v>161</v>
      </c>
      <c r="G175" s="13" t="s">
        <v>170</v>
      </c>
      <c r="H175" s="13" t="s">
        <v>681</v>
      </c>
      <c r="I175" s="13" t="s">
        <v>1453</v>
      </c>
      <c r="J175" s="13" t="s">
        <v>682</v>
      </c>
      <c r="K175" s="19" t="s">
        <v>1815</v>
      </c>
      <c r="L175" s="17"/>
      <c r="M175" s="17"/>
      <c r="N175" s="13" t="s">
        <v>218</v>
      </c>
      <c r="O175" s="13" t="s">
        <v>209</v>
      </c>
      <c r="P175" s="16"/>
      <c r="Q175" s="16"/>
      <c r="R175" s="16"/>
      <c r="S175" s="21">
        <f>IF($C175&lt;&gt;"Organisation","",IF(OR($P175&lt;&gt;"",$Q175&lt;&gt;""),IF($P175&lt;&gt;"",IF($Q175&lt;&gt;"",($P175+$Q175)/2,$P175),$Q175),ROUND(_xlfn.XLOOKUP($N175,Assumptions!$B$5:$B$9,Assumptions!$C$5:$C$9,0)*_xlfn.XLOOKUP($G175,Assumptions!$B$13:$B$26,Assumptions!$C$13:$C$26,0)*_xlfn.XLOOKUP($I175,Assumptions!$B$30:$B$50,Assumptions!$C$30:$C$50,0),0)))</f>
        <v>400</v>
      </c>
      <c r="T175" s="16" t="str">
        <f>IF($C175&lt;&gt;"Organisation","",IF(OR($P175&lt;&gt;"",$Q175&lt;&gt;""),"Documented in source - midpoint of annual_intake_low/high",IF($I175="","No confirmed programme - modelled as zero",$N175&amp;" base x "&amp;TEXT(_xlfn.XLOOKUP($G175,Assumptions!$B$13:$B$26,Assumptions!$C$13:$C$26,0),"0.0#")&amp;" sector x "&amp;TEXT(_xlfn.XLOOKUP($I175,Assumptions!$B$30:$B$50,Assumptions!$C$30:$C$50,0),"0.0#")&amp;" mechanism")))</f>
        <v>Mega base x 1.0 sector x 1.0 mechanism</v>
      </c>
      <c r="U175" s="13" t="s">
        <v>230</v>
      </c>
      <c r="V175" s="13" t="s">
        <v>231</v>
      </c>
      <c r="W175" s="13" t="s">
        <v>80</v>
      </c>
      <c r="X175" s="13" t="s">
        <v>1437</v>
      </c>
    </row>
    <row r="176" spans="1:24" x14ac:dyDescent="0.2">
      <c r="A176" s="13" t="s">
        <v>683</v>
      </c>
      <c r="B176" s="13" t="s">
        <v>684</v>
      </c>
      <c r="C176" s="13" t="s">
        <v>205</v>
      </c>
      <c r="D176" s="13" t="s">
        <v>76</v>
      </c>
      <c r="E176" s="13" t="s">
        <v>76</v>
      </c>
      <c r="F176" s="13" t="s">
        <v>161</v>
      </c>
      <c r="G176" s="13" t="s">
        <v>163</v>
      </c>
      <c r="H176" s="13" t="s">
        <v>681</v>
      </c>
      <c r="I176" s="13" t="s">
        <v>1453</v>
      </c>
      <c r="J176" s="13" t="s">
        <v>682</v>
      </c>
      <c r="K176" s="19" t="s">
        <v>1815</v>
      </c>
      <c r="L176" s="17"/>
      <c r="M176" s="17"/>
      <c r="N176" s="13" t="s">
        <v>218</v>
      </c>
      <c r="O176" s="13" t="s">
        <v>209</v>
      </c>
      <c r="P176" s="16"/>
      <c r="Q176" s="16"/>
      <c r="R176" s="16"/>
      <c r="S176" s="21">
        <f>IF($C176&lt;&gt;"Organisation","",IF(OR($P176&lt;&gt;"",$Q176&lt;&gt;""),IF($P176&lt;&gt;"",IF($Q176&lt;&gt;"",($P176+$Q176)/2,$P176),$Q176),ROUND(_xlfn.XLOOKUP($N176,Assumptions!$B$5:$B$9,Assumptions!$C$5:$C$9,0)*_xlfn.XLOOKUP($G176,Assumptions!$B$13:$B$26,Assumptions!$C$13:$C$26,0)*_xlfn.XLOOKUP($I176,Assumptions!$B$30:$B$50,Assumptions!$C$30:$C$50,0),0)))</f>
        <v>800</v>
      </c>
      <c r="T176" s="16" t="str">
        <f>IF($C176&lt;&gt;"Organisation","",IF(OR($P176&lt;&gt;"",$Q176&lt;&gt;""),"Documented in source - midpoint of annual_intake_low/high",IF($I176="","No confirmed programme - modelled as zero",$N176&amp;" base x "&amp;TEXT(_xlfn.XLOOKUP($G176,Assumptions!$B$13:$B$26,Assumptions!$C$13:$C$26,0),"0.0#")&amp;" sector x "&amp;TEXT(_xlfn.XLOOKUP($I176,Assumptions!$B$30:$B$50,Assumptions!$C$30:$C$50,0),"0.0#")&amp;" mechanism")))</f>
        <v>Mega base x 2.0 sector x 1.0 mechanism</v>
      </c>
      <c r="U176" s="13" t="s">
        <v>230</v>
      </c>
      <c r="V176" s="13" t="s">
        <v>231</v>
      </c>
      <c r="W176" s="13" t="s">
        <v>80</v>
      </c>
      <c r="X176" s="13" t="s">
        <v>1437</v>
      </c>
    </row>
    <row r="177" spans="1:24" x14ac:dyDescent="0.2">
      <c r="A177" s="13" t="s">
        <v>685</v>
      </c>
      <c r="B177" s="13" t="s">
        <v>686</v>
      </c>
      <c r="C177" s="13" t="s">
        <v>205</v>
      </c>
      <c r="D177" s="13" t="s">
        <v>76</v>
      </c>
      <c r="E177" s="13" t="s">
        <v>76</v>
      </c>
      <c r="F177" s="13" t="s">
        <v>161</v>
      </c>
      <c r="G177" s="13" t="s">
        <v>170</v>
      </c>
      <c r="H177" s="13" t="s">
        <v>681</v>
      </c>
      <c r="I177" s="13" t="s">
        <v>1453</v>
      </c>
      <c r="J177" s="13" t="s">
        <v>682</v>
      </c>
      <c r="K177" s="19" t="s">
        <v>1815</v>
      </c>
      <c r="L177" s="17"/>
      <c r="M177" s="17"/>
      <c r="N177" s="13" t="s">
        <v>208</v>
      </c>
      <c r="O177" s="13" t="s">
        <v>209</v>
      </c>
      <c r="P177" s="16"/>
      <c r="Q177" s="16"/>
      <c r="R177" s="16"/>
      <c r="S177" s="21">
        <f>IF($C177&lt;&gt;"Organisation","",IF(OR($P177&lt;&gt;"",$Q177&lt;&gt;""),IF($P177&lt;&gt;"",IF($Q177&lt;&gt;"",($P177+$Q177)/2,$P177),$Q177),ROUND(_xlfn.XLOOKUP($N177,Assumptions!$B$5:$B$9,Assumptions!$C$5:$C$9,0)*_xlfn.XLOOKUP($G177,Assumptions!$B$13:$B$26,Assumptions!$C$13:$C$26,0)*_xlfn.XLOOKUP($I177,Assumptions!$B$30:$B$50,Assumptions!$C$30:$C$50,0),0)))</f>
        <v>120</v>
      </c>
      <c r="T177" s="16" t="str">
        <f>IF($C177&lt;&gt;"Organisation","",IF(OR($P177&lt;&gt;"",$Q177&lt;&gt;""),"Documented in source - midpoint of annual_intake_low/high",IF($I177="","No confirmed programme - modelled as zero",$N177&amp;" base x "&amp;TEXT(_xlfn.XLOOKUP($G177,Assumptions!$B$13:$B$26,Assumptions!$C$13:$C$26,0),"0.0#")&amp;" sector x "&amp;TEXT(_xlfn.XLOOKUP($I177,Assumptions!$B$30:$B$50,Assumptions!$C$30:$C$50,0),"0.0#")&amp;" mechanism")))</f>
        <v>Large base x 1.0 sector x 1.0 mechanism</v>
      </c>
      <c r="U177" s="13" t="s">
        <v>230</v>
      </c>
      <c r="V177" s="13" t="s">
        <v>231</v>
      </c>
      <c r="W177" s="13" t="s">
        <v>80</v>
      </c>
      <c r="X177" s="13" t="s">
        <v>1437</v>
      </c>
    </row>
    <row r="178" spans="1:24" x14ac:dyDescent="0.2">
      <c r="A178" s="13" t="s">
        <v>687</v>
      </c>
      <c r="B178" s="13" t="s">
        <v>688</v>
      </c>
      <c r="C178" s="13" t="s">
        <v>205</v>
      </c>
      <c r="D178" s="13" t="s">
        <v>29</v>
      </c>
      <c r="E178" s="13" t="s">
        <v>29</v>
      </c>
      <c r="F178" s="13" t="s">
        <v>107</v>
      </c>
      <c r="G178" s="13" t="s">
        <v>170</v>
      </c>
      <c r="H178" s="13" t="s">
        <v>689</v>
      </c>
      <c r="I178" s="13" t="s">
        <v>196</v>
      </c>
      <c r="J178" s="13" t="s">
        <v>690</v>
      </c>
      <c r="K178" s="19" t="s">
        <v>1815</v>
      </c>
      <c r="L178" s="17"/>
      <c r="M178" s="17"/>
      <c r="N178" s="13" t="s">
        <v>218</v>
      </c>
      <c r="O178" s="13" t="s">
        <v>209</v>
      </c>
      <c r="P178" s="16"/>
      <c r="Q178" s="16"/>
      <c r="R178" s="16"/>
      <c r="S178" s="21">
        <f>IF($C178&lt;&gt;"Organisation","",IF(OR($P178&lt;&gt;"",$Q178&lt;&gt;""),IF($P178&lt;&gt;"",IF($Q178&lt;&gt;"",($P178+$Q178)/2,$P178),$Q178),ROUND(_xlfn.XLOOKUP($N178,Assumptions!$B$5:$B$9,Assumptions!$C$5:$C$9,0)*_xlfn.XLOOKUP($G178,Assumptions!$B$13:$B$26,Assumptions!$C$13:$C$26,0)*_xlfn.XLOOKUP($I178,Assumptions!$B$30:$B$50,Assumptions!$C$30:$C$50,0),0)))</f>
        <v>1200</v>
      </c>
      <c r="T178" s="16" t="str">
        <f>IF($C178&lt;&gt;"Organisation","",IF(OR($P178&lt;&gt;"",$Q178&lt;&gt;""),"Documented in source - midpoint of annual_intake_low/high",IF($I178="","No confirmed programme - modelled as zero",$N178&amp;" base x "&amp;TEXT(_xlfn.XLOOKUP($G178,Assumptions!$B$13:$B$26,Assumptions!$C$13:$C$26,0),"0.0#")&amp;" sector x "&amp;TEXT(_xlfn.XLOOKUP($I178,Assumptions!$B$30:$B$50,Assumptions!$C$30:$C$50,0),"0.0#")&amp;" mechanism")))</f>
        <v>Mega base x 1.0 sector x 3.0 mechanism</v>
      </c>
      <c r="U178" s="13" t="s">
        <v>691</v>
      </c>
      <c r="V178" s="13" t="s">
        <v>211</v>
      </c>
      <c r="W178" s="13" t="s">
        <v>80</v>
      </c>
      <c r="X178" s="13"/>
    </row>
    <row r="179" spans="1:24" x14ac:dyDescent="0.2">
      <c r="A179" s="13" t="s">
        <v>692</v>
      </c>
      <c r="B179" s="13" t="s">
        <v>693</v>
      </c>
      <c r="C179" s="13" t="s">
        <v>205</v>
      </c>
      <c r="D179" s="13" t="s">
        <v>29</v>
      </c>
      <c r="E179" s="13" t="s">
        <v>29</v>
      </c>
      <c r="F179" s="13" t="s">
        <v>107</v>
      </c>
      <c r="G179" s="13" t="s">
        <v>170</v>
      </c>
      <c r="H179" s="13" t="s">
        <v>689</v>
      </c>
      <c r="I179" s="13" t="s">
        <v>196</v>
      </c>
      <c r="J179" s="13" t="s">
        <v>694</v>
      </c>
      <c r="K179" s="19" t="s">
        <v>1815</v>
      </c>
      <c r="L179" s="17"/>
      <c r="M179" s="17"/>
      <c r="N179" s="13" t="s">
        <v>218</v>
      </c>
      <c r="O179" s="13" t="s">
        <v>209</v>
      </c>
      <c r="P179" s="16"/>
      <c r="Q179" s="16"/>
      <c r="R179" s="16"/>
      <c r="S179" s="21">
        <f>IF($C179&lt;&gt;"Organisation","",IF(OR($P179&lt;&gt;"",$Q179&lt;&gt;""),IF($P179&lt;&gt;"",IF($Q179&lt;&gt;"",($P179+$Q179)/2,$P179),$Q179),ROUND(_xlfn.XLOOKUP($N179,Assumptions!$B$5:$B$9,Assumptions!$C$5:$C$9,0)*_xlfn.XLOOKUP($G179,Assumptions!$B$13:$B$26,Assumptions!$C$13:$C$26,0)*_xlfn.XLOOKUP($I179,Assumptions!$B$30:$B$50,Assumptions!$C$30:$C$50,0),0)))</f>
        <v>1200</v>
      </c>
      <c r="T179" s="16" t="str">
        <f>IF($C179&lt;&gt;"Organisation","",IF(OR($P179&lt;&gt;"",$Q179&lt;&gt;""),"Documented in source - midpoint of annual_intake_low/high",IF($I179="","No confirmed programme - modelled as zero",$N179&amp;" base x "&amp;TEXT(_xlfn.XLOOKUP($G179,Assumptions!$B$13:$B$26,Assumptions!$C$13:$C$26,0),"0.0#")&amp;" sector x "&amp;TEXT(_xlfn.XLOOKUP($I179,Assumptions!$B$30:$B$50,Assumptions!$C$30:$C$50,0),"0.0#")&amp;" mechanism")))</f>
        <v>Mega base x 1.0 sector x 3.0 mechanism</v>
      </c>
      <c r="U179" s="13" t="s">
        <v>222</v>
      </c>
      <c r="V179" s="13" t="s">
        <v>223</v>
      </c>
      <c r="W179" s="13" t="s">
        <v>80</v>
      </c>
      <c r="X179" s="13"/>
    </row>
    <row r="180" spans="1:24" x14ac:dyDescent="0.2">
      <c r="A180" s="13" t="s">
        <v>695</v>
      </c>
      <c r="B180" s="13" t="s">
        <v>696</v>
      </c>
      <c r="C180" s="13" t="s">
        <v>205</v>
      </c>
      <c r="D180" s="13" t="s">
        <v>29</v>
      </c>
      <c r="E180" s="13" t="s">
        <v>29</v>
      </c>
      <c r="F180" s="13" t="s">
        <v>107</v>
      </c>
      <c r="G180" s="13" t="s">
        <v>170</v>
      </c>
      <c r="H180" s="13" t="s">
        <v>689</v>
      </c>
      <c r="I180" s="13" t="s">
        <v>196</v>
      </c>
      <c r="J180" s="13" t="s">
        <v>697</v>
      </c>
      <c r="K180" s="19" t="s">
        <v>1815</v>
      </c>
      <c r="L180" s="17"/>
      <c r="M180" s="17"/>
      <c r="N180" s="13" t="s">
        <v>218</v>
      </c>
      <c r="O180" s="13" t="s">
        <v>209</v>
      </c>
      <c r="P180" s="16"/>
      <c r="Q180" s="16"/>
      <c r="R180" s="16"/>
      <c r="S180" s="21">
        <f>IF($C180&lt;&gt;"Organisation","",IF(OR($P180&lt;&gt;"",$Q180&lt;&gt;""),IF($P180&lt;&gt;"",IF($Q180&lt;&gt;"",($P180+$Q180)/2,$P180),$Q180),ROUND(_xlfn.XLOOKUP($N180,Assumptions!$B$5:$B$9,Assumptions!$C$5:$C$9,0)*_xlfn.XLOOKUP($G180,Assumptions!$B$13:$B$26,Assumptions!$C$13:$C$26,0)*_xlfn.XLOOKUP($I180,Assumptions!$B$30:$B$50,Assumptions!$C$30:$C$50,0),0)))</f>
        <v>1200</v>
      </c>
      <c r="T180" s="16" t="str">
        <f>IF($C180&lt;&gt;"Organisation","",IF(OR($P180&lt;&gt;"",$Q180&lt;&gt;""),"Documented in source - midpoint of annual_intake_low/high",IF($I180="","No confirmed programme - modelled as zero",$N180&amp;" base x "&amp;TEXT(_xlfn.XLOOKUP($G180,Assumptions!$B$13:$B$26,Assumptions!$C$13:$C$26,0),"0.0#")&amp;" sector x "&amp;TEXT(_xlfn.XLOOKUP($I180,Assumptions!$B$30:$B$50,Assumptions!$C$30:$C$50,0),"0.0#")&amp;" mechanism")))</f>
        <v>Mega base x 1.0 sector x 3.0 mechanism</v>
      </c>
      <c r="U180" s="13" t="s">
        <v>698</v>
      </c>
      <c r="V180" s="13" t="s">
        <v>223</v>
      </c>
      <c r="W180" s="13" t="s">
        <v>80</v>
      </c>
      <c r="X180" s="13"/>
    </row>
    <row r="181" spans="1:24" x14ac:dyDescent="0.2">
      <c r="A181" s="13" t="s">
        <v>699</v>
      </c>
      <c r="B181" s="13" t="s">
        <v>700</v>
      </c>
      <c r="C181" s="13" t="s">
        <v>205</v>
      </c>
      <c r="D181" s="13" t="s">
        <v>29</v>
      </c>
      <c r="E181" s="13" t="s">
        <v>29</v>
      </c>
      <c r="F181" s="13" t="s">
        <v>107</v>
      </c>
      <c r="G181" s="13" t="s">
        <v>170</v>
      </c>
      <c r="H181" s="13" t="s">
        <v>689</v>
      </c>
      <c r="I181" s="13" t="s">
        <v>196</v>
      </c>
      <c r="J181" s="13" t="s">
        <v>694</v>
      </c>
      <c r="K181" s="19" t="s">
        <v>1815</v>
      </c>
      <c r="L181" s="17"/>
      <c r="M181" s="17"/>
      <c r="N181" s="13" t="s">
        <v>218</v>
      </c>
      <c r="O181" s="13" t="s">
        <v>209</v>
      </c>
      <c r="P181" s="16"/>
      <c r="Q181" s="16"/>
      <c r="R181" s="16"/>
      <c r="S181" s="21">
        <f>IF($C181&lt;&gt;"Organisation","",IF(OR($P181&lt;&gt;"",$Q181&lt;&gt;""),IF($P181&lt;&gt;"",IF($Q181&lt;&gt;"",($P181+$Q181)/2,$P181),$Q181),ROUND(_xlfn.XLOOKUP($N181,Assumptions!$B$5:$B$9,Assumptions!$C$5:$C$9,0)*_xlfn.XLOOKUP($G181,Assumptions!$B$13:$B$26,Assumptions!$C$13:$C$26,0)*_xlfn.XLOOKUP($I181,Assumptions!$B$30:$B$50,Assumptions!$C$30:$C$50,0),0)))</f>
        <v>1200</v>
      </c>
      <c r="T181" s="16" t="str">
        <f>IF($C181&lt;&gt;"Organisation","",IF(OR($P181&lt;&gt;"",$Q181&lt;&gt;""),"Documented in source - midpoint of annual_intake_low/high",IF($I181="","No confirmed programme - modelled as zero",$N181&amp;" base x "&amp;TEXT(_xlfn.XLOOKUP($G181,Assumptions!$B$13:$B$26,Assumptions!$C$13:$C$26,0),"0.0#")&amp;" sector x "&amp;TEXT(_xlfn.XLOOKUP($I181,Assumptions!$B$30:$B$50,Assumptions!$C$30:$C$50,0),"0.0#")&amp;" mechanism")))</f>
        <v>Mega base x 1.0 sector x 3.0 mechanism</v>
      </c>
      <c r="U181" s="13" t="s">
        <v>222</v>
      </c>
      <c r="V181" s="13" t="s">
        <v>223</v>
      </c>
      <c r="W181" s="13" t="s">
        <v>80</v>
      </c>
      <c r="X181" s="13"/>
    </row>
    <row r="182" spans="1:24" x14ac:dyDescent="0.2">
      <c r="A182" s="13" t="s">
        <v>701</v>
      </c>
      <c r="B182" s="13" t="s">
        <v>702</v>
      </c>
      <c r="C182" s="13" t="s">
        <v>205</v>
      </c>
      <c r="D182" s="13" t="s">
        <v>29</v>
      </c>
      <c r="E182" s="13" t="s">
        <v>29</v>
      </c>
      <c r="F182" s="13" t="s">
        <v>107</v>
      </c>
      <c r="G182" s="13" t="s">
        <v>184</v>
      </c>
      <c r="H182" s="13" t="s">
        <v>703</v>
      </c>
      <c r="I182" s="13" t="s">
        <v>196</v>
      </c>
      <c r="K182" s="19" t="s">
        <v>1815</v>
      </c>
      <c r="L182" s="17"/>
      <c r="M182" s="17"/>
      <c r="N182" s="13" t="s">
        <v>208</v>
      </c>
      <c r="O182" s="13" t="s">
        <v>209</v>
      </c>
      <c r="P182" s="16"/>
      <c r="Q182" s="16"/>
      <c r="R182" s="16"/>
      <c r="S182" s="21">
        <f>IF($C182&lt;&gt;"Organisation","",IF(OR($P182&lt;&gt;"",$Q182&lt;&gt;""),IF($P182&lt;&gt;"",IF($Q182&lt;&gt;"",($P182+$Q182)/2,$P182),$Q182),ROUND(_xlfn.XLOOKUP($N182,Assumptions!$B$5:$B$9,Assumptions!$C$5:$C$9,0)*_xlfn.XLOOKUP($G182,Assumptions!$B$13:$B$26,Assumptions!$C$13:$C$26,0)*_xlfn.XLOOKUP($I182,Assumptions!$B$30:$B$50,Assumptions!$C$30:$C$50,0),0)))</f>
        <v>144</v>
      </c>
      <c r="T182" s="16" t="str">
        <f>IF($C182&lt;&gt;"Organisation","",IF(OR($P182&lt;&gt;"",$Q182&lt;&gt;""),"Documented in source - midpoint of annual_intake_low/high",IF($I182="","No confirmed programme - modelled as zero",$N182&amp;" base x "&amp;TEXT(_xlfn.XLOOKUP($G182,Assumptions!$B$13:$B$26,Assumptions!$C$13:$C$26,0),"0.0#")&amp;" sector x "&amp;TEXT(_xlfn.XLOOKUP($I182,Assumptions!$B$30:$B$50,Assumptions!$C$30:$C$50,0),"0.0#")&amp;" mechanism")))</f>
        <v>Large base x 0.4 sector x 3.0 mechanism</v>
      </c>
      <c r="U182" s="13" t="s">
        <v>230</v>
      </c>
      <c r="V182" s="13" t="s">
        <v>231</v>
      </c>
      <c r="W182" s="13" t="s">
        <v>80</v>
      </c>
      <c r="X182" s="13"/>
    </row>
    <row r="183" spans="1:24" x14ac:dyDescent="0.2">
      <c r="A183" s="13" t="s">
        <v>704</v>
      </c>
      <c r="B183" s="13" t="s">
        <v>705</v>
      </c>
      <c r="C183" s="13" t="s">
        <v>205</v>
      </c>
      <c r="D183" s="13" t="s">
        <v>29</v>
      </c>
      <c r="E183" s="13" t="s">
        <v>29</v>
      </c>
      <c r="F183" s="13" t="s">
        <v>107</v>
      </c>
      <c r="G183" s="13" t="s">
        <v>184</v>
      </c>
      <c r="H183" s="13" t="s">
        <v>703</v>
      </c>
      <c r="I183" s="13" t="s">
        <v>196</v>
      </c>
      <c r="K183" s="19" t="s">
        <v>1815</v>
      </c>
      <c r="L183" s="17"/>
      <c r="M183" s="17"/>
      <c r="N183" s="13" t="s">
        <v>208</v>
      </c>
      <c r="O183" s="13" t="s">
        <v>209</v>
      </c>
      <c r="P183" s="16"/>
      <c r="Q183" s="16"/>
      <c r="R183" s="16"/>
      <c r="S183" s="21">
        <f>IF($C183&lt;&gt;"Organisation","",IF(OR($P183&lt;&gt;"",$Q183&lt;&gt;""),IF($P183&lt;&gt;"",IF($Q183&lt;&gt;"",($P183+$Q183)/2,$P183),$Q183),ROUND(_xlfn.XLOOKUP($N183,Assumptions!$B$5:$B$9,Assumptions!$C$5:$C$9,0)*_xlfn.XLOOKUP($G183,Assumptions!$B$13:$B$26,Assumptions!$C$13:$C$26,0)*_xlfn.XLOOKUP($I183,Assumptions!$B$30:$B$50,Assumptions!$C$30:$C$50,0),0)))</f>
        <v>144</v>
      </c>
      <c r="T183" s="16" t="str">
        <f>IF($C183&lt;&gt;"Organisation","",IF(OR($P183&lt;&gt;"",$Q183&lt;&gt;""),"Documented in source - midpoint of annual_intake_low/high",IF($I183="","No confirmed programme - modelled as zero",$N183&amp;" base x "&amp;TEXT(_xlfn.XLOOKUP($G183,Assumptions!$B$13:$B$26,Assumptions!$C$13:$C$26,0),"0.0#")&amp;" sector x "&amp;TEXT(_xlfn.XLOOKUP($I183,Assumptions!$B$30:$B$50,Assumptions!$C$30:$C$50,0),"0.0#")&amp;" mechanism")))</f>
        <v>Large base x 0.4 sector x 3.0 mechanism</v>
      </c>
      <c r="U183" s="13" t="s">
        <v>230</v>
      </c>
      <c r="V183" s="13" t="s">
        <v>231</v>
      </c>
      <c r="W183" s="13" t="s">
        <v>80</v>
      </c>
      <c r="X183" s="13"/>
    </row>
    <row r="184" spans="1:24" x14ac:dyDescent="0.2">
      <c r="A184" s="13" t="s">
        <v>706</v>
      </c>
      <c r="B184" s="13" t="s">
        <v>707</v>
      </c>
      <c r="C184" s="13" t="s">
        <v>205</v>
      </c>
      <c r="D184" s="13" t="s">
        <v>29</v>
      </c>
      <c r="E184" s="13" t="s">
        <v>29</v>
      </c>
      <c r="F184" s="13" t="s">
        <v>107</v>
      </c>
      <c r="G184" s="13" t="s">
        <v>184</v>
      </c>
      <c r="H184" s="13" t="s">
        <v>703</v>
      </c>
      <c r="I184" s="13" t="s">
        <v>196</v>
      </c>
      <c r="K184" s="19" t="s">
        <v>1815</v>
      </c>
      <c r="L184" s="17"/>
      <c r="M184" s="17"/>
      <c r="N184" s="13" t="s">
        <v>208</v>
      </c>
      <c r="O184" s="13" t="s">
        <v>209</v>
      </c>
      <c r="P184" s="16"/>
      <c r="Q184" s="16"/>
      <c r="R184" s="16"/>
      <c r="S184" s="21">
        <f>IF($C184&lt;&gt;"Organisation","",IF(OR($P184&lt;&gt;"",$Q184&lt;&gt;""),IF($P184&lt;&gt;"",IF($Q184&lt;&gt;"",($P184+$Q184)/2,$P184),$Q184),ROUND(_xlfn.XLOOKUP($N184,Assumptions!$B$5:$B$9,Assumptions!$C$5:$C$9,0)*_xlfn.XLOOKUP($G184,Assumptions!$B$13:$B$26,Assumptions!$C$13:$C$26,0)*_xlfn.XLOOKUP($I184,Assumptions!$B$30:$B$50,Assumptions!$C$30:$C$50,0),0)))</f>
        <v>144</v>
      </c>
      <c r="T184" s="16" t="str">
        <f>IF($C184&lt;&gt;"Organisation","",IF(OR($P184&lt;&gt;"",$Q184&lt;&gt;""),"Documented in source - midpoint of annual_intake_low/high",IF($I184="","No confirmed programme - modelled as zero",$N184&amp;" base x "&amp;TEXT(_xlfn.XLOOKUP($G184,Assumptions!$B$13:$B$26,Assumptions!$C$13:$C$26,0),"0.0#")&amp;" sector x "&amp;TEXT(_xlfn.XLOOKUP($I184,Assumptions!$B$30:$B$50,Assumptions!$C$30:$C$50,0),"0.0#")&amp;" mechanism")))</f>
        <v>Large base x 0.4 sector x 3.0 mechanism</v>
      </c>
      <c r="U184" s="13" t="s">
        <v>230</v>
      </c>
      <c r="V184" s="13" t="s">
        <v>231</v>
      </c>
      <c r="W184" s="13" t="s">
        <v>80</v>
      </c>
      <c r="X184" s="13"/>
    </row>
    <row r="185" spans="1:24" x14ac:dyDescent="0.2">
      <c r="A185" s="13" t="s">
        <v>708</v>
      </c>
      <c r="B185" s="13" t="s">
        <v>709</v>
      </c>
      <c r="C185" s="13" t="s">
        <v>205</v>
      </c>
      <c r="D185" s="13" t="s">
        <v>29</v>
      </c>
      <c r="E185" s="13" t="s">
        <v>29</v>
      </c>
      <c r="F185" s="13" t="s">
        <v>111</v>
      </c>
      <c r="G185" s="13" t="s">
        <v>170</v>
      </c>
      <c r="H185" s="13" t="s">
        <v>710</v>
      </c>
      <c r="I185" s="13" t="s">
        <v>196</v>
      </c>
      <c r="J185" s="13" t="s">
        <v>694</v>
      </c>
      <c r="K185" s="19" t="s">
        <v>1815</v>
      </c>
      <c r="L185" s="17"/>
      <c r="M185" s="17"/>
      <c r="N185" s="13" t="s">
        <v>218</v>
      </c>
      <c r="O185" s="13" t="s">
        <v>209</v>
      </c>
      <c r="P185" s="16"/>
      <c r="Q185" s="16"/>
      <c r="R185" s="16"/>
      <c r="S185" s="21">
        <f>IF($C185&lt;&gt;"Organisation","",IF(OR($P185&lt;&gt;"",$Q185&lt;&gt;""),IF($P185&lt;&gt;"",IF($Q185&lt;&gt;"",($P185+$Q185)/2,$P185),$Q185),ROUND(_xlfn.XLOOKUP($N185,Assumptions!$B$5:$B$9,Assumptions!$C$5:$C$9,0)*_xlfn.XLOOKUP($G185,Assumptions!$B$13:$B$26,Assumptions!$C$13:$C$26,0)*_xlfn.XLOOKUP($I185,Assumptions!$B$30:$B$50,Assumptions!$C$30:$C$50,0),0)))</f>
        <v>1200</v>
      </c>
      <c r="T185" s="16" t="str">
        <f>IF($C185&lt;&gt;"Organisation","",IF(OR($P185&lt;&gt;"",$Q185&lt;&gt;""),"Documented in source - midpoint of annual_intake_low/high",IF($I185="","No confirmed programme - modelled as zero",$N185&amp;" base x "&amp;TEXT(_xlfn.XLOOKUP($G185,Assumptions!$B$13:$B$26,Assumptions!$C$13:$C$26,0),"0.0#")&amp;" sector x "&amp;TEXT(_xlfn.XLOOKUP($I185,Assumptions!$B$30:$B$50,Assumptions!$C$30:$C$50,0),"0.0#")&amp;" mechanism")))</f>
        <v>Mega base x 1.0 sector x 3.0 mechanism</v>
      </c>
      <c r="U185" s="13" t="s">
        <v>698</v>
      </c>
      <c r="V185" s="13" t="s">
        <v>223</v>
      </c>
      <c r="W185" s="13" t="s">
        <v>80</v>
      </c>
      <c r="X185" s="13"/>
    </row>
    <row r="186" spans="1:24" x14ac:dyDescent="0.2">
      <c r="A186" s="13" t="s">
        <v>711</v>
      </c>
      <c r="B186" s="13" t="s">
        <v>712</v>
      </c>
      <c r="C186" s="13" t="s">
        <v>205</v>
      </c>
      <c r="D186" s="13" t="s">
        <v>29</v>
      </c>
      <c r="E186" s="13" t="s">
        <v>29</v>
      </c>
      <c r="F186" s="13" t="s">
        <v>107</v>
      </c>
      <c r="G186" s="13" t="s">
        <v>170</v>
      </c>
      <c r="H186" s="13" t="s">
        <v>710</v>
      </c>
      <c r="I186" s="13" t="s">
        <v>196</v>
      </c>
      <c r="J186" s="13" t="s">
        <v>694</v>
      </c>
      <c r="K186" s="19" t="s">
        <v>1815</v>
      </c>
      <c r="L186" s="17"/>
      <c r="M186" s="17"/>
      <c r="N186" s="13" t="s">
        <v>208</v>
      </c>
      <c r="O186" s="13" t="s">
        <v>209</v>
      </c>
      <c r="P186" s="16"/>
      <c r="Q186" s="16"/>
      <c r="R186" s="16"/>
      <c r="S186" s="21">
        <f>IF($C186&lt;&gt;"Organisation","",IF(OR($P186&lt;&gt;"",$Q186&lt;&gt;""),IF($P186&lt;&gt;"",IF($Q186&lt;&gt;"",($P186+$Q186)/2,$P186),$Q186),ROUND(_xlfn.XLOOKUP($N186,Assumptions!$B$5:$B$9,Assumptions!$C$5:$C$9,0)*_xlfn.XLOOKUP($G186,Assumptions!$B$13:$B$26,Assumptions!$C$13:$C$26,0)*_xlfn.XLOOKUP($I186,Assumptions!$B$30:$B$50,Assumptions!$C$30:$C$50,0),0)))</f>
        <v>360</v>
      </c>
      <c r="T186" s="16" t="str">
        <f>IF($C186&lt;&gt;"Organisation","",IF(OR($P186&lt;&gt;"",$Q186&lt;&gt;""),"Documented in source - midpoint of annual_intake_low/high",IF($I186="","No confirmed programme - modelled as zero",$N186&amp;" base x "&amp;TEXT(_xlfn.XLOOKUP($G186,Assumptions!$B$13:$B$26,Assumptions!$C$13:$C$26,0),"0.0#")&amp;" sector x "&amp;TEXT(_xlfn.XLOOKUP($I186,Assumptions!$B$30:$B$50,Assumptions!$C$30:$C$50,0),"0.0#")&amp;" mechanism")))</f>
        <v>Large base x 1.0 sector x 3.0 mechanism</v>
      </c>
      <c r="U186" s="13" t="s">
        <v>230</v>
      </c>
      <c r="V186" s="13" t="s">
        <v>231</v>
      </c>
      <c r="W186" s="13" t="s">
        <v>80</v>
      </c>
      <c r="X186" s="13"/>
    </row>
    <row r="187" spans="1:24" x14ac:dyDescent="0.2">
      <c r="A187" s="13" t="s">
        <v>713</v>
      </c>
      <c r="B187" s="13" t="s">
        <v>714</v>
      </c>
      <c r="C187" s="13" t="s">
        <v>205</v>
      </c>
      <c r="D187" s="13" t="s">
        <v>29</v>
      </c>
      <c r="E187" s="13" t="s">
        <v>29</v>
      </c>
      <c r="F187" s="13" t="s">
        <v>111</v>
      </c>
      <c r="G187" s="13" t="s">
        <v>170</v>
      </c>
      <c r="H187" s="13" t="s">
        <v>710</v>
      </c>
      <c r="I187" s="13" t="s">
        <v>196</v>
      </c>
      <c r="J187" s="13" t="s">
        <v>694</v>
      </c>
      <c r="K187" s="19" t="s">
        <v>1815</v>
      </c>
      <c r="L187" s="17"/>
      <c r="M187" s="17"/>
      <c r="N187" s="13" t="s">
        <v>208</v>
      </c>
      <c r="O187" s="13" t="s">
        <v>209</v>
      </c>
      <c r="P187" s="16"/>
      <c r="Q187" s="16"/>
      <c r="R187" s="16"/>
      <c r="S187" s="21">
        <f>IF($C187&lt;&gt;"Organisation","",IF(OR($P187&lt;&gt;"",$Q187&lt;&gt;""),IF($P187&lt;&gt;"",IF($Q187&lt;&gt;"",($P187+$Q187)/2,$P187),$Q187),ROUND(_xlfn.XLOOKUP($N187,Assumptions!$B$5:$B$9,Assumptions!$C$5:$C$9,0)*_xlfn.XLOOKUP($G187,Assumptions!$B$13:$B$26,Assumptions!$C$13:$C$26,0)*_xlfn.XLOOKUP($I187,Assumptions!$B$30:$B$50,Assumptions!$C$30:$C$50,0),0)))</f>
        <v>360</v>
      </c>
      <c r="T187" s="16" t="str">
        <f>IF($C187&lt;&gt;"Organisation","",IF(OR($P187&lt;&gt;"",$Q187&lt;&gt;""),"Documented in source - midpoint of annual_intake_low/high",IF($I187="","No confirmed programme - modelled as zero",$N187&amp;" base x "&amp;TEXT(_xlfn.XLOOKUP($G187,Assumptions!$B$13:$B$26,Assumptions!$C$13:$C$26,0),"0.0#")&amp;" sector x "&amp;TEXT(_xlfn.XLOOKUP($I187,Assumptions!$B$30:$B$50,Assumptions!$C$30:$C$50,0),"0.0#")&amp;" mechanism")))</f>
        <v>Large base x 1.0 sector x 3.0 mechanism</v>
      </c>
      <c r="U187" s="13" t="s">
        <v>230</v>
      </c>
      <c r="V187" s="13" t="s">
        <v>231</v>
      </c>
      <c r="W187" s="13" t="s">
        <v>80</v>
      </c>
      <c r="X187" s="13"/>
    </row>
    <row r="188" spans="1:24" x14ac:dyDescent="0.2">
      <c r="A188" s="13" t="s">
        <v>715</v>
      </c>
      <c r="B188" s="13" t="s">
        <v>716</v>
      </c>
      <c r="C188" s="13" t="s">
        <v>205</v>
      </c>
      <c r="D188" s="13" t="s">
        <v>29</v>
      </c>
      <c r="E188" s="13" t="s">
        <v>29</v>
      </c>
      <c r="F188" s="13" t="s">
        <v>109</v>
      </c>
      <c r="G188" s="13" t="s">
        <v>170</v>
      </c>
      <c r="H188" s="13" t="s">
        <v>710</v>
      </c>
      <c r="I188" s="13" t="s">
        <v>196</v>
      </c>
      <c r="J188" s="13" t="s">
        <v>694</v>
      </c>
      <c r="K188" s="19" t="s">
        <v>1815</v>
      </c>
      <c r="L188" s="17"/>
      <c r="M188" s="17"/>
      <c r="N188" s="13" t="s">
        <v>208</v>
      </c>
      <c r="O188" s="13" t="s">
        <v>209</v>
      </c>
      <c r="P188" s="16"/>
      <c r="Q188" s="16"/>
      <c r="R188" s="16"/>
      <c r="S188" s="21">
        <f>IF($C188&lt;&gt;"Organisation","",IF(OR($P188&lt;&gt;"",$Q188&lt;&gt;""),IF($P188&lt;&gt;"",IF($Q188&lt;&gt;"",($P188+$Q188)/2,$P188),$Q188),ROUND(_xlfn.XLOOKUP($N188,Assumptions!$B$5:$B$9,Assumptions!$C$5:$C$9,0)*_xlfn.XLOOKUP($G188,Assumptions!$B$13:$B$26,Assumptions!$C$13:$C$26,0)*_xlfn.XLOOKUP($I188,Assumptions!$B$30:$B$50,Assumptions!$C$30:$C$50,0),0)))</f>
        <v>360</v>
      </c>
      <c r="T188" s="16" t="str">
        <f>IF($C188&lt;&gt;"Organisation","",IF(OR($P188&lt;&gt;"",$Q188&lt;&gt;""),"Documented in source - midpoint of annual_intake_low/high",IF($I188="","No confirmed programme - modelled as zero",$N188&amp;" base x "&amp;TEXT(_xlfn.XLOOKUP($G188,Assumptions!$B$13:$B$26,Assumptions!$C$13:$C$26,0),"0.0#")&amp;" sector x "&amp;TEXT(_xlfn.XLOOKUP($I188,Assumptions!$B$30:$B$50,Assumptions!$C$30:$C$50,0),"0.0#")&amp;" mechanism")))</f>
        <v>Large base x 1.0 sector x 3.0 mechanism</v>
      </c>
      <c r="U188" s="13" t="s">
        <v>230</v>
      </c>
      <c r="V188" s="13" t="s">
        <v>231</v>
      </c>
      <c r="W188" s="13" t="s">
        <v>80</v>
      </c>
      <c r="X188" s="13"/>
    </row>
    <row r="189" spans="1:24" x14ac:dyDescent="0.2">
      <c r="A189" s="13" t="s">
        <v>717</v>
      </c>
      <c r="B189" s="13" t="s">
        <v>718</v>
      </c>
      <c r="C189" s="13" t="s">
        <v>205</v>
      </c>
      <c r="D189" s="13" t="s">
        <v>29</v>
      </c>
      <c r="E189" s="13" t="s">
        <v>29</v>
      </c>
      <c r="F189" s="13" t="s">
        <v>107</v>
      </c>
      <c r="G189" s="13" t="s">
        <v>170</v>
      </c>
      <c r="H189" s="13" t="s">
        <v>710</v>
      </c>
      <c r="I189" s="13" t="s">
        <v>196</v>
      </c>
      <c r="J189" s="13" t="s">
        <v>694</v>
      </c>
      <c r="K189" s="19" t="s">
        <v>1815</v>
      </c>
      <c r="L189" s="17"/>
      <c r="M189" s="17"/>
      <c r="N189" s="13" t="s">
        <v>208</v>
      </c>
      <c r="O189" s="13" t="s">
        <v>209</v>
      </c>
      <c r="P189" s="16"/>
      <c r="Q189" s="16"/>
      <c r="R189" s="16"/>
      <c r="S189" s="21">
        <f>IF($C189&lt;&gt;"Organisation","",IF(OR($P189&lt;&gt;"",$Q189&lt;&gt;""),IF($P189&lt;&gt;"",IF($Q189&lt;&gt;"",($P189+$Q189)/2,$P189),$Q189),ROUND(_xlfn.XLOOKUP($N189,Assumptions!$B$5:$B$9,Assumptions!$C$5:$C$9,0)*_xlfn.XLOOKUP($G189,Assumptions!$B$13:$B$26,Assumptions!$C$13:$C$26,0)*_xlfn.XLOOKUP($I189,Assumptions!$B$30:$B$50,Assumptions!$C$30:$C$50,0),0)))</f>
        <v>360</v>
      </c>
      <c r="T189" s="16" t="str">
        <f>IF($C189&lt;&gt;"Organisation","",IF(OR($P189&lt;&gt;"",$Q189&lt;&gt;""),"Documented in source - midpoint of annual_intake_low/high",IF($I189="","No confirmed programme - modelled as zero",$N189&amp;" base x "&amp;TEXT(_xlfn.XLOOKUP($G189,Assumptions!$B$13:$B$26,Assumptions!$C$13:$C$26,0),"0.0#")&amp;" sector x "&amp;TEXT(_xlfn.XLOOKUP($I189,Assumptions!$B$30:$B$50,Assumptions!$C$30:$C$50,0),"0.0#")&amp;" mechanism")))</f>
        <v>Large base x 1.0 sector x 3.0 mechanism</v>
      </c>
      <c r="U189" s="13" t="s">
        <v>230</v>
      </c>
      <c r="V189" s="13" t="s">
        <v>231</v>
      </c>
      <c r="W189" s="13" t="s">
        <v>80</v>
      </c>
      <c r="X189" s="13"/>
    </row>
    <row r="190" spans="1:24" x14ac:dyDescent="0.2">
      <c r="A190" s="13" t="s">
        <v>719</v>
      </c>
      <c r="B190" s="13" t="s">
        <v>720</v>
      </c>
      <c r="C190" s="13" t="s">
        <v>205</v>
      </c>
      <c r="D190" s="13" t="s">
        <v>29</v>
      </c>
      <c r="E190" s="13" t="s">
        <v>29</v>
      </c>
      <c r="F190" s="13" t="s">
        <v>107</v>
      </c>
      <c r="G190" s="13" t="s">
        <v>170</v>
      </c>
      <c r="H190" s="13" t="s">
        <v>710</v>
      </c>
      <c r="I190" s="13" t="s">
        <v>196</v>
      </c>
      <c r="J190" s="13" t="s">
        <v>694</v>
      </c>
      <c r="K190" s="19" t="s">
        <v>1815</v>
      </c>
      <c r="L190" s="17"/>
      <c r="M190" s="17"/>
      <c r="N190" s="13" t="s">
        <v>208</v>
      </c>
      <c r="O190" s="13" t="s">
        <v>209</v>
      </c>
      <c r="P190" s="16"/>
      <c r="Q190" s="16"/>
      <c r="R190" s="16"/>
      <c r="S190" s="21">
        <f>IF($C190&lt;&gt;"Organisation","",IF(OR($P190&lt;&gt;"",$Q190&lt;&gt;""),IF($P190&lt;&gt;"",IF($Q190&lt;&gt;"",($P190+$Q190)/2,$P190),$Q190),ROUND(_xlfn.XLOOKUP($N190,Assumptions!$B$5:$B$9,Assumptions!$C$5:$C$9,0)*_xlfn.XLOOKUP($G190,Assumptions!$B$13:$B$26,Assumptions!$C$13:$C$26,0)*_xlfn.XLOOKUP($I190,Assumptions!$B$30:$B$50,Assumptions!$C$30:$C$50,0),0)))</f>
        <v>360</v>
      </c>
      <c r="T190" s="16" t="str">
        <f>IF($C190&lt;&gt;"Organisation","",IF(OR($P190&lt;&gt;"",$Q190&lt;&gt;""),"Documented in source - midpoint of annual_intake_low/high",IF($I190="","No confirmed programme - modelled as zero",$N190&amp;" base x "&amp;TEXT(_xlfn.XLOOKUP($G190,Assumptions!$B$13:$B$26,Assumptions!$C$13:$C$26,0),"0.0#")&amp;" sector x "&amp;TEXT(_xlfn.XLOOKUP($I190,Assumptions!$B$30:$B$50,Assumptions!$C$30:$C$50,0),"0.0#")&amp;" mechanism")))</f>
        <v>Large base x 1.0 sector x 3.0 mechanism</v>
      </c>
      <c r="U190" s="13" t="s">
        <v>230</v>
      </c>
      <c r="V190" s="13" t="s">
        <v>231</v>
      </c>
      <c r="W190" s="13" t="s">
        <v>80</v>
      </c>
      <c r="X190" s="13"/>
    </row>
    <row r="191" spans="1:24" x14ac:dyDescent="0.2">
      <c r="A191" s="13" t="s">
        <v>721</v>
      </c>
      <c r="B191" s="13" t="s">
        <v>722</v>
      </c>
      <c r="C191" s="13" t="s">
        <v>205</v>
      </c>
      <c r="D191" s="13" t="s">
        <v>29</v>
      </c>
      <c r="E191" s="13" t="s">
        <v>29</v>
      </c>
      <c r="F191" s="13" t="s">
        <v>115</v>
      </c>
      <c r="G191" s="13" t="s">
        <v>170</v>
      </c>
      <c r="H191" s="13" t="s">
        <v>710</v>
      </c>
      <c r="I191" s="13" t="s">
        <v>196</v>
      </c>
      <c r="J191" s="13" t="s">
        <v>694</v>
      </c>
      <c r="K191" s="19" t="s">
        <v>1815</v>
      </c>
      <c r="L191" s="17"/>
      <c r="M191" s="17"/>
      <c r="N191" s="13" t="s">
        <v>208</v>
      </c>
      <c r="O191" s="13" t="s">
        <v>209</v>
      </c>
      <c r="P191" s="16"/>
      <c r="Q191" s="16"/>
      <c r="R191" s="16"/>
      <c r="S191" s="21">
        <f>IF($C191&lt;&gt;"Organisation","",IF(OR($P191&lt;&gt;"",$Q191&lt;&gt;""),IF($P191&lt;&gt;"",IF($Q191&lt;&gt;"",($P191+$Q191)/2,$P191),$Q191),ROUND(_xlfn.XLOOKUP($N191,Assumptions!$B$5:$B$9,Assumptions!$C$5:$C$9,0)*_xlfn.XLOOKUP($G191,Assumptions!$B$13:$B$26,Assumptions!$C$13:$C$26,0)*_xlfn.XLOOKUP($I191,Assumptions!$B$30:$B$50,Assumptions!$C$30:$C$50,0),0)))</f>
        <v>360</v>
      </c>
      <c r="T191" s="16" t="str">
        <f>IF($C191&lt;&gt;"Organisation","",IF(OR($P191&lt;&gt;"",$Q191&lt;&gt;""),"Documented in source - midpoint of annual_intake_low/high",IF($I191="","No confirmed programme - modelled as zero",$N191&amp;" base x "&amp;TEXT(_xlfn.XLOOKUP($G191,Assumptions!$B$13:$B$26,Assumptions!$C$13:$C$26,0),"0.0#")&amp;" sector x "&amp;TEXT(_xlfn.XLOOKUP($I191,Assumptions!$B$30:$B$50,Assumptions!$C$30:$C$50,0),"0.0#")&amp;" mechanism")))</f>
        <v>Large base x 1.0 sector x 3.0 mechanism</v>
      </c>
      <c r="U191" s="13" t="s">
        <v>230</v>
      </c>
      <c r="V191" s="13" t="s">
        <v>231</v>
      </c>
      <c r="W191" s="13" t="s">
        <v>80</v>
      </c>
      <c r="X191" s="13"/>
    </row>
    <row r="192" spans="1:24" x14ac:dyDescent="0.2">
      <c r="A192" s="13" t="s">
        <v>723</v>
      </c>
      <c r="B192" s="13" t="s">
        <v>724</v>
      </c>
      <c r="C192" s="13" t="s">
        <v>205</v>
      </c>
      <c r="D192" s="13" t="s">
        <v>29</v>
      </c>
      <c r="E192" s="13" t="s">
        <v>29</v>
      </c>
      <c r="F192" s="13" t="s">
        <v>107</v>
      </c>
      <c r="G192" s="13" t="s">
        <v>188</v>
      </c>
      <c r="H192" s="13" t="s">
        <v>725</v>
      </c>
      <c r="I192" s="13" t="s">
        <v>196</v>
      </c>
      <c r="J192" s="13" t="s">
        <v>726</v>
      </c>
      <c r="K192" s="19" t="s">
        <v>1815</v>
      </c>
      <c r="L192" s="17"/>
      <c r="M192" s="17"/>
      <c r="N192" s="13" t="s">
        <v>208</v>
      </c>
      <c r="O192" s="13" t="s">
        <v>209</v>
      </c>
      <c r="P192" s="16"/>
      <c r="Q192" s="16"/>
      <c r="R192" s="16"/>
      <c r="S192" s="21">
        <f>IF($C192&lt;&gt;"Organisation","",IF(OR($P192&lt;&gt;"",$Q192&lt;&gt;""),IF($P192&lt;&gt;"",IF($Q192&lt;&gt;"",($P192+$Q192)/2,$P192),$Q192),ROUND(_xlfn.XLOOKUP($N192,Assumptions!$B$5:$B$9,Assumptions!$C$5:$C$9,0)*_xlfn.XLOOKUP($G192,Assumptions!$B$13:$B$26,Assumptions!$C$13:$C$26,0)*_xlfn.XLOOKUP($I192,Assumptions!$B$30:$B$50,Assumptions!$C$30:$C$50,0),0)))</f>
        <v>360</v>
      </c>
      <c r="T192" s="16" t="str">
        <f>IF($C192&lt;&gt;"Organisation","",IF(OR($P192&lt;&gt;"",$Q192&lt;&gt;""),"Documented in source - midpoint of annual_intake_low/high",IF($I192="","No confirmed programme - modelled as zero",$N192&amp;" base x "&amp;TEXT(_xlfn.XLOOKUP($G192,Assumptions!$B$13:$B$26,Assumptions!$C$13:$C$26,0),"0.0#")&amp;" sector x "&amp;TEXT(_xlfn.XLOOKUP($I192,Assumptions!$B$30:$B$50,Assumptions!$C$30:$C$50,0),"0.0#")&amp;" mechanism")))</f>
        <v>Large base x 1.0 sector x 3.0 mechanism</v>
      </c>
      <c r="U192" s="13" t="s">
        <v>691</v>
      </c>
      <c r="V192" s="13" t="s">
        <v>211</v>
      </c>
      <c r="W192" s="13" t="s">
        <v>80</v>
      </c>
      <c r="X192" s="13"/>
    </row>
    <row r="193" spans="1:24" x14ac:dyDescent="0.2">
      <c r="A193" s="13" t="s">
        <v>727</v>
      </c>
      <c r="B193" s="13" t="s">
        <v>728</v>
      </c>
      <c r="C193" s="13" t="s">
        <v>205</v>
      </c>
      <c r="D193" s="13" t="s">
        <v>29</v>
      </c>
      <c r="E193" s="13" t="s">
        <v>29</v>
      </c>
      <c r="F193" s="13" t="s">
        <v>107</v>
      </c>
      <c r="G193" s="13" t="s">
        <v>188</v>
      </c>
      <c r="H193" s="13" t="s">
        <v>725</v>
      </c>
      <c r="I193" s="13" t="s">
        <v>196</v>
      </c>
      <c r="J193" s="13" t="s">
        <v>729</v>
      </c>
      <c r="K193" s="19" t="s">
        <v>1815</v>
      </c>
      <c r="L193" s="17"/>
      <c r="M193" s="17"/>
      <c r="N193" s="13" t="s">
        <v>208</v>
      </c>
      <c r="O193" s="13" t="s">
        <v>209</v>
      </c>
      <c r="P193" s="16"/>
      <c r="Q193" s="16"/>
      <c r="R193" s="16"/>
      <c r="S193" s="21">
        <f>IF($C193&lt;&gt;"Organisation","",IF(OR($P193&lt;&gt;"",$Q193&lt;&gt;""),IF($P193&lt;&gt;"",IF($Q193&lt;&gt;"",($P193+$Q193)/2,$P193),$Q193),ROUND(_xlfn.XLOOKUP($N193,Assumptions!$B$5:$B$9,Assumptions!$C$5:$C$9,0)*_xlfn.XLOOKUP($G193,Assumptions!$B$13:$B$26,Assumptions!$C$13:$C$26,0)*_xlfn.XLOOKUP($I193,Assumptions!$B$30:$B$50,Assumptions!$C$30:$C$50,0),0)))</f>
        <v>360</v>
      </c>
      <c r="T193" s="16" t="str">
        <f>IF($C193&lt;&gt;"Organisation","",IF(OR($P193&lt;&gt;"",$Q193&lt;&gt;""),"Documented in source - midpoint of annual_intake_low/high",IF($I193="","No confirmed programme - modelled as zero",$N193&amp;" base x "&amp;TEXT(_xlfn.XLOOKUP($G193,Assumptions!$B$13:$B$26,Assumptions!$C$13:$C$26,0),"0.0#")&amp;" sector x "&amp;TEXT(_xlfn.XLOOKUP($I193,Assumptions!$B$30:$B$50,Assumptions!$C$30:$C$50,0),"0.0#")&amp;" mechanism")))</f>
        <v>Large base x 1.0 sector x 3.0 mechanism</v>
      </c>
      <c r="U193" s="13" t="s">
        <v>210</v>
      </c>
      <c r="V193" s="13" t="s">
        <v>211</v>
      </c>
      <c r="W193" s="13" t="s">
        <v>80</v>
      </c>
      <c r="X193" s="13"/>
    </row>
    <row r="194" spans="1:24" x14ac:dyDescent="0.2">
      <c r="A194" s="13" t="s">
        <v>730</v>
      </c>
      <c r="B194" s="13" t="s">
        <v>731</v>
      </c>
      <c r="C194" s="13" t="s">
        <v>205</v>
      </c>
      <c r="D194" s="13" t="s">
        <v>29</v>
      </c>
      <c r="E194" s="13" t="s">
        <v>29</v>
      </c>
      <c r="F194" s="13" t="s">
        <v>109</v>
      </c>
      <c r="G194" s="13" t="s">
        <v>188</v>
      </c>
      <c r="H194" s="13" t="s">
        <v>725</v>
      </c>
      <c r="I194" s="13" t="s">
        <v>196</v>
      </c>
      <c r="J194" s="13" t="s">
        <v>694</v>
      </c>
      <c r="K194" s="19" t="s">
        <v>1815</v>
      </c>
      <c r="L194" s="17"/>
      <c r="M194" s="17"/>
      <c r="N194" s="13" t="s">
        <v>208</v>
      </c>
      <c r="O194" s="13" t="s">
        <v>209</v>
      </c>
      <c r="P194" s="16"/>
      <c r="Q194" s="16"/>
      <c r="R194" s="16"/>
      <c r="S194" s="21">
        <f>IF($C194&lt;&gt;"Organisation","",IF(OR($P194&lt;&gt;"",$Q194&lt;&gt;""),IF($P194&lt;&gt;"",IF($Q194&lt;&gt;"",($P194+$Q194)/2,$P194),$Q194),ROUND(_xlfn.XLOOKUP($N194,Assumptions!$B$5:$B$9,Assumptions!$C$5:$C$9,0)*_xlfn.XLOOKUP($G194,Assumptions!$B$13:$B$26,Assumptions!$C$13:$C$26,0)*_xlfn.XLOOKUP($I194,Assumptions!$B$30:$B$50,Assumptions!$C$30:$C$50,0),0)))</f>
        <v>360</v>
      </c>
      <c r="T194" s="16" t="str">
        <f>IF($C194&lt;&gt;"Organisation","",IF(OR($P194&lt;&gt;"",$Q194&lt;&gt;""),"Documented in source - midpoint of annual_intake_low/high",IF($I194="","No confirmed programme - modelled as zero",$N194&amp;" base x "&amp;TEXT(_xlfn.XLOOKUP($G194,Assumptions!$B$13:$B$26,Assumptions!$C$13:$C$26,0),"0.0#")&amp;" sector x "&amp;TEXT(_xlfn.XLOOKUP($I194,Assumptions!$B$30:$B$50,Assumptions!$C$30:$C$50,0),"0.0#")&amp;" mechanism")))</f>
        <v>Large base x 1.0 sector x 3.0 mechanism</v>
      </c>
      <c r="U194" s="13" t="s">
        <v>230</v>
      </c>
      <c r="V194" s="13" t="s">
        <v>231</v>
      </c>
      <c r="W194" s="13" t="s">
        <v>80</v>
      </c>
      <c r="X194" s="13"/>
    </row>
    <row r="195" spans="1:24" x14ac:dyDescent="0.2">
      <c r="A195" s="13" t="s">
        <v>732</v>
      </c>
      <c r="B195" s="13" t="s">
        <v>733</v>
      </c>
      <c r="C195" s="13" t="s">
        <v>205</v>
      </c>
      <c r="D195" s="13" t="s">
        <v>29</v>
      </c>
      <c r="E195" s="13" t="s">
        <v>29</v>
      </c>
      <c r="F195" s="13" t="s">
        <v>109</v>
      </c>
      <c r="G195" s="13" t="s">
        <v>188</v>
      </c>
      <c r="H195" s="13" t="s">
        <v>725</v>
      </c>
      <c r="I195" s="13" t="s">
        <v>196</v>
      </c>
      <c r="J195" s="13" t="s">
        <v>694</v>
      </c>
      <c r="K195" s="19" t="s">
        <v>1815</v>
      </c>
      <c r="L195" s="17"/>
      <c r="M195" s="17"/>
      <c r="N195" s="13" t="s">
        <v>208</v>
      </c>
      <c r="O195" s="13" t="s">
        <v>209</v>
      </c>
      <c r="P195" s="16"/>
      <c r="Q195" s="16"/>
      <c r="R195" s="16"/>
      <c r="S195" s="21">
        <f>IF($C195&lt;&gt;"Organisation","",IF(OR($P195&lt;&gt;"",$Q195&lt;&gt;""),IF($P195&lt;&gt;"",IF($Q195&lt;&gt;"",($P195+$Q195)/2,$P195),$Q195),ROUND(_xlfn.XLOOKUP($N195,Assumptions!$B$5:$B$9,Assumptions!$C$5:$C$9,0)*_xlfn.XLOOKUP($G195,Assumptions!$B$13:$B$26,Assumptions!$C$13:$C$26,0)*_xlfn.XLOOKUP($I195,Assumptions!$B$30:$B$50,Assumptions!$C$30:$C$50,0),0)))</f>
        <v>360</v>
      </c>
      <c r="T195" s="16" t="str">
        <f>IF($C195&lt;&gt;"Organisation","",IF(OR($P195&lt;&gt;"",$Q195&lt;&gt;""),"Documented in source - midpoint of annual_intake_low/high",IF($I195="","No confirmed programme - modelled as zero",$N195&amp;" base x "&amp;TEXT(_xlfn.XLOOKUP($G195,Assumptions!$B$13:$B$26,Assumptions!$C$13:$C$26,0),"0.0#")&amp;" sector x "&amp;TEXT(_xlfn.XLOOKUP($I195,Assumptions!$B$30:$B$50,Assumptions!$C$30:$C$50,0),"0.0#")&amp;" mechanism")))</f>
        <v>Large base x 1.0 sector x 3.0 mechanism</v>
      </c>
      <c r="U195" s="13" t="s">
        <v>230</v>
      </c>
      <c r="V195" s="13" t="s">
        <v>231</v>
      </c>
      <c r="W195" s="13" t="s">
        <v>80</v>
      </c>
      <c r="X195" s="13"/>
    </row>
    <row r="196" spans="1:24" x14ac:dyDescent="0.2">
      <c r="A196" s="13" t="s">
        <v>734</v>
      </c>
      <c r="B196" s="13" t="s">
        <v>735</v>
      </c>
      <c r="C196" s="13" t="s">
        <v>205</v>
      </c>
      <c r="D196" s="13" t="s">
        <v>29</v>
      </c>
      <c r="E196" s="13" t="s">
        <v>29</v>
      </c>
      <c r="F196" s="13" t="s">
        <v>115</v>
      </c>
      <c r="G196" s="13" t="s">
        <v>188</v>
      </c>
      <c r="H196" s="13" t="s">
        <v>725</v>
      </c>
      <c r="I196" s="13" t="s">
        <v>196</v>
      </c>
      <c r="J196" s="13" t="s">
        <v>694</v>
      </c>
      <c r="K196" s="19" t="s">
        <v>1815</v>
      </c>
      <c r="L196" s="17"/>
      <c r="M196" s="17"/>
      <c r="N196" s="13" t="s">
        <v>208</v>
      </c>
      <c r="O196" s="13" t="s">
        <v>209</v>
      </c>
      <c r="P196" s="16"/>
      <c r="Q196" s="16"/>
      <c r="R196" s="16"/>
      <c r="S196" s="21">
        <f>IF($C196&lt;&gt;"Organisation","",IF(OR($P196&lt;&gt;"",$Q196&lt;&gt;""),IF($P196&lt;&gt;"",IF($Q196&lt;&gt;"",($P196+$Q196)/2,$P196),$Q196),ROUND(_xlfn.XLOOKUP($N196,Assumptions!$B$5:$B$9,Assumptions!$C$5:$C$9,0)*_xlfn.XLOOKUP($G196,Assumptions!$B$13:$B$26,Assumptions!$C$13:$C$26,0)*_xlfn.XLOOKUP($I196,Assumptions!$B$30:$B$50,Assumptions!$C$30:$C$50,0),0)))</f>
        <v>360</v>
      </c>
      <c r="T196" s="16" t="str">
        <f>IF($C196&lt;&gt;"Organisation","",IF(OR($P196&lt;&gt;"",$Q196&lt;&gt;""),"Documented in source - midpoint of annual_intake_low/high",IF($I196="","No confirmed programme - modelled as zero",$N196&amp;" base x "&amp;TEXT(_xlfn.XLOOKUP($G196,Assumptions!$B$13:$B$26,Assumptions!$C$13:$C$26,0),"0.0#")&amp;" sector x "&amp;TEXT(_xlfn.XLOOKUP($I196,Assumptions!$B$30:$B$50,Assumptions!$C$30:$C$50,0),"0.0#")&amp;" mechanism")))</f>
        <v>Large base x 1.0 sector x 3.0 mechanism</v>
      </c>
      <c r="U196" s="13" t="s">
        <v>230</v>
      </c>
      <c r="V196" s="13" t="s">
        <v>231</v>
      </c>
      <c r="W196" s="13" t="s">
        <v>80</v>
      </c>
      <c r="X196" s="13"/>
    </row>
    <row r="197" spans="1:24" x14ac:dyDescent="0.2">
      <c r="A197" s="13" t="s">
        <v>736</v>
      </c>
      <c r="B197" s="13" t="s">
        <v>737</v>
      </c>
      <c r="C197" s="13" t="s">
        <v>205</v>
      </c>
      <c r="D197" s="13" t="s">
        <v>29</v>
      </c>
      <c r="E197" s="13" t="s">
        <v>29</v>
      </c>
      <c r="F197" s="13" t="s">
        <v>111</v>
      </c>
      <c r="G197" s="13" t="s">
        <v>188</v>
      </c>
      <c r="H197" s="13" t="s">
        <v>725</v>
      </c>
      <c r="I197" s="13" t="s">
        <v>196</v>
      </c>
      <c r="J197" s="13" t="s">
        <v>694</v>
      </c>
      <c r="K197" s="19" t="s">
        <v>1815</v>
      </c>
      <c r="L197" s="17"/>
      <c r="M197" s="17"/>
      <c r="N197" s="13" t="s">
        <v>208</v>
      </c>
      <c r="O197" s="13" t="s">
        <v>209</v>
      </c>
      <c r="P197" s="16"/>
      <c r="Q197" s="16"/>
      <c r="R197" s="16"/>
      <c r="S197" s="21">
        <f>IF($C197&lt;&gt;"Organisation","",IF(OR($P197&lt;&gt;"",$Q197&lt;&gt;""),IF($P197&lt;&gt;"",IF($Q197&lt;&gt;"",($P197+$Q197)/2,$P197),$Q197),ROUND(_xlfn.XLOOKUP($N197,Assumptions!$B$5:$B$9,Assumptions!$C$5:$C$9,0)*_xlfn.XLOOKUP($G197,Assumptions!$B$13:$B$26,Assumptions!$C$13:$C$26,0)*_xlfn.XLOOKUP($I197,Assumptions!$B$30:$B$50,Assumptions!$C$30:$C$50,0),0)))</f>
        <v>360</v>
      </c>
      <c r="T197" s="16" t="str">
        <f>IF($C197&lt;&gt;"Organisation","",IF(OR($P197&lt;&gt;"",$Q197&lt;&gt;""),"Documented in source - midpoint of annual_intake_low/high",IF($I197="","No confirmed programme - modelled as zero",$N197&amp;" base x "&amp;TEXT(_xlfn.XLOOKUP($G197,Assumptions!$B$13:$B$26,Assumptions!$C$13:$C$26,0),"0.0#")&amp;" sector x "&amp;TEXT(_xlfn.XLOOKUP($I197,Assumptions!$B$30:$B$50,Assumptions!$C$30:$C$50,0),"0.0#")&amp;" mechanism")))</f>
        <v>Large base x 1.0 sector x 3.0 mechanism</v>
      </c>
      <c r="U197" s="13" t="s">
        <v>230</v>
      </c>
      <c r="V197" s="13" t="s">
        <v>231</v>
      </c>
      <c r="W197" s="13" t="s">
        <v>80</v>
      </c>
      <c r="X197" s="13"/>
    </row>
    <row r="198" spans="1:24" x14ac:dyDescent="0.2">
      <c r="A198" s="13" t="s">
        <v>738</v>
      </c>
      <c r="B198" s="13" t="s">
        <v>739</v>
      </c>
      <c r="C198" s="13" t="s">
        <v>205</v>
      </c>
      <c r="D198" s="13" t="s">
        <v>29</v>
      </c>
      <c r="E198" s="13" t="s">
        <v>29</v>
      </c>
      <c r="F198" s="13" t="s">
        <v>111</v>
      </c>
      <c r="G198" s="13" t="s">
        <v>176</v>
      </c>
      <c r="H198" s="13" t="s">
        <v>740</v>
      </c>
      <c r="I198" s="13" t="s">
        <v>196</v>
      </c>
      <c r="J198" s="13" t="s">
        <v>741</v>
      </c>
      <c r="K198" s="19" t="s">
        <v>1815</v>
      </c>
      <c r="L198" s="17"/>
      <c r="M198" s="17"/>
      <c r="N198" s="13" t="s">
        <v>218</v>
      </c>
      <c r="O198" s="13" t="s">
        <v>209</v>
      </c>
      <c r="P198" s="16"/>
      <c r="Q198" s="16"/>
      <c r="R198" s="16"/>
      <c r="S198" s="21">
        <f>IF($C198&lt;&gt;"Organisation","",IF(OR($P198&lt;&gt;"",$Q198&lt;&gt;""),IF($P198&lt;&gt;"",IF($Q198&lt;&gt;"",($P198+$Q198)/2,$P198),$Q198),ROUND(_xlfn.XLOOKUP($N198,Assumptions!$B$5:$B$9,Assumptions!$C$5:$C$9,0)*_xlfn.XLOOKUP($G198,Assumptions!$B$13:$B$26,Assumptions!$C$13:$C$26,0)*_xlfn.XLOOKUP($I198,Assumptions!$B$30:$B$50,Assumptions!$C$30:$C$50,0),0)))</f>
        <v>1200</v>
      </c>
      <c r="T198" s="16" t="str">
        <f>IF($C198&lt;&gt;"Organisation","",IF(OR($P198&lt;&gt;"",$Q198&lt;&gt;""),"Documented in source - midpoint of annual_intake_low/high",IF($I198="","No confirmed programme - modelled as zero",$N198&amp;" base x "&amp;TEXT(_xlfn.XLOOKUP($G198,Assumptions!$B$13:$B$26,Assumptions!$C$13:$C$26,0),"0.0#")&amp;" sector x "&amp;TEXT(_xlfn.XLOOKUP($I198,Assumptions!$B$30:$B$50,Assumptions!$C$30:$C$50,0),"0.0#")&amp;" mechanism")))</f>
        <v>Mega base x 1.0 sector x 3.0 mechanism</v>
      </c>
      <c r="U198" s="13" t="s">
        <v>691</v>
      </c>
      <c r="V198" s="13" t="s">
        <v>211</v>
      </c>
      <c r="W198" s="13" t="s">
        <v>80</v>
      </c>
      <c r="X198" s="13"/>
    </row>
    <row r="199" spans="1:24" x14ac:dyDescent="0.2">
      <c r="A199" s="13" t="s">
        <v>742</v>
      </c>
      <c r="B199" s="13" t="s">
        <v>743</v>
      </c>
      <c r="C199" s="13" t="s">
        <v>205</v>
      </c>
      <c r="D199" s="13" t="s">
        <v>29</v>
      </c>
      <c r="E199" s="13" t="s">
        <v>29</v>
      </c>
      <c r="F199" s="13" t="s">
        <v>107</v>
      </c>
      <c r="G199" s="13" t="s">
        <v>176</v>
      </c>
      <c r="H199" s="13" t="s">
        <v>740</v>
      </c>
      <c r="I199" s="13" t="s">
        <v>196</v>
      </c>
      <c r="J199" s="13" t="s">
        <v>694</v>
      </c>
      <c r="K199" s="19" t="s">
        <v>1815</v>
      </c>
      <c r="L199" s="17"/>
      <c r="M199" s="17"/>
      <c r="N199" s="13" t="s">
        <v>218</v>
      </c>
      <c r="O199" s="13" t="s">
        <v>209</v>
      </c>
      <c r="P199" s="16"/>
      <c r="Q199" s="16"/>
      <c r="R199" s="16"/>
      <c r="S199" s="21">
        <f>IF($C199&lt;&gt;"Organisation","",IF(OR($P199&lt;&gt;"",$Q199&lt;&gt;""),IF($P199&lt;&gt;"",IF($Q199&lt;&gt;"",($P199+$Q199)/2,$P199),$Q199),ROUND(_xlfn.XLOOKUP($N199,Assumptions!$B$5:$B$9,Assumptions!$C$5:$C$9,0)*_xlfn.XLOOKUP($G199,Assumptions!$B$13:$B$26,Assumptions!$C$13:$C$26,0)*_xlfn.XLOOKUP($I199,Assumptions!$B$30:$B$50,Assumptions!$C$30:$C$50,0),0)))</f>
        <v>1200</v>
      </c>
      <c r="T199" s="16" t="str">
        <f>IF($C199&lt;&gt;"Organisation","",IF(OR($P199&lt;&gt;"",$Q199&lt;&gt;""),"Documented in source - midpoint of annual_intake_low/high",IF($I199="","No confirmed programme - modelled as zero",$N199&amp;" base x "&amp;TEXT(_xlfn.XLOOKUP($G199,Assumptions!$B$13:$B$26,Assumptions!$C$13:$C$26,0),"0.0#")&amp;" sector x "&amp;TEXT(_xlfn.XLOOKUP($I199,Assumptions!$B$30:$B$50,Assumptions!$C$30:$C$50,0),"0.0#")&amp;" mechanism")))</f>
        <v>Mega base x 1.0 sector x 3.0 mechanism</v>
      </c>
      <c r="U199" s="13" t="s">
        <v>691</v>
      </c>
      <c r="V199" s="13" t="s">
        <v>211</v>
      </c>
      <c r="W199" s="13" t="s">
        <v>80</v>
      </c>
      <c r="X199" s="13"/>
    </row>
    <row r="200" spans="1:24" x14ac:dyDescent="0.2">
      <c r="A200" s="13" t="s">
        <v>744</v>
      </c>
      <c r="B200" s="13" t="s">
        <v>745</v>
      </c>
      <c r="C200" s="13" t="s">
        <v>205</v>
      </c>
      <c r="D200" s="13" t="s">
        <v>29</v>
      </c>
      <c r="E200" s="13" t="s">
        <v>29</v>
      </c>
      <c r="F200" s="13" t="s">
        <v>109</v>
      </c>
      <c r="G200" s="13" t="s">
        <v>176</v>
      </c>
      <c r="H200" s="13" t="s">
        <v>740</v>
      </c>
      <c r="I200" s="13" t="s">
        <v>196</v>
      </c>
      <c r="J200" s="13" t="s">
        <v>694</v>
      </c>
      <c r="K200" s="19" t="s">
        <v>1815</v>
      </c>
      <c r="L200" s="17"/>
      <c r="M200" s="17"/>
      <c r="N200" s="13" t="s">
        <v>208</v>
      </c>
      <c r="O200" s="13" t="s">
        <v>209</v>
      </c>
      <c r="P200" s="16"/>
      <c r="Q200" s="16"/>
      <c r="R200" s="16"/>
      <c r="S200" s="21">
        <f>IF($C200&lt;&gt;"Organisation","",IF(OR($P200&lt;&gt;"",$Q200&lt;&gt;""),IF($P200&lt;&gt;"",IF($Q200&lt;&gt;"",($P200+$Q200)/2,$P200),$Q200),ROUND(_xlfn.XLOOKUP($N200,Assumptions!$B$5:$B$9,Assumptions!$C$5:$C$9,0)*_xlfn.XLOOKUP($G200,Assumptions!$B$13:$B$26,Assumptions!$C$13:$C$26,0)*_xlfn.XLOOKUP($I200,Assumptions!$B$30:$B$50,Assumptions!$C$30:$C$50,0),0)))</f>
        <v>360</v>
      </c>
      <c r="T200" s="16" t="str">
        <f>IF($C200&lt;&gt;"Organisation","",IF(OR($P200&lt;&gt;"",$Q200&lt;&gt;""),"Documented in source - midpoint of annual_intake_low/high",IF($I200="","No confirmed programme - modelled as zero",$N200&amp;" base x "&amp;TEXT(_xlfn.XLOOKUP($G200,Assumptions!$B$13:$B$26,Assumptions!$C$13:$C$26,0),"0.0#")&amp;" sector x "&amp;TEXT(_xlfn.XLOOKUP($I200,Assumptions!$B$30:$B$50,Assumptions!$C$30:$C$50,0),"0.0#")&amp;" mechanism")))</f>
        <v>Large base x 1.0 sector x 3.0 mechanism</v>
      </c>
      <c r="U200" s="13" t="s">
        <v>230</v>
      </c>
      <c r="V200" s="13" t="s">
        <v>231</v>
      </c>
      <c r="W200" s="13" t="s">
        <v>80</v>
      </c>
      <c r="X200" s="13"/>
    </row>
    <row r="201" spans="1:24" x14ac:dyDescent="0.2">
      <c r="A201" s="13" t="s">
        <v>746</v>
      </c>
      <c r="B201" s="13" t="s">
        <v>747</v>
      </c>
      <c r="C201" s="13" t="s">
        <v>205</v>
      </c>
      <c r="D201" s="13" t="s">
        <v>29</v>
      </c>
      <c r="E201" s="13" t="s">
        <v>29</v>
      </c>
      <c r="F201" s="13" t="s">
        <v>107</v>
      </c>
      <c r="G201" s="13" t="s">
        <v>176</v>
      </c>
      <c r="H201" s="13" t="s">
        <v>740</v>
      </c>
      <c r="I201" s="13" t="s">
        <v>196</v>
      </c>
      <c r="J201" s="13" t="s">
        <v>694</v>
      </c>
      <c r="K201" s="19" t="s">
        <v>1815</v>
      </c>
      <c r="L201" s="17"/>
      <c r="M201" s="17"/>
      <c r="N201" s="13" t="s">
        <v>218</v>
      </c>
      <c r="O201" s="13" t="s">
        <v>209</v>
      </c>
      <c r="P201" s="16"/>
      <c r="Q201" s="16"/>
      <c r="R201" s="16"/>
      <c r="S201" s="21">
        <f>IF($C201&lt;&gt;"Organisation","",IF(OR($P201&lt;&gt;"",$Q201&lt;&gt;""),IF($P201&lt;&gt;"",IF($Q201&lt;&gt;"",($P201+$Q201)/2,$P201),$Q201),ROUND(_xlfn.XLOOKUP($N201,Assumptions!$B$5:$B$9,Assumptions!$C$5:$C$9,0)*_xlfn.XLOOKUP($G201,Assumptions!$B$13:$B$26,Assumptions!$C$13:$C$26,0)*_xlfn.XLOOKUP($I201,Assumptions!$B$30:$B$50,Assumptions!$C$30:$C$50,0),0)))</f>
        <v>1200</v>
      </c>
      <c r="T201" s="16" t="str">
        <f>IF($C201&lt;&gt;"Organisation","",IF(OR($P201&lt;&gt;"",$Q201&lt;&gt;""),"Documented in source - midpoint of annual_intake_low/high",IF($I201="","No confirmed programme - modelled as zero",$N201&amp;" base x "&amp;TEXT(_xlfn.XLOOKUP($G201,Assumptions!$B$13:$B$26,Assumptions!$C$13:$C$26,0),"0.0#")&amp;" sector x "&amp;TEXT(_xlfn.XLOOKUP($I201,Assumptions!$B$30:$B$50,Assumptions!$C$30:$C$50,0),"0.0#")&amp;" mechanism")))</f>
        <v>Mega base x 1.0 sector x 3.0 mechanism</v>
      </c>
      <c r="U201" s="13" t="s">
        <v>230</v>
      </c>
      <c r="V201" s="13" t="s">
        <v>231</v>
      </c>
      <c r="W201" s="13" t="s">
        <v>80</v>
      </c>
      <c r="X201" s="13"/>
    </row>
    <row r="202" spans="1:24" x14ac:dyDescent="0.2">
      <c r="A202" s="13" t="s">
        <v>748</v>
      </c>
      <c r="B202" s="13" t="s">
        <v>749</v>
      </c>
      <c r="C202" s="13" t="s">
        <v>205</v>
      </c>
      <c r="D202" s="13" t="s">
        <v>29</v>
      </c>
      <c r="E202" s="13" t="s">
        <v>29</v>
      </c>
      <c r="F202" s="13" t="s">
        <v>107</v>
      </c>
      <c r="G202" s="13" t="s">
        <v>176</v>
      </c>
      <c r="H202" s="13" t="s">
        <v>740</v>
      </c>
      <c r="I202" s="13" t="s">
        <v>196</v>
      </c>
      <c r="J202" s="13" t="s">
        <v>694</v>
      </c>
      <c r="K202" s="19" t="s">
        <v>1815</v>
      </c>
      <c r="L202" s="17"/>
      <c r="M202" s="17"/>
      <c r="N202" s="13" t="s">
        <v>208</v>
      </c>
      <c r="O202" s="13" t="s">
        <v>209</v>
      </c>
      <c r="P202" s="16"/>
      <c r="Q202" s="16"/>
      <c r="R202" s="16"/>
      <c r="S202" s="21">
        <f>IF($C202&lt;&gt;"Organisation","",IF(OR($P202&lt;&gt;"",$Q202&lt;&gt;""),IF($P202&lt;&gt;"",IF($Q202&lt;&gt;"",($P202+$Q202)/2,$P202),$Q202),ROUND(_xlfn.XLOOKUP($N202,Assumptions!$B$5:$B$9,Assumptions!$C$5:$C$9,0)*_xlfn.XLOOKUP($G202,Assumptions!$B$13:$B$26,Assumptions!$C$13:$C$26,0)*_xlfn.XLOOKUP($I202,Assumptions!$B$30:$B$50,Assumptions!$C$30:$C$50,0),0)))</f>
        <v>360</v>
      </c>
      <c r="T202" s="16" t="str">
        <f>IF($C202&lt;&gt;"Organisation","",IF(OR($P202&lt;&gt;"",$Q202&lt;&gt;""),"Documented in source - midpoint of annual_intake_low/high",IF($I202="","No confirmed programme - modelled as zero",$N202&amp;" base x "&amp;TEXT(_xlfn.XLOOKUP($G202,Assumptions!$B$13:$B$26,Assumptions!$C$13:$C$26,0),"0.0#")&amp;" sector x "&amp;TEXT(_xlfn.XLOOKUP($I202,Assumptions!$B$30:$B$50,Assumptions!$C$30:$C$50,0),"0.0#")&amp;" mechanism")))</f>
        <v>Large base x 1.0 sector x 3.0 mechanism</v>
      </c>
      <c r="U202" s="13" t="s">
        <v>230</v>
      </c>
      <c r="V202" s="13" t="s">
        <v>231</v>
      </c>
      <c r="W202" s="13" t="s">
        <v>80</v>
      </c>
      <c r="X202" s="13"/>
    </row>
    <row r="203" spans="1:24" x14ac:dyDescent="0.2">
      <c r="A203" s="13" t="s">
        <v>750</v>
      </c>
      <c r="B203" s="13" t="s">
        <v>751</v>
      </c>
      <c r="C203" s="13" t="s">
        <v>205</v>
      </c>
      <c r="D203" s="13" t="s">
        <v>29</v>
      </c>
      <c r="E203" s="13" t="s">
        <v>29</v>
      </c>
      <c r="F203" s="13" t="s">
        <v>115</v>
      </c>
      <c r="G203" s="13" t="s">
        <v>176</v>
      </c>
      <c r="H203" s="13" t="s">
        <v>740</v>
      </c>
      <c r="I203" s="13" t="s">
        <v>196</v>
      </c>
      <c r="J203" s="13" t="s">
        <v>694</v>
      </c>
      <c r="K203" s="19" t="s">
        <v>1815</v>
      </c>
      <c r="L203" s="17"/>
      <c r="M203" s="17"/>
      <c r="N203" s="13" t="s">
        <v>244</v>
      </c>
      <c r="O203" s="13" t="s">
        <v>209</v>
      </c>
      <c r="P203" s="16"/>
      <c r="Q203" s="16"/>
      <c r="R203" s="16"/>
      <c r="S203" s="21">
        <f>IF($C203&lt;&gt;"Organisation","",IF(OR($P203&lt;&gt;"",$Q203&lt;&gt;""),IF($P203&lt;&gt;"",IF($Q203&lt;&gt;"",($P203+$Q203)/2,$P203),$Q203),ROUND(_xlfn.XLOOKUP($N203,Assumptions!$B$5:$B$9,Assumptions!$C$5:$C$9,0)*_xlfn.XLOOKUP($G203,Assumptions!$B$13:$B$26,Assumptions!$C$13:$C$26,0)*_xlfn.XLOOKUP($I203,Assumptions!$B$30:$B$50,Assumptions!$C$30:$C$50,0),0)))</f>
        <v>90</v>
      </c>
      <c r="T203" s="16" t="str">
        <f>IF($C203&lt;&gt;"Organisation","",IF(OR($P203&lt;&gt;"",$Q203&lt;&gt;""),"Documented in source - midpoint of annual_intake_low/high",IF($I203="","No confirmed programme - modelled as zero",$N203&amp;" base x "&amp;TEXT(_xlfn.XLOOKUP($G203,Assumptions!$B$13:$B$26,Assumptions!$C$13:$C$26,0),"0.0#")&amp;" sector x "&amp;TEXT(_xlfn.XLOOKUP($I203,Assumptions!$B$30:$B$50,Assumptions!$C$30:$C$50,0),"0.0#")&amp;" mechanism")))</f>
        <v>Mid base x 1.0 sector x 3.0 mechanism</v>
      </c>
      <c r="U203" s="13" t="s">
        <v>230</v>
      </c>
      <c r="V203" s="13" t="s">
        <v>231</v>
      </c>
      <c r="W203" s="13" t="s">
        <v>80</v>
      </c>
      <c r="X203" s="13"/>
    </row>
    <row r="204" spans="1:24" x14ac:dyDescent="0.2">
      <c r="A204" s="13" t="s">
        <v>752</v>
      </c>
      <c r="B204" s="13" t="s">
        <v>753</v>
      </c>
      <c r="C204" s="13" t="s">
        <v>205</v>
      </c>
      <c r="D204" s="13" t="s">
        <v>29</v>
      </c>
      <c r="E204" s="13" t="s">
        <v>29</v>
      </c>
      <c r="F204" s="13" t="s">
        <v>115</v>
      </c>
      <c r="G204" s="13" t="s">
        <v>174</v>
      </c>
      <c r="H204" s="13" t="s">
        <v>754</v>
      </c>
      <c r="I204" s="13" t="s">
        <v>196</v>
      </c>
      <c r="K204" s="19" t="s">
        <v>1815</v>
      </c>
      <c r="L204" s="17"/>
      <c r="M204" s="17"/>
      <c r="N204" s="13" t="s">
        <v>244</v>
      </c>
      <c r="O204" s="13" t="s">
        <v>209</v>
      </c>
      <c r="P204" s="16"/>
      <c r="Q204" s="16"/>
      <c r="R204" s="16"/>
      <c r="S204" s="21">
        <f>IF($C204&lt;&gt;"Organisation","",IF(OR($P204&lt;&gt;"",$Q204&lt;&gt;""),IF($P204&lt;&gt;"",IF($Q204&lt;&gt;"",($P204+$Q204)/2,$P204),$Q204),ROUND(_xlfn.XLOOKUP($N204,Assumptions!$B$5:$B$9,Assumptions!$C$5:$C$9,0)*_xlfn.XLOOKUP($G204,Assumptions!$B$13:$B$26,Assumptions!$C$13:$C$26,0)*_xlfn.XLOOKUP($I204,Assumptions!$B$30:$B$50,Assumptions!$C$30:$C$50,0),0)))</f>
        <v>72</v>
      </c>
      <c r="T204" s="16" t="str">
        <f>IF($C204&lt;&gt;"Organisation","",IF(OR($P204&lt;&gt;"",$Q204&lt;&gt;""),"Documented in source - midpoint of annual_intake_low/high",IF($I204="","No confirmed programme - modelled as zero",$N204&amp;" base x "&amp;TEXT(_xlfn.XLOOKUP($G204,Assumptions!$B$13:$B$26,Assumptions!$C$13:$C$26,0),"0.0#")&amp;" sector x "&amp;TEXT(_xlfn.XLOOKUP($I204,Assumptions!$B$30:$B$50,Assumptions!$C$30:$C$50,0),"0.0#")&amp;" mechanism")))</f>
        <v>Mid base x 0.8 sector x 3.0 mechanism</v>
      </c>
      <c r="U204" s="13" t="s">
        <v>230</v>
      </c>
      <c r="V204" s="13" t="s">
        <v>231</v>
      </c>
      <c r="W204" s="13" t="s">
        <v>80</v>
      </c>
      <c r="X204" s="13"/>
    </row>
    <row r="205" spans="1:24" x14ac:dyDescent="0.2">
      <c r="A205" s="13" t="s">
        <v>755</v>
      </c>
      <c r="B205" s="13" t="s">
        <v>756</v>
      </c>
      <c r="C205" s="13" t="s">
        <v>205</v>
      </c>
      <c r="D205" s="13" t="s">
        <v>29</v>
      </c>
      <c r="E205" s="13" t="s">
        <v>29</v>
      </c>
      <c r="F205" s="13" t="s">
        <v>107</v>
      </c>
      <c r="G205" s="13" t="s">
        <v>174</v>
      </c>
      <c r="H205" s="13" t="s">
        <v>754</v>
      </c>
      <c r="I205" s="13" t="s">
        <v>196</v>
      </c>
      <c r="K205" s="19" t="s">
        <v>1815</v>
      </c>
      <c r="L205" s="17"/>
      <c r="M205" s="17"/>
      <c r="N205" s="13" t="s">
        <v>244</v>
      </c>
      <c r="O205" s="13" t="s">
        <v>209</v>
      </c>
      <c r="P205" s="16"/>
      <c r="Q205" s="16"/>
      <c r="R205" s="16"/>
      <c r="S205" s="21">
        <f>IF($C205&lt;&gt;"Organisation","",IF(OR($P205&lt;&gt;"",$Q205&lt;&gt;""),IF($P205&lt;&gt;"",IF($Q205&lt;&gt;"",($P205+$Q205)/2,$P205),$Q205),ROUND(_xlfn.XLOOKUP($N205,Assumptions!$B$5:$B$9,Assumptions!$C$5:$C$9,0)*_xlfn.XLOOKUP($G205,Assumptions!$B$13:$B$26,Assumptions!$C$13:$C$26,0)*_xlfn.XLOOKUP($I205,Assumptions!$B$30:$B$50,Assumptions!$C$30:$C$50,0),0)))</f>
        <v>72</v>
      </c>
      <c r="T205" s="16" t="str">
        <f>IF($C205&lt;&gt;"Organisation","",IF(OR($P205&lt;&gt;"",$Q205&lt;&gt;""),"Documented in source - midpoint of annual_intake_low/high",IF($I205="","No confirmed programme - modelled as zero",$N205&amp;" base x "&amp;TEXT(_xlfn.XLOOKUP($G205,Assumptions!$B$13:$B$26,Assumptions!$C$13:$C$26,0),"0.0#")&amp;" sector x "&amp;TEXT(_xlfn.XLOOKUP($I205,Assumptions!$B$30:$B$50,Assumptions!$C$30:$C$50,0),"0.0#")&amp;" mechanism")))</f>
        <v>Mid base x 0.8 sector x 3.0 mechanism</v>
      </c>
      <c r="U205" s="13" t="s">
        <v>230</v>
      </c>
      <c r="V205" s="13" t="s">
        <v>231</v>
      </c>
      <c r="W205" s="13" t="s">
        <v>80</v>
      </c>
      <c r="X205" s="13"/>
    </row>
    <row r="206" spans="1:24" x14ac:dyDescent="0.2">
      <c r="A206" s="13" t="s">
        <v>757</v>
      </c>
      <c r="B206" s="13" t="s">
        <v>758</v>
      </c>
      <c r="C206" s="13" t="s">
        <v>205</v>
      </c>
      <c r="D206" s="13" t="s">
        <v>29</v>
      </c>
      <c r="E206" s="13" t="s">
        <v>29</v>
      </c>
      <c r="F206" s="13" t="s">
        <v>107</v>
      </c>
      <c r="G206" s="13" t="s">
        <v>174</v>
      </c>
      <c r="H206" s="13" t="s">
        <v>754</v>
      </c>
      <c r="I206" s="13" t="s">
        <v>196</v>
      </c>
      <c r="K206" s="19" t="s">
        <v>1815</v>
      </c>
      <c r="L206" s="17"/>
      <c r="M206" s="17"/>
      <c r="N206" s="13" t="s">
        <v>244</v>
      </c>
      <c r="O206" s="13" t="s">
        <v>209</v>
      </c>
      <c r="P206" s="16"/>
      <c r="Q206" s="16"/>
      <c r="R206" s="16"/>
      <c r="S206" s="21">
        <f>IF($C206&lt;&gt;"Organisation","",IF(OR($P206&lt;&gt;"",$Q206&lt;&gt;""),IF($P206&lt;&gt;"",IF($Q206&lt;&gt;"",($P206+$Q206)/2,$P206),$Q206),ROUND(_xlfn.XLOOKUP($N206,Assumptions!$B$5:$B$9,Assumptions!$C$5:$C$9,0)*_xlfn.XLOOKUP($G206,Assumptions!$B$13:$B$26,Assumptions!$C$13:$C$26,0)*_xlfn.XLOOKUP($I206,Assumptions!$B$30:$B$50,Assumptions!$C$30:$C$50,0),0)))</f>
        <v>72</v>
      </c>
      <c r="T206" s="16" t="str">
        <f>IF($C206&lt;&gt;"Organisation","",IF(OR($P206&lt;&gt;"",$Q206&lt;&gt;""),"Documented in source - midpoint of annual_intake_low/high",IF($I206="","No confirmed programme - modelled as zero",$N206&amp;" base x "&amp;TEXT(_xlfn.XLOOKUP($G206,Assumptions!$B$13:$B$26,Assumptions!$C$13:$C$26,0),"0.0#")&amp;" sector x "&amp;TEXT(_xlfn.XLOOKUP($I206,Assumptions!$B$30:$B$50,Assumptions!$C$30:$C$50,0),"0.0#")&amp;" mechanism")))</f>
        <v>Mid base x 0.8 sector x 3.0 mechanism</v>
      </c>
      <c r="U206" s="13" t="s">
        <v>230</v>
      </c>
      <c r="V206" s="13" t="s">
        <v>231</v>
      </c>
      <c r="W206" s="13" t="s">
        <v>80</v>
      </c>
      <c r="X206" s="13"/>
    </row>
    <row r="207" spans="1:24" x14ac:dyDescent="0.2">
      <c r="A207" s="13" t="s">
        <v>759</v>
      </c>
      <c r="B207" s="13" t="s">
        <v>760</v>
      </c>
      <c r="C207" s="13" t="s">
        <v>205</v>
      </c>
      <c r="D207" s="13" t="s">
        <v>29</v>
      </c>
      <c r="E207" s="13" t="s">
        <v>29</v>
      </c>
      <c r="F207" s="13" t="s">
        <v>115</v>
      </c>
      <c r="G207" s="13" t="s">
        <v>174</v>
      </c>
      <c r="H207" s="13" t="s">
        <v>754</v>
      </c>
      <c r="I207" s="13" t="s">
        <v>196</v>
      </c>
      <c r="K207" s="19" t="s">
        <v>1815</v>
      </c>
      <c r="L207" s="17"/>
      <c r="M207" s="17"/>
      <c r="N207" s="13" t="s">
        <v>244</v>
      </c>
      <c r="O207" s="13" t="s">
        <v>209</v>
      </c>
      <c r="P207" s="16"/>
      <c r="Q207" s="16"/>
      <c r="R207" s="16"/>
      <c r="S207" s="21">
        <f>IF($C207&lt;&gt;"Organisation","",IF(OR($P207&lt;&gt;"",$Q207&lt;&gt;""),IF($P207&lt;&gt;"",IF($Q207&lt;&gt;"",($P207+$Q207)/2,$P207),$Q207),ROUND(_xlfn.XLOOKUP($N207,Assumptions!$B$5:$B$9,Assumptions!$C$5:$C$9,0)*_xlfn.XLOOKUP($G207,Assumptions!$B$13:$B$26,Assumptions!$C$13:$C$26,0)*_xlfn.XLOOKUP($I207,Assumptions!$B$30:$B$50,Assumptions!$C$30:$C$50,0),0)))</f>
        <v>72</v>
      </c>
      <c r="T207" s="16" t="str">
        <f>IF($C207&lt;&gt;"Organisation","",IF(OR($P207&lt;&gt;"",$Q207&lt;&gt;""),"Documented in source - midpoint of annual_intake_low/high",IF($I207="","No confirmed programme - modelled as zero",$N207&amp;" base x "&amp;TEXT(_xlfn.XLOOKUP($G207,Assumptions!$B$13:$B$26,Assumptions!$C$13:$C$26,0),"0.0#")&amp;" sector x "&amp;TEXT(_xlfn.XLOOKUP($I207,Assumptions!$B$30:$B$50,Assumptions!$C$30:$C$50,0),"0.0#")&amp;" mechanism")))</f>
        <v>Mid base x 0.8 sector x 3.0 mechanism</v>
      </c>
      <c r="U207" s="13" t="s">
        <v>230</v>
      </c>
      <c r="V207" s="13" t="s">
        <v>231</v>
      </c>
      <c r="W207" s="13" t="s">
        <v>80</v>
      </c>
      <c r="X207" s="13"/>
    </row>
    <row r="208" spans="1:24" x14ac:dyDescent="0.2">
      <c r="A208" s="13" t="s">
        <v>761</v>
      </c>
      <c r="B208" s="13" t="s">
        <v>762</v>
      </c>
      <c r="C208" s="13" t="s">
        <v>205</v>
      </c>
      <c r="D208" s="13" t="s">
        <v>29</v>
      </c>
      <c r="E208" s="13" t="s">
        <v>29</v>
      </c>
      <c r="F208" s="13" t="s">
        <v>113</v>
      </c>
      <c r="G208" s="13" t="s">
        <v>182</v>
      </c>
      <c r="H208" s="13" t="s">
        <v>763</v>
      </c>
      <c r="I208" s="13" t="s">
        <v>196</v>
      </c>
      <c r="J208" s="13" t="s">
        <v>764</v>
      </c>
      <c r="K208" s="19" t="s">
        <v>1815</v>
      </c>
      <c r="L208" s="17"/>
      <c r="M208" s="17"/>
      <c r="N208" s="13" t="s">
        <v>208</v>
      </c>
      <c r="O208" s="13" t="s">
        <v>209</v>
      </c>
      <c r="P208" s="16"/>
      <c r="Q208" s="16"/>
      <c r="R208" s="16"/>
      <c r="S208" s="21">
        <f>IF($C208&lt;&gt;"Organisation","",IF(OR($P208&lt;&gt;"",$Q208&lt;&gt;""),IF($P208&lt;&gt;"",IF($Q208&lt;&gt;"",($P208+$Q208)/2,$P208),$Q208),ROUND(_xlfn.XLOOKUP($N208,Assumptions!$B$5:$B$9,Assumptions!$C$5:$C$9,0)*_xlfn.XLOOKUP($G208,Assumptions!$B$13:$B$26,Assumptions!$C$13:$C$26,0)*_xlfn.XLOOKUP($I208,Assumptions!$B$30:$B$50,Assumptions!$C$30:$C$50,0),0)))</f>
        <v>360</v>
      </c>
      <c r="T208" s="16" t="str">
        <f>IF($C208&lt;&gt;"Organisation","",IF(OR($P208&lt;&gt;"",$Q208&lt;&gt;""),"Documented in source - midpoint of annual_intake_low/high",IF($I208="","No confirmed programme - modelled as zero",$N208&amp;" base x "&amp;TEXT(_xlfn.XLOOKUP($G208,Assumptions!$B$13:$B$26,Assumptions!$C$13:$C$26,0),"0.0#")&amp;" sector x "&amp;TEXT(_xlfn.XLOOKUP($I208,Assumptions!$B$30:$B$50,Assumptions!$C$30:$C$50,0),"0.0#")&amp;" mechanism")))</f>
        <v>Large base x 1.0 sector x 3.0 mechanism</v>
      </c>
      <c r="U208" s="13" t="s">
        <v>210</v>
      </c>
      <c r="V208" s="13" t="s">
        <v>211</v>
      </c>
      <c r="W208" s="13" t="s">
        <v>80</v>
      </c>
      <c r="X208" s="13"/>
    </row>
    <row r="209" spans="1:24" x14ac:dyDescent="0.2">
      <c r="A209" s="13" t="s">
        <v>765</v>
      </c>
      <c r="B209" s="13" t="s">
        <v>766</v>
      </c>
      <c r="C209" s="13" t="s">
        <v>205</v>
      </c>
      <c r="D209" s="13" t="s">
        <v>29</v>
      </c>
      <c r="E209" s="13" t="s">
        <v>29</v>
      </c>
      <c r="F209" s="13" t="s">
        <v>111</v>
      </c>
      <c r="G209" s="13" t="s">
        <v>182</v>
      </c>
      <c r="H209" s="13" t="s">
        <v>763</v>
      </c>
      <c r="I209" s="13" t="s">
        <v>196</v>
      </c>
      <c r="J209" s="13" t="s">
        <v>694</v>
      </c>
      <c r="K209" s="19" t="s">
        <v>1815</v>
      </c>
      <c r="L209" s="17"/>
      <c r="M209" s="17"/>
      <c r="N209" s="13" t="s">
        <v>218</v>
      </c>
      <c r="O209" s="13" t="s">
        <v>209</v>
      </c>
      <c r="P209" s="16"/>
      <c r="Q209" s="16"/>
      <c r="R209" s="16"/>
      <c r="S209" s="21">
        <f>IF($C209&lt;&gt;"Organisation","",IF(OR($P209&lt;&gt;"",$Q209&lt;&gt;""),IF($P209&lt;&gt;"",IF($Q209&lt;&gt;"",($P209+$Q209)/2,$P209),$Q209),ROUND(_xlfn.XLOOKUP($N209,Assumptions!$B$5:$B$9,Assumptions!$C$5:$C$9,0)*_xlfn.XLOOKUP($G209,Assumptions!$B$13:$B$26,Assumptions!$C$13:$C$26,0)*_xlfn.XLOOKUP($I209,Assumptions!$B$30:$B$50,Assumptions!$C$30:$C$50,0),0)))</f>
        <v>1200</v>
      </c>
      <c r="T209" s="16" t="str">
        <f>IF($C209&lt;&gt;"Organisation","",IF(OR($P209&lt;&gt;"",$Q209&lt;&gt;""),"Documented in source - midpoint of annual_intake_low/high",IF($I209="","No confirmed programme - modelled as zero",$N209&amp;" base x "&amp;TEXT(_xlfn.XLOOKUP($G209,Assumptions!$B$13:$B$26,Assumptions!$C$13:$C$26,0),"0.0#")&amp;" sector x "&amp;TEXT(_xlfn.XLOOKUP($I209,Assumptions!$B$30:$B$50,Assumptions!$C$30:$C$50,0),"0.0#")&amp;" mechanism")))</f>
        <v>Mega base x 1.0 sector x 3.0 mechanism</v>
      </c>
      <c r="U209" s="13" t="s">
        <v>230</v>
      </c>
      <c r="V209" s="13" t="s">
        <v>231</v>
      </c>
      <c r="W209" s="13" t="s">
        <v>80</v>
      </c>
      <c r="X209" s="13"/>
    </row>
    <row r="210" spans="1:24" x14ac:dyDescent="0.2">
      <c r="A210" s="13" t="s">
        <v>767</v>
      </c>
      <c r="B210" s="13" t="s">
        <v>768</v>
      </c>
      <c r="C210" s="13" t="s">
        <v>205</v>
      </c>
      <c r="D210" s="13" t="s">
        <v>29</v>
      </c>
      <c r="E210" s="13" t="s">
        <v>29</v>
      </c>
      <c r="F210" s="13" t="s">
        <v>107</v>
      </c>
      <c r="G210" s="13" t="s">
        <v>182</v>
      </c>
      <c r="H210" s="13" t="s">
        <v>763</v>
      </c>
      <c r="I210" s="13" t="s">
        <v>196</v>
      </c>
      <c r="J210" s="13" t="s">
        <v>694</v>
      </c>
      <c r="K210" s="19" t="s">
        <v>1815</v>
      </c>
      <c r="L210" s="17"/>
      <c r="M210" s="17"/>
      <c r="N210" s="13" t="s">
        <v>208</v>
      </c>
      <c r="O210" s="13" t="s">
        <v>209</v>
      </c>
      <c r="P210" s="16"/>
      <c r="Q210" s="16"/>
      <c r="R210" s="16"/>
      <c r="S210" s="21">
        <f>IF($C210&lt;&gt;"Organisation","",IF(OR($P210&lt;&gt;"",$Q210&lt;&gt;""),IF($P210&lt;&gt;"",IF($Q210&lt;&gt;"",($P210+$Q210)/2,$P210),$Q210),ROUND(_xlfn.XLOOKUP($N210,Assumptions!$B$5:$B$9,Assumptions!$C$5:$C$9,0)*_xlfn.XLOOKUP($G210,Assumptions!$B$13:$B$26,Assumptions!$C$13:$C$26,0)*_xlfn.XLOOKUP($I210,Assumptions!$B$30:$B$50,Assumptions!$C$30:$C$50,0),0)))</f>
        <v>360</v>
      </c>
      <c r="T210" s="16" t="str">
        <f>IF($C210&lt;&gt;"Organisation","",IF(OR($P210&lt;&gt;"",$Q210&lt;&gt;""),"Documented in source - midpoint of annual_intake_low/high",IF($I210="","No confirmed programme - modelled as zero",$N210&amp;" base x "&amp;TEXT(_xlfn.XLOOKUP($G210,Assumptions!$B$13:$B$26,Assumptions!$C$13:$C$26,0),"0.0#")&amp;" sector x "&amp;TEXT(_xlfn.XLOOKUP($I210,Assumptions!$B$30:$B$50,Assumptions!$C$30:$C$50,0),"0.0#")&amp;" mechanism")))</f>
        <v>Large base x 1.0 sector x 3.0 mechanism</v>
      </c>
      <c r="U210" s="13" t="s">
        <v>230</v>
      </c>
      <c r="V210" s="13" t="s">
        <v>231</v>
      </c>
      <c r="W210" s="13" t="s">
        <v>80</v>
      </c>
      <c r="X210" s="13"/>
    </row>
    <row r="211" spans="1:24" x14ac:dyDescent="0.2">
      <c r="A211" s="13" t="s">
        <v>769</v>
      </c>
      <c r="B211" s="13" t="s">
        <v>770</v>
      </c>
      <c r="C211" s="13" t="s">
        <v>205</v>
      </c>
      <c r="D211" s="13" t="s">
        <v>29</v>
      </c>
      <c r="E211" s="13" t="s">
        <v>29</v>
      </c>
      <c r="F211" s="13" t="s">
        <v>109</v>
      </c>
      <c r="G211" s="13" t="s">
        <v>182</v>
      </c>
      <c r="H211" s="13" t="s">
        <v>771</v>
      </c>
      <c r="I211" s="13" t="s">
        <v>196</v>
      </c>
      <c r="J211" s="13" t="s">
        <v>694</v>
      </c>
      <c r="K211" s="19" t="s">
        <v>1815</v>
      </c>
      <c r="L211" s="17"/>
      <c r="M211" s="17"/>
      <c r="N211" s="13" t="s">
        <v>244</v>
      </c>
      <c r="O211" s="13" t="s">
        <v>209</v>
      </c>
      <c r="P211" s="16"/>
      <c r="Q211" s="16"/>
      <c r="R211" s="16"/>
      <c r="S211" s="21">
        <f>IF($C211&lt;&gt;"Organisation","",IF(OR($P211&lt;&gt;"",$Q211&lt;&gt;""),IF($P211&lt;&gt;"",IF($Q211&lt;&gt;"",($P211+$Q211)/2,$P211),$Q211),ROUND(_xlfn.XLOOKUP($N211,Assumptions!$B$5:$B$9,Assumptions!$C$5:$C$9,0)*_xlfn.XLOOKUP($G211,Assumptions!$B$13:$B$26,Assumptions!$C$13:$C$26,0)*_xlfn.XLOOKUP($I211,Assumptions!$B$30:$B$50,Assumptions!$C$30:$C$50,0),0)))</f>
        <v>90</v>
      </c>
      <c r="T211" s="16" t="str">
        <f>IF($C211&lt;&gt;"Organisation","",IF(OR($P211&lt;&gt;"",$Q211&lt;&gt;""),"Documented in source - midpoint of annual_intake_low/high",IF($I211="","No confirmed programme - modelled as zero",$N211&amp;" base x "&amp;TEXT(_xlfn.XLOOKUP($G211,Assumptions!$B$13:$B$26,Assumptions!$C$13:$C$26,0),"0.0#")&amp;" sector x "&amp;TEXT(_xlfn.XLOOKUP($I211,Assumptions!$B$30:$B$50,Assumptions!$C$30:$C$50,0),"0.0#")&amp;" mechanism")))</f>
        <v>Mid base x 1.0 sector x 3.0 mechanism</v>
      </c>
      <c r="U211" s="13" t="s">
        <v>230</v>
      </c>
      <c r="V211" s="13" t="s">
        <v>231</v>
      </c>
      <c r="W211" s="13" t="s">
        <v>80</v>
      </c>
      <c r="X211" s="13"/>
    </row>
    <row r="212" spans="1:24" x14ac:dyDescent="0.2">
      <c r="A212" s="13" t="s">
        <v>922</v>
      </c>
      <c r="B212" s="13" t="s">
        <v>923</v>
      </c>
      <c r="C212" s="13" t="s">
        <v>205</v>
      </c>
      <c r="D212" s="13" t="s">
        <v>31</v>
      </c>
      <c r="E212" s="13" t="s">
        <v>40</v>
      </c>
      <c r="F212" s="13" t="s">
        <v>117</v>
      </c>
      <c r="G212" s="13" t="s">
        <v>170</v>
      </c>
      <c r="H212" s="13" t="s">
        <v>924</v>
      </c>
      <c r="I212" s="13" t="s">
        <v>197</v>
      </c>
      <c r="J212" s="13" t="s">
        <v>925</v>
      </c>
      <c r="K212" s="19" t="s">
        <v>1820</v>
      </c>
      <c r="L212" s="17"/>
      <c r="M212" s="17"/>
      <c r="N212" s="13" t="s">
        <v>218</v>
      </c>
      <c r="O212" s="13" t="s">
        <v>209</v>
      </c>
      <c r="P212" s="16"/>
      <c r="Q212" s="16"/>
      <c r="R212" s="16"/>
      <c r="S212" s="21">
        <f>IF($C212&lt;&gt;"Organisation","",IF(OR($P212&lt;&gt;"",$Q212&lt;&gt;""),IF($P212&lt;&gt;"",IF($Q212&lt;&gt;"",($P212+$Q212)/2,$P212),$Q212),ROUND(_xlfn.XLOOKUP($N212,Assumptions!$B$5:$B$9,Assumptions!$C$5:$C$9,0)*_xlfn.XLOOKUP($G212,Assumptions!$B$13:$B$26,Assumptions!$C$13:$C$26,0)*_xlfn.XLOOKUP($I212,Assumptions!$B$30:$B$50,Assumptions!$C$30:$C$50,0),0)))</f>
        <v>100</v>
      </c>
      <c r="T212" s="16" t="str">
        <f>IF($C212&lt;&gt;"Organisation","",IF(OR($P212&lt;&gt;"",$Q212&lt;&gt;""),"Documented in source - midpoint of annual_intake_low/high",IF($I212="","No confirmed programme - modelled as zero",$N212&amp;" base x "&amp;TEXT(_xlfn.XLOOKUP($G212,Assumptions!$B$13:$B$26,Assumptions!$C$13:$C$26,0),"0.0#")&amp;" sector x "&amp;TEXT(_xlfn.XLOOKUP($I212,Assumptions!$B$30:$B$50,Assumptions!$C$30:$C$50,0),"0.0#")&amp;" mechanism")))</f>
        <v>Mega base x 1.0 sector x 0.25 mechanism</v>
      </c>
      <c r="U212" s="13" t="s">
        <v>210</v>
      </c>
      <c r="V212" s="13" t="s">
        <v>211</v>
      </c>
      <c r="W212" s="13" t="s">
        <v>99</v>
      </c>
      <c r="X212" s="13"/>
    </row>
    <row r="213" spans="1:24" x14ac:dyDescent="0.2">
      <c r="A213" s="13" t="s">
        <v>926</v>
      </c>
      <c r="B213" s="13" t="s">
        <v>927</v>
      </c>
      <c r="C213" s="13" t="s">
        <v>205</v>
      </c>
      <c r="D213" s="13" t="s">
        <v>31</v>
      </c>
      <c r="E213" s="13" t="s">
        <v>40</v>
      </c>
      <c r="F213" s="13" t="s">
        <v>117</v>
      </c>
      <c r="G213" s="13" t="s">
        <v>170</v>
      </c>
      <c r="H213" s="13" t="s">
        <v>924</v>
      </c>
      <c r="I213" s="13" t="s">
        <v>198</v>
      </c>
      <c r="J213" s="13" t="s">
        <v>928</v>
      </c>
      <c r="K213" s="19" t="s">
        <v>1815</v>
      </c>
      <c r="L213" s="17"/>
      <c r="M213" s="17"/>
      <c r="N213" s="13" t="s">
        <v>218</v>
      </c>
      <c r="O213" s="13" t="s">
        <v>209</v>
      </c>
      <c r="P213" s="16"/>
      <c r="Q213" s="16"/>
      <c r="R213" s="16"/>
      <c r="S213" s="21">
        <f>IF($C213&lt;&gt;"Organisation","",IF(OR($P213&lt;&gt;"",$Q213&lt;&gt;""),IF($P213&lt;&gt;"",IF($Q213&lt;&gt;"",($P213+$Q213)/2,$P213),$Q213),ROUND(_xlfn.XLOOKUP($N213,Assumptions!$B$5:$B$9,Assumptions!$C$5:$C$9,0)*_xlfn.XLOOKUP($G213,Assumptions!$B$13:$B$26,Assumptions!$C$13:$C$26,0)*_xlfn.XLOOKUP($I213,Assumptions!$B$30:$B$50,Assumptions!$C$30:$C$50,0),0)))</f>
        <v>320</v>
      </c>
      <c r="T213" s="16" t="str">
        <f>IF($C213&lt;&gt;"Organisation","",IF(OR($P213&lt;&gt;"",$Q213&lt;&gt;""),"Documented in source - midpoint of annual_intake_low/high",IF($I213="","No confirmed programme - modelled as zero",$N213&amp;" base x "&amp;TEXT(_xlfn.XLOOKUP($G213,Assumptions!$B$13:$B$26,Assumptions!$C$13:$C$26,0),"0.0#")&amp;" sector x "&amp;TEXT(_xlfn.XLOOKUP($I213,Assumptions!$B$30:$B$50,Assumptions!$C$30:$C$50,0),"0.0#")&amp;" mechanism")))</f>
        <v>Mega base x 1.0 sector x 0.8 mechanism</v>
      </c>
      <c r="U213" s="13" t="s">
        <v>210</v>
      </c>
      <c r="V213" s="13" t="s">
        <v>211</v>
      </c>
      <c r="W213" s="13" t="s">
        <v>99</v>
      </c>
      <c r="X213" s="13"/>
    </row>
    <row r="214" spans="1:24" x14ac:dyDescent="0.2">
      <c r="A214" s="13" t="s">
        <v>929</v>
      </c>
      <c r="B214" s="13" t="s">
        <v>930</v>
      </c>
      <c r="C214" s="13" t="s">
        <v>205</v>
      </c>
      <c r="D214" s="13" t="s">
        <v>31</v>
      </c>
      <c r="E214" s="13" t="s">
        <v>40</v>
      </c>
      <c r="F214" s="13" t="s">
        <v>117</v>
      </c>
      <c r="G214" s="13" t="s">
        <v>170</v>
      </c>
      <c r="H214" s="13" t="s">
        <v>931</v>
      </c>
      <c r="I214" s="13" t="s">
        <v>199</v>
      </c>
      <c r="J214" s="13" t="s">
        <v>932</v>
      </c>
      <c r="K214" s="19" t="s">
        <v>1815</v>
      </c>
      <c r="L214" s="17"/>
      <c r="M214" s="17"/>
      <c r="N214" s="13" t="s">
        <v>218</v>
      </c>
      <c r="O214" s="13" t="s">
        <v>209</v>
      </c>
      <c r="P214" s="16"/>
      <c r="Q214" s="16"/>
      <c r="R214" s="16"/>
      <c r="S214" s="21">
        <f>IF($C214&lt;&gt;"Organisation","",IF(OR($P214&lt;&gt;"",$Q214&lt;&gt;""),IF($P214&lt;&gt;"",IF($Q214&lt;&gt;"",($P214+$Q214)/2,$P214),$Q214),ROUND(_xlfn.XLOOKUP($N214,Assumptions!$B$5:$B$9,Assumptions!$C$5:$C$9,0)*_xlfn.XLOOKUP($G214,Assumptions!$B$13:$B$26,Assumptions!$C$13:$C$26,0)*_xlfn.XLOOKUP($I214,Assumptions!$B$30:$B$50,Assumptions!$C$30:$C$50,0),0)))</f>
        <v>240</v>
      </c>
      <c r="T214" s="16" t="str">
        <f>IF($C214&lt;&gt;"Organisation","",IF(OR($P214&lt;&gt;"",$Q214&lt;&gt;""),"Documented in source - midpoint of annual_intake_low/high",IF($I214="","No confirmed programme - modelled as zero",$N214&amp;" base x "&amp;TEXT(_xlfn.XLOOKUP($G214,Assumptions!$B$13:$B$26,Assumptions!$C$13:$C$26,0),"0.0#")&amp;" sector x "&amp;TEXT(_xlfn.XLOOKUP($I214,Assumptions!$B$30:$B$50,Assumptions!$C$30:$C$50,0),"0.0#")&amp;" mechanism")))</f>
        <v>Mega base x 1.0 sector x 0.6 mechanism</v>
      </c>
      <c r="U214" s="13" t="s">
        <v>222</v>
      </c>
      <c r="V214" s="13" t="s">
        <v>223</v>
      </c>
      <c r="W214" s="13" t="s">
        <v>99</v>
      </c>
      <c r="X214" s="13"/>
    </row>
    <row r="215" spans="1:24" x14ac:dyDescent="0.2">
      <c r="A215" s="13" t="s">
        <v>933</v>
      </c>
      <c r="B215" s="13" t="s">
        <v>934</v>
      </c>
      <c r="C215" s="13" t="s">
        <v>205</v>
      </c>
      <c r="D215" s="13" t="s">
        <v>31</v>
      </c>
      <c r="E215" s="13" t="s">
        <v>40</v>
      </c>
      <c r="F215" s="13" t="s">
        <v>117</v>
      </c>
      <c r="G215" s="13" t="s">
        <v>170</v>
      </c>
      <c r="H215" s="13" t="s">
        <v>935</v>
      </c>
      <c r="I215" s="13" t="s">
        <v>197</v>
      </c>
      <c r="J215" s="13" t="s">
        <v>936</v>
      </c>
      <c r="K215" s="19" t="s">
        <v>1820</v>
      </c>
      <c r="L215" s="17"/>
      <c r="M215" s="17"/>
      <c r="N215" s="13" t="s">
        <v>218</v>
      </c>
      <c r="O215" s="13" t="s">
        <v>209</v>
      </c>
      <c r="P215" s="16"/>
      <c r="Q215" s="16"/>
      <c r="R215" s="16"/>
      <c r="S215" s="21">
        <f>IF($C215&lt;&gt;"Organisation","",IF(OR($P215&lt;&gt;"",$Q215&lt;&gt;""),IF($P215&lt;&gt;"",IF($Q215&lt;&gt;"",($P215+$Q215)/2,$P215),$Q215),ROUND(_xlfn.XLOOKUP($N215,Assumptions!$B$5:$B$9,Assumptions!$C$5:$C$9,0)*_xlfn.XLOOKUP($G215,Assumptions!$B$13:$B$26,Assumptions!$C$13:$C$26,0)*_xlfn.XLOOKUP($I215,Assumptions!$B$30:$B$50,Assumptions!$C$30:$C$50,0),0)))</f>
        <v>100</v>
      </c>
      <c r="T215" s="16" t="str">
        <f>IF($C215&lt;&gt;"Organisation","",IF(OR($P215&lt;&gt;"",$Q215&lt;&gt;""),"Documented in source - midpoint of annual_intake_low/high",IF($I215="","No confirmed programme - modelled as zero",$N215&amp;" base x "&amp;TEXT(_xlfn.XLOOKUP($G215,Assumptions!$B$13:$B$26,Assumptions!$C$13:$C$26,0),"0.0#")&amp;" sector x "&amp;TEXT(_xlfn.XLOOKUP($I215,Assumptions!$B$30:$B$50,Assumptions!$C$30:$C$50,0),"0.0#")&amp;" mechanism")))</f>
        <v>Mega base x 1.0 sector x 0.25 mechanism</v>
      </c>
      <c r="U215" s="13" t="s">
        <v>210</v>
      </c>
      <c r="V215" s="13" t="s">
        <v>211</v>
      </c>
      <c r="W215" s="13" t="s">
        <v>99</v>
      </c>
      <c r="X215" s="13"/>
    </row>
    <row r="216" spans="1:24" x14ac:dyDescent="0.2">
      <c r="A216" s="13" t="s">
        <v>937</v>
      </c>
      <c r="B216" s="13" t="s">
        <v>938</v>
      </c>
      <c r="C216" s="13" t="s">
        <v>205</v>
      </c>
      <c r="D216" s="13" t="s">
        <v>31</v>
      </c>
      <c r="E216" s="13" t="s">
        <v>40</v>
      </c>
      <c r="F216" s="13" t="s">
        <v>117</v>
      </c>
      <c r="G216" s="13" t="s">
        <v>166</v>
      </c>
      <c r="H216" s="13" t="s">
        <v>939</v>
      </c>
      <c r="I216" s="13" t="s">
        <v>198</v>
      </c>
      <c r="J216" s="13" t="s">
        <v>940</v>
      </c>
      <c r="K216" s="19" t="s">
        <v>1815</v>
      </c>
      <c r="L216" s="17"/>
      <c r="M216" s="17"/>
      <c r="N216" s="13" t="s">
        <v>208</v>
      </c>
      <c r="O216" s="13" t="s">
        <v>209</v>
      </c>
      <c r="P216" s="16"/>
      <c r="Q216" s="16"/>
      <c r="R216" s="16"/>
      <c r="S216" s="21">
        <f>IF($C216&lt;&gt;"Organisation","",IF(OR($P216&lt;&gt;"",$Q216&lt;&gt;""),IF($P216&lt;&gt;"",IF($Q216&lt;&gt;"",($P216+$Q216)/2,$P216),$Q216),ROUND(_xlfn.XLOOKUP($N216,Assumptions!$B$5:$B$9,Assumptions!$C$5:$C$9,0)*_xlfn.XLOOKUP($G216,Assumptions!$B$13:$B$26,Assumptions!$C$13:$C$26,0)*_xlfn.XLOOKUP($I216,Assumptions!$B$30:$B$50,Assumptions!$C$30:$C$50,0),0)))</f>
        <v>77</v>
      </c>
      <c r="T216" s="16" t="str">
        <f>IF($C216&lt;&gt;"Organisation","",IF(OR($P216&lt;&gt;"",$Q216&lt;&gt;""),"Documented in source - midpoint of annual_intake_low/high",IF($I216="","No confirmed programme - modelled as zero",$N216&amp;" base x "&amp;TEXT(_xlfn.XLOOKUP($G216,Assumptions!$B$13:$B$26,Assumptions!$C$13:$C$26,0),"0.0#")&amp;" sector x "&amp;TEXT(_xlfn.XLOOKUP($I216,Assumptions!$B$30:$B$50,Assumptions!$C$30:$C$50,0),"0.0#")&amp;" mechanism")))</f>
        <v>Large base x 0.8 sector x 0.8 mechanism</v>
      </c>
      <c r="U216" s="13" t="s">
        <v>210</v>
      </c>
      <c r="V216" s="13" t="s">
        <v>211</v>
      </c>
      <c r="W216" s="13" t="s">
        <v>99</v>
      </c>
      <c r="X216" s="13"/>
    </row>
    <row r="217" spans="1:24" x14ac:dyDescent="0.2">
      <c r="A217" s="13" t="s">
        <v>941</v>
      </c>
      <c r="B217" s="13" t="s">
        <v>942</v>
      </c>
      <c r="C217" s="13" t="s">
        <v>205</v>
      </c>
      <c r="D217" s="13" t="s">
        <v>31</v>
      </c>
      <c r="E217" s="13" t="s">
        <v>40</v>
      </c>
      <c r="F217" s="13" t="s">
        <v>117</v>
      </c>
      <c r="G217" s="13" t="s">
        <v>190</v>
      </c>
      <c r="H217" s="13" t="s">
        <v>943</v>
      </c>
      <c r="I217" s="13" t="s">
        <v>197</v>
      </c>
      <c r="J217" s="13" t="s">
        <v>944</v>
      </c>
      <c r="K217" s="19" t="s">
        <v>1815</v>
      </c>
      <c r="L217" s="17"/>
      <c r="M217" s="17"/>
      <c r="N217" s="13" t="s">
        <v>244</v>
      </c>
      <c r="O217" s="13" t="s">
        <v>209</v>
      </c>
      <c r="P217" s="16"/>
      <c r="Q217" s="16"/>
      <c r="R217" s="16"/>
      <c r="S217" s="21">
        <f>IF($C217&lt;&gt;"Organisation","",IF(OR($P217&lt;&gt;"",$Q217&lt;&gt;""),IF($P217&lt;&gt;"",IF($Q217&lt;&gt;"",($P217+$Q217)/2,$P217),$Q217),ROUND(_xlfn.XLOOKUP($N217,Assumptions!$B$5:$B$9,Assumptions!$C$5:$C$9,0)*_xlfn.XLOOKUP($G217,Assumptions!$B$13:$B$26,Assumptions!$C$13:$C$26,0)*_xlfn.XLOOKUP($I217,Assumptions!$B$30:$B$50,Assumptions!$C$30:$C$50,0),0)))</f>
        <v>6</v>
      </c>
      <c r="T217" s="16" t="str">
        <f>IF($C217&lt;&gt;"Organisation","",IF(OR($P217&lt;&gt;"",$Q217&lt;&gt;""),"Documented in source - midpoint of annual_intake_low/high",IF($I217="","No confirmed programme - modelled as zero",$N217&amp;" base x "&amp;TEXT(_xlfn.XLOOKUP($G217,Assumptions!$B$13:$B$26,Assumptions!$C$13:$C$26,0),"0.0#")&amp;" sector x "&amp;TEXT(_xlfn.XLOOKUP($I217,Assumptions!$B$30:$B$50,Assumptions!$C$30:$C$50,0),"0.0#")&amp;" mechanism")))</f>
        <v>Mid base x 0.8 sector x 0.25 mechanism</v>
      </c>
      <c r="U217" s="13" t="s">
        <v>210</v>
      </c>
      <c r="V217" s="13" t="s">
        <v>211</v>
      </c>
      <c r="W217" s="13" t="s">
        <v>99</v>
      </c>
      <c r="X217" s="13"/>
    </row>
    <row r="218" spans="1:24" x14ac:dyDescent="0.2">
      <c r="A218" s="13" t="s">
        <v>945</v>
      </c>
      <c r="B218" s="13" t="s">
        <v>946</v>
      </c>
      <c r="C218" s="13" t="s">
        <v>205</v>
      </c>
      <c r="D218" s="13" t="s">
        <v>31</v>
      </c>
      <c r="E218" s="13" t="s">
        <v>40</v>
      </c>
      <c r="F218" s="13" t="s">
        <v>117</v>
      </c>
      <c r="G218" s="13" t="s">
        <v>188</v>
      </c>
      <c r="H218" s="13" t="s">
        <v>947</v>
      </c>
      <c r="I218" s="13" t="s">
        <v>198</v>
      </c>
      <c r="J218" s="13" t="s">
        <v>948</v>
      </c>
      <c r="K218" s="19" t="s">
        <v>1815</v>
      </c>
      <c r="L218" s="17"/>
      <c r="M218" s="17"/>
      <c r="N218" s="13" t="s">
        <v>208</v>
      </c>
      <c r="O218" s="13" t="s">
        <v>209</v>
      </c>
      <c r="P218" s="16"/>
      <c r="Q218" s="16"/>
      <c r="R218" s="16"/>
      <c r="S218" s="21">
        <f>IF($C218&lt;&gt;"Organisation","",IF(OR($P218&lt;&gt;"",$Q218&lt;&gt;""),IF($P218&lt;&gt;"",IF($Q218&lt;&gt;"",($P218+$Q218)/2,$P218),$Q218),ROUND(_xlfn.XLOOKUP($N218,Assumptions!$B$5:$B$9,Assumptions!$C$5:$C$9,0)*_xlfn.XLOOKUP($G218,Assumptions!$B$13:$B$26,Assumptions!$C$13:$C$26,0)*_xlfn.XLOOKUP($I218,Assumptions!$B$30:$B$50,Assumptions!$C$30:$C$50,0),0)))</f>
        <v>96</v>
      </c>
      <c r="T218" s="16" t="str">
        <f>IF($C218&lt;&gt;"Organisation","",IF(OR($P218&lt;&gt;"",$Q218&lt;&gt;""),"Documented in source - midpoint of annual_intake_low/high",IF($I218="","No confirmed programme - modelled as zero",$N218&amp;" base x "&amp;TEXT(_xlfn.XLOOKUP($G218,Assumptions!$B$13:$B$26,Assumptions!$C$13:$C$26,0),"0.0#")&amp;" sector x "&amp;TEXT(_xlfn.XLOOKUP($I218,Assumptions!$B$30:$B$50,Assumptions!$C$30:$C$50,0),"0.0#")&amp;" mechanism")))</f>
        <v>Large base x 1.0 sector x 0.8 mechanism</v>
      </c>
      <c r="U218" s="13" t="s">
        <v>210</v>
      </c>
      <c r="V218" s="13" t="s">
        <v>211</v>
      </c>
      <c r="W218" s="13" t="s">
        <v>99</v>
      </c>
      <c r="X218" s="13"/>
    </row>
    <row r="219" spans="1:24" x14ac:dyDescent="0.2">
      <c r="A219" s="13" t="s">
        <v>949</v>
      </c>
      <c r="B219" s="13" t="s">
        <v>950</v>
      </c>
      <c r="C219" s="13" t="s">
        <v>205</v>
      </c>
      <c r="D219" s="13" t="s">
        <v>31</v>
      </c>
      <c r="E219" s="13" t="s">
        <v>40</v>
      </c>
      <c r="F219" s="13" t="s">
        <v>117</v>
      </c>
      <c r="G219" s="13" t="s">
        <v>170</v>
      </c>
      <c r="H219" s="13" t="s">
        <v>931</v>
      </c>
      <c r="I219" s="13" t="s">
        <v>199</v>
      </c>
      <c r="J219" s="13" t="s">
        <v>951</v>
      </c>
      <c r="K219" s="19" t="s">
        <v>1815</v>
      </c>
      <c r="L219" s="17"/>
      <c r="M219" s="17"/>
      <c r="N219" s="13" t="s">
        <v>218</v>
      </c>
      <c r="O219" s="13" t="s">
        <v>209</v>
      </c>
      <c r="P219" s="16"/>
      <c r="Q219" s="16"/>
      <c r="R219" s="16"/>
      <c r="S219" s="21">
        <f>IF($C219&lt;&gt;"Organisation","",IF(OR($P219&lt;&gt;"",$Q219&lt;&gt;""),IF($P219&lt;&gt;"",IF($Q219&lt;&gt;"",($P219+$Q219)/2,$P219),$Q219),ROUND(_xlfn.XLOOKUP($N219,Assumptions!$B$5:$B$9,Assumptions!$C$5:$C$9,0)*_xlfn.XLOOKUP($G219,Assumptions!$B$13:$B$26,Assumptions!$C$13:$C$26,0)*_xlfn.XLOOKUP($I219,Assumptions!$B$30:$B$50,Assumptions!$C$30:$C$50,0),0)))</f>
        <v>240</v>
      </c>
      <c r="T219" s="16" t="str">
        <f>IF($C219&lt;&gt;"Organisation","",IF(OR($P219&lt;&gt;"",$Q219&lt;&gt;""),"Documented in source - midpoint of annual_intake_low/high",IF($I219="","No confirmed programme - modelled as zero",$N219&amp;" base x "&amp;TEXT(_xlfn.XLOOKUP($G219,Assumptions!$B$13:$B$26,Assumptions!$C$13:$C$26,0),"0.0#")&amp;" sector x "&amp;TEXT(_xlfn.XLOOKUP($I219,Assumptions!$B$30:$B$50,Assumptions!$C$30:$C$50,0),"0.0#")&amp;" mechanism")))</f>
        <v>Mega base x 1.0 sector x 0.6 mechanism</v>
      </c>
      <c r="U219" s="13" t="s">
        <v>222</v>
      </c>
      <c r="V219" s="13" t="s">
        <v>223</v>
      </c>
      <c r="W219" s="13" t="s">
        <v>99</v>
      </c>
      <c r="X219" s="13"/>
    </row>
    <row r="220" spans="1:24" x14ac:dyDescent="0.2">
      <c r="A220" s="13" t="s">
        <v>952</v>
      </c>
      <c r="B220" s="13" t="s">
        <v>953</v>
      </c>
      <c r="C220" s="13" t="s">
        <v>205</v>
      </c>
      <c r="D220" s="13" t="s">
        <v>31</v>
      </c>
      <c r="E220" s="13" t="s">
        <v>42</v>
      </c>
      <c r="F220" s="13" t="s">
        <v>119</v>
      </c>
      <c r="G220" s="13" t="s">
        <v>170</v>
      </c>
      <c r="H220" s="13" t="s">
        <v>42</v>
      </c>
      <c r="I220" s="13" t="s">
        <v>197</v>
      </c>
      <c r="J220" s="13" t="s">
        <v>954</v>
      </c>
      <c r="K220" s="19" t="s">
        <v>1819</v>
      </c>
      <c r="L220" s="17"/>
      <c r="M220" s="17"/>
      <c r="N220" s="13" t="s">
        <v>218</v>
      </c>
      <c r="O220" s="13" t="s">
        <v>209</v>
      </c>
      <c r="P220" s="16"/>
      <c r="Q220" s="16"/>
      <c r="R220" s="16"/>
      <c r="S220" s="21">
        <f>IF($C220&lt;&gt;"Organisation","",IF(OR($P220&lt;&gt;"",$Q220&lt;&gt;""),IF($P220&lt;&gt;"",IF($Q220&lt;&gt;"",($P220+$Q220)/2,$P220),$Q220),ROUND(_xlfn.XLOOKUP($N220,Assumptions!$B$5:$B$9,Assumptions!$C$5:$C$9,0)*_xlfn.XLOOKUP($G220,Assumptions!$B$13:$B$26,Assumptions!$C$13:$C$26,0)*_xlfn.XLOOKUP($I220,Assumptions!$B$30:$B$50,Assumptions!$C$30:$C$50,0),0)))</f>
        <v>100</v>
      </c>
      <c r="T220" s="16" t="str">
        <f>IF($C220&lt;&gt;"Organisation","",IF(OR($P220&lt;&gt;"",$Q220&lt;&gt;""),"Documented in source - midpoint of annual_intake_low/high",IF($I220="","No confirmed programme - modelled as zero",$N220&amp;" base x "&amp;TEXT(_xlfn.XLOOKUP($G220,Assumptions!$B$13:$B$26,Assumptions!$C$13:$C$26,0),"0.0#")&amp;" sector x "&amp;TEXT(_xlfn.XLOOKUP($I220,Assumptions!$B$30:$B$50,Assumptions!$C$30:$C$50,0),"0.0#")&amp;" mechanism")))</f>
        <v>Mega base x 1.0 sector x 0.25 mechanism</v>
      </c>
      <c r="U220" s="13" t="s">
        <v>210</v>
      </c>
      <c r="V220" s="13" t="s">
        <v>211</v>
      </c>
      <c r="W220" s="13" t="s">
        <v>99</v>
      </c>
      <c r="X220" s="13"/>
    </row>
    <row r="221" spans="1:24" x14ac:dyDescent="0.2">
      <c r="A221" s="13" t="s">
        <v>955</v>
      </c>
      <c r="B221" s="13" t="s">
        <v>956</v>
      </c>
      <c r="C221" s="13" t="s">
        <v>205</v>
      </c>
      <c r="D221" s="13" t="s">
        <v>31</v>
      </c>
      <c r="E221" s="13" t="s">
        <v>42</v>
      </c>
      <c r="F221" s="13" t="s">
        <v>119</v>
      </c>
      <c r="G221" s="13" t="s">
        <v>170</v>
      </c>
      <c r="H221" s="13" t="s">
        <v>42</v>
      </c>
      <c r="I221" s="13" t="s">
        <v>197</v>
      </c>
      <c r="J221" s="13" t="s">
        <v>957</v>
      </c>
      <c r="K221" s="19" t="s">
        <v>1815</v>
      </c>
      <c r="L221" s="17"/>
      <c r="M221" s="17"/>
      <c r="N221" s="13" t="s">
        <v>208</v>
      </c>
      <c r="O221" s="13" t="s">
        <v>209</v>
      </c>
      <c r="P221" s="16"/>
      <c r="Q221" s="16"/>
      <c r="R221" s="16"/>
      <c r="S221" s="21">
        <f>IF($C221&lt;&gt;"Organisation","",IF(OR($P221&lt;&gt;"",$Q221&lt;&gt;""),IF($P221&lt;&gt;"",IF($Q221&lt;&gt;"",($P221+$Q221)/2,$P221),$Q221),ROUND(_xlfn.XLOOKUP($N221,Assumptions!$B$5:$B$9,Assumptions!$C$5:$C$9,0)*_xlfn.XLOOKUP($G221,Assumptions!$B$13:$B$26,Assumptions!$C$13:$C$26,0)*_xlfn.XLOOKUP($I221,Assumptions!$B$30:$B$50,Assumptions!$C$30:$C$50,0),0)))</f>
        <v>30</v>
      </c>
      <c r="T221" s="16" t="str">
        <f>IF($C221&lt;&gt;"Organisation","",IF(OR($P221&lt;&gt;"",$Q221&lt;&gt;""),"Documented in source - midpoint of annual_intake_low/high",IF($I221="","No confirmed programme - modelled as zero",$N221&amp;" base x "&amp;TEXT(_xlfn.XLOOKUP($G221,Assumptions!$B$13:$B$26,Assumptions!$C$13:$C$26,0),"0.0#")&amp;" sector x "&amp;TEXT(_xlfn.XLOOKUP($I221,Assumptions!$B$30:$B$50,Assumptions!$C$30:$C$50,0),"0.0#")&amp;" mechanism")))</f>
        <v>Large base x 1.0 sector x 0.25 mechanism</v>
      </c>
      <c r="U221" s="13" t="s">
        <v>210</v>
      </c>
      <c r="V221" s="13" t="s">
        <v>211</v>
      </c>
      <c r="W221" s="13" t="s">
        <v>99</v>
      </c>
      <c r="X221" s="13"/>
    </row>
    <row r="222" spans="1:24" x14ac:dyDescent="0.2">
      <c r="A222" s="13" t="s">
        <v>958</v>
      </c>
      <c r="B222" s="13" t="s">
        <v>959</v>
      </c>
      <c r="C222" s="13" t="s">
        <v>205</v>
      </c>
      <c r="D222" s="13" t="s">
        <v>31</v>
      </c>
      <c r="E222" s="13" t="s">
        <v>42</v>
      </c>
      <c r="F222" s="13" t="s">
        <v>119</v>
      </c>
      <c r="G222" s="13" t="s">
        <v>170</v>
      </c>
      <c r="H222" s="13" t="s">
        <v>42</v>
      </c>
      <c r="K222" s="19" t="s">
        <v>1815</v>
      </c>
      <c r="L222" s="17"/>
      <c r="M222" s="17"/>
      <c r="N222" s="13" t="s">
        <v>208</v>
      </c>
      <c r="O222" s="13" t="s">
        <v>209</v>
      </c>
      <c r="P222" s="16"/>
      <c r="Q222" s="16"/>
      <c r="R222" s="16"/>
      <c r="S222" s="21">
        <f>IF($C222&lt;&gt;"Organisation","",IF(OR($P222&lt;&gt;"",$Q222&lt;&gt;""),IF($P222&lt;&gt;"",IF($Q222&lt;&gt;"",($P222+$Q222)/2,$P222),$Q222),ROUND(_xlfn.XLOOKUP($N222,Assumptions!$B$5:$B$9,Assumptions!$C$5:$C$9,0)*_xlfn.XLOOKUP($G222,Assumptions!$B$13:$B$26,Assumptions!$C$13:$C$26,0)*_xlfn.XLOOKUP($I222,Assumptions!$B$30:$B$50,Assumptions!$C$30:$C$50,0),0)))</f>
        <v>0</v>
      </c>
      <c r="T222" s="16" t="str">
        <f>IF($C222&lt;&gt;"Organisation","",IF(OR($P222&lt;&gt;"",$Q222&lt;&gt;""),"Documented in source - midpoint of annual_intake_low/high",IF($I222="","No confirmed programme - modelled as zero",$N222&amp;" base x "&amp;TEXT(_xlfn.XLOOKUP($G222,Assumptions!$B$13:$B$26,Assumptions!$C$13:$C$26,0),"0.0#")&amp;" sector x "&amp;TEXT(_xlfn.XLOOKUP($I222,Assumptions!$B$30:$B$50,Assumptions!$C$30:$C$50,0),"0.0#")&amp;" mechanism")))</f>
        <v>No confirmed programme - modelled as zero</v>
      </c>
      <c r="U222" s="13" t="s">
        <v>230</v>
      </c>
      <c r="V222" s="13" t="s">
        <v>231</v>
      </c>
      <c r="W222" s="13" t="s">
        <v>99</v>
      </c>
      <c r="X222" s="13"/>
    </row>
    <row r="223" spans="1:24" x14ac:dyDescent="0.2">
      <c r="A223" s="13" t="s">
        <v>960</v>
      </c>
      <c r="B223" s="13" t="s">
        <v>961</v>
      </c>
      <c r="C223" s="13" t="s">
        <v>205</v>
      </c>
      <c r="D223" s="13" t="s">
        <v>31</v>
      </c>
      <c r="E223" s="13" t="s">
        <v>42</v>
      </c>
      <c r="F223" s="13" t="s">
        <v>119</v>
      </c>
      <c r="G223" s="13" t="s">
        <v>170</v>
      </c>
      <c r="H223" s="13" t="s">
        <v>962</v>
      </c>
      <c r="I223" s="13" t="s">
        <v>198</v>
      </c>
      <c r="J223" s="13" t="s">
        <v>963</v>
      </c>
      <c r="K223" s="19" t="s">
        <v>1815</v>
      </c>
      <c r="L223" s="17"/>
      <c r="M223" s="17"/>
      <c r="N223" s="13" t="s">
        <v>218</v>
      </c>
      <c r="O223" s="13" t="s">
        <v>209</v>
      </c>
      <c r="P223" s="16"/>
      <c r="Q223" s="16"/>
      <c r="R223" s="16"/>
      <c r="S223" s="21">
        <f>IF($C223&lt;&gt;"Organisation","",IF(OR($P223&lt;&gt;"",$Q223&lt;&gt;""),IF($P223&lt;&gt;"",IF($Q223&lt;&gt;"",($P223+$Q223)/2,$P223),$Q223),ROUND(_xlfn.XLOOKUP($N223,Assumptions!$B$5:$B$9,Assumptions!$C$5:$C$9,0)*_xlfn.XLOOKUP($G223,Assumptions!$B$13:$B$26,Assumptions!$C$13:$C$26,0)*_xlfn.XLOOKUP($I223,Assumptions!$B$30:$B$50,Assumptions!$C$30:$C$50,0),0)))</f>
        <v>320</v>
      </c>
      <c r="T223" s="16" t="str">
        <f>IF($C223&lt;&gt;"Organisation","",IF(OR($P223&lt;&gt;"",$Q223&lt;&gt;""),"Documented in source - midpoint of annual_intake_low/high",IF($I223="","No confirmed programme - modelled as zero",$N223&amp;" base x "&amp;TEXT(_xlfn.XLOOKUP($G223,Assumptions!$B$13:$B$26,Assumptions!$C$13:$C$26,0),"0.0#")&amp;" sector x "&amp;TEXT(_xlfn.XLOOKUP($I223,Assumptions!$B$30:$B$50,Assumptions!$C$30:$C$50,0),"0.0#")&amp;" mechanism")))</f>
        <v>Mega base x 1.0 sector x 0.8 mechanism</v>
      </c>
      <c r="U223" s="13" t="s">
        <v>230</v>
      </c>
      <c r="V223" s="13" t="s">
        <v>231</v>
      </c>
      <c r="W223" s="13" t="s">
        <v>99</v>
      </c>
      <c r="X223" s="13"/>
    </row>
    <row r="224" spans="1:24" x14ac:dyDescent="0.2">
      <c r="A224" s="13" t="s">
        <v>964</v>
      </c>
      <c r="B224" s="13" t="s">
        <v>965</v>
      </c>
      <c r="C224" s="13" t="s">
        <v>205</v>
      </c>
      <c r="D224" s="13" t="s">
        <v>31</v>
      </c>
      <c r="E224" s="13" t="s">
        <v>44</v>
      </c>
      <c r="F224" s="13" t="s">
        <v>123</v>
      </c>
      <c r="G224" s="13" t="s">
        <v>170</v>
      </c>
      <c r="H224" s="13" t="s">
        <v>44</v>
      </c>
      <c r="I224" s="13" t="s">
        <v>198</v>
      </c>
      <c r="J224" s="13" t="s">
        <v>966</v>
      </c>
      <c r="K224" s="19" t="s">
        <v>1815</v>
      </c>
      <c r="L224" s="17"/>
      <c r="M224" s="17"/>
      <c r="N224" s="13" t="s">
        <v>208</v>
      </c>
      <c r="O224" s="13" t="s">
        <v>209</v>
      </c>
      <c r="P224" s="16"/>
      <c r="Q224" s="16"/>
      <c r="R224" s="16"/>
      <c r="S224" s="21">
        <f>IF($C224&lt;&gt;"Organisation","",IF(OR($P224&lt;&gt;"",$Q224&lt;&gt;""),IF($P224&lt;&gt;"",IF($Q224&lt;&gt;"",($P224+$Q224)/2,$P224),$Q224),ROUND(_xlfn.XLOOKUP($N224,Assumptions!$B$5:$B$9,Assumptions!$C$5:$C$9,0)*_xlfn.XLOOKUP($G224,Assumptions!$B$13:$B$26,Assumptions!$C$13:$C$26,0)*_xlfn.XLOOKUP($I224,Assumptions!$B$30:$B$50,Assumptions!$C$30:$C$50,0),0)))</f>
        <v>96</v>
      </c>
      <c r="T224" s="16" t="str">
        <f>IF($C224&lt;&gt;"Organisation","",IF(OR($P224&lt;&gt;"",$Q224&lt;&gt;""),"Documented in source - midpoint of annual_intake_low/high",IF($I224="","No confirmed programme - modelled as zero",$N224&amp;" base x "&amp;TEXT(_xlfn.XLOOKUP($G224,Assumptions!$B$13:$B$26,Assumptions!$C$13:$C$26,0),"0.0#")&amp;" sector x "&amp;TEXT(_xlfn.XLOOKUP($I224,Assumptions!$B$30:$B$50,Assumptions!$C$30:$C$50,0),"0.0#")&amp;" mechanism")))</f>
        <v>Large base x 1.0 sector x 0.8 mechanism</v>
      </c>
      <c r="U224" s="13" t="s">
        <v>210</v>
      </c>
      <c r="V224" s="13" t="s">
        <v>211</v>
      </c>
      <c r="W224" s="13" t="s">
        <v>80</v>
      </c>
      <c r="X224" s="13"/>
    </row>
    <row r="225" spans="1:24" x14ac:dyDescent="0.2">
      <c r="A225" s="13" t="s">
        <v>967</v>
      </c>
      <c r="B225" s="13" t="s">
        <v>968</v>
      </c>
      <c r="C225" s="13" t="s">
        <v>205</v>
      </c>
      <c r="D225" s="13" t="s">
        <v>31</v>
      </c>
      <c r="E225" s="13" t="s">
        <v>44</v>
      </c>
      <c r="F225" s="13" t="s">
        <v>121</v>
      </c>
      <c r="G225" s="13" t="s">
        <v>170</v>
      </c>
      <c r="H225" s="13" t="s">
        <v>44</v>
      </c>
      <c r="J225" s="13" t="s">
        <v>969</v>
      </c>
      <c r="K225" s="19" t="s">
        <v>1815</v>
      </c>
      <c r="L225" s="17"/>
      <c r="M225" s="17"/>
      <c r="N225" s="13" t="s">
        <v>208</v>
      </c>
      <c r="O225" s="13" t="s">
        <v>209</v>
      </c>
      <c r="P225" s="16"/>
      <c r="Q225" s="16"/>
      <c r="R225" s="16"/>
      <c r="S225" s="21">
        <f>IF($C225&lt;&gt;"Organisation","",IF(OR($P225&lt;&gt;"",$Q225&lt;&gt;""),IF($P225&lt;&gt;"",IF($Q225&lt;&gt;"",($P225+$Q225)/2,$P225),$Q225),ROUND(_xlfn.XLOOKUP($N225,Assumptions!$B$5:$B$9,Assumptions!$C$5:$C$9,0)*_xlfn.XLOOKUP($G225,Assumptions!$B$13:$B$26,Assumptions!$C$13:$C$26,0)*_xlfn.XLOOKUP($I225,Assumptions!$B$30:$B$50,Assumptions!$C$30:$C$50,0),0)))</f>
        <v>0</v>
      </c>
      <c r="T225" s="16" t="str">
        <f>IF($C225&lt;&gt;"Organisation","",IF(OR($P225&lt;&gt;"",$Q225&lt;&gt;""),"Documented in source - midpoint of annual_intake_low/high",IF($I225="","No confirmed programme - modelled as zero",$N225&amp;" base x "&amp;TEXT(_xlfn.XLOOKUP($G225,Assumptions!$B$13:$B$26,Assumptions!$C$13:$C$26,0),"0.0#")&amp;" sector x "&amp;TEXT(_xlfn.XLOOKUP($I225,Assumptions!$B$30:$B$50,Assumptions!$C$30:$C$50,0),"0.0#")&amp;" mechanism")))</f>
        <v>No confirmed programme - modelled as zero</v>
      </c>
      <c r="U225" s="13" t="s">
        <v>222</v>
      </c>
      <c r="V225" s="13" t="s">
        <v>223</v>
      </c>
      <c r="W225" s="13" t="s">
        <v>80</v>
      </c>
      <c r="X225" s="13"/>
    </row>
    <row r="226" spans="1:24" x14ac:dyDescent="0.2">
      <c r="A226" s="13" t="s">
        <v>970</v>
      </c>
      <c r="B226" s="13" t="s">
        <v>971</v>
      </c>
      <c r="C226" s="13" t="s">
        <v>205</v>
      </c>
      <c r="D226" s="13" t="s">
        <v>31</v>
      </c>
      <c r="E226" s="13" t="s">
        <v>44</v>
      </c>
      <c r="F226" s="13" t="s">
        <v>121</v>
      </c>
      <c r="G226" s="13" t="s">
        <v>170</v>
      </c>
      <c r="H226" s="13" t="s">
        <v>44</v>
      </c>
      <c r="J226" s="13" t="s">
        <v>972</v>
      </c>
      <c r="K226" s="19" t="s">
        <v>1815</v>
      </c>
      <c r="L226" s="17"/>
      <c r="M226" s="17"/>
      <c r="N226" s="13" t="s">
        <v>208</v>
      </c>
      <c r="O226" s="13" t="s">
        <v>209</v>
      </c>
      <c r="P226" s="16"/>
      <c r="Q226" s="16"/>
      <c r="R226" s="16"/>
      <c r="S226" s="21">
        <f>IF($C226&lt;&gt;"Organisation","",IF(OR($P226&lt;&gt;"",$Q226&lt;&gt;""),IF($P226&lt;&gt;"",IF($Q226&lt;&gt;"",($P226+$Q226)/2,$P226),$Q226),ROUND(_xlfn.XLOOKUP($N226,Assumptions!$B$5:$B$9,Assumptions!$C$5:$C$9,0)*_xlfn.XLOOKUP($G226,Assumptions!$B$13:$B$26,Assumptions!$C$13:$C$26,0)*_xlfn.XLOOKUP($I226,Assumptions!$B$30:$B$50,Assumptions!$C$30:$C$50,0),0)))</f>
        <v>0</v>
      </c>
      <c r="T226" s="16" t="str">
        <f>IF($C226&lt;&gt;"Organisation","",IF(OR($P226&lt;&gt;"",$Q226&lt;&gt;""),"Documented in source - midpoint of annual_intake_low/high",IF($I226="","No confirmed programme - modelled as zero",$N226&amp;" base x "&amp;TEXT(_xlfn.XLOOKUP($G226,Assumptions!$B$13:$B$26,Assumptions!$C$13:$C$26,0),"0.0#")&amp;" sector x "&amp;TEXT(_xlfn.XLOOKUP($I226,Assumptions!$B$30:$B$50,Assumptions!$C$30:$C$50,0),"0.0#")&amp;" mechanism")))</f>
        <v>No confirmed programme - modelled as zero</v>
      </c>
      <c r="U226" s="13" t="s">
        <v>222</v>
      </c>
      <c r="V226" s="13" t="s">
        <v>223</v>
      </c>
      <c r="W226" s="13" t="s">
        <v>80</v>
      </c>
      <c r="X226" s="13"/>
    </row>
    <row r="227" spans="1:24" x14ac:dyDescent="0.2">
      <c r="A227" s="13" t="s">
        <v>973</v>
      </c>
      <c r="B227" s="13" t="s">
        <v>974</v>
      </c>
      <c r="C227" s="13" t="s">
        <v>205</v>
      </c>
      <c r="D227" s="13" t="s">
        <v>31</v>
      </c>
      <c r="E227" s="13" t="s">
        <v>46</v>
      </c>
      <c r="F227" s="13" t="s">
        <v>125</v>
      </c>
      <c r="G227" s="13" t="s">
        <v>170</v>
      </c>
      <c r="H227" s="13" t="s">
        <v>46</v>
      </c>
      <c r="I227" s="13" t="s">
        <v>197</v>
      </c>
      <c r="J227" s="13" t="s">
        <v>975</v>
      </c>
      <c r="K227" s="19" t="s">
        <v>1815</v>
      </c>
      <c r="L227" s="17"/>
      <c r="M227" s="17"/>
      <c r="N227" s="13" t="s">
        <v>208</v>
      </c>
      <c r="O227" s="13" t="s">
        <v>209</v>
      </c>
      <c r="P227" s="16"/>
      <c r="Q227" s="16"/>
      <c r="R227" s="16"/>
      <c r="S227" s="21">
        <f>IF($C227&lt;&gt;"Organisation","",IF(OR($P227&lt;&gt;"",$Q227&lt;&gt;""),IF($P227&lt;&gt;"",IF($Q227&lt;&gt;"",($P227+$Q227)/2,$P227),$Q227),ROUND(_xlfn.XLOOKUP($N227,Assumptions!$B$5:$B$9,Assumptions!$C$5:$C$9,0)*_xlfn.XLOOKUP($G227,Assumptions!$B$13:$B$26,Assumptions!$C$13:$C$26,0)*_xlfn.XLOOKUP($I227,Assumptions!$B$30:$B$50,Assumptions!$C$30:$C$50,0),0)))</f>
        <v>30</v>
      </c>
      <c r="T227" s="16" t="str">
        <f>IF($C227&lt;&gt;"Organisation","",IF(OR($P227&lt;&gt;"",$Q227&lt;&gt;""),"Documented in source - midpoint of annual_intake_low/high",IF($I227="","No confirmed programme - modelled as zero",$N227&amp;" base x "&amp;TEXT(_xlfn.XLOOKUP($G227,Assumptions!$B$13:$B$26,Assumptions!$C$13:$C$26,0),"0.0#")&amp;" sector x "&amp;TEXT(_xlfn.XLOOKUP($I227,Assumptions!$B$30:$B$50,Assumptions!$C$30:$C$50,0),"0.0#")&amp;" mechanism")))</f>
        <v>Large base x 1.0 sector x 0.25 mechanism</v>
      </c>
      <c r="U227" s="13" t="s">
        <v>222</v>
      </c>
      <c r="V227" s="13" t="s">
        <v>223</v>
      </c>
      <c r="W227" s="13" t="s">
        <v>99</v>
      </c>
      <c r="X227" s="13"/>
    </row>
    <row r="228" spans="1:24" x14ac:dyDescent="0.2">
      <c r="A228" s="13" t="s">
        <v>976</v>
      </c>
      <c r="B228" s="13" t="s">
        <v>977</v>
      </c>
      <c r="C228" s="13" t="s">
        <v>205</v>
      </c>
      <c r="D228" s="13" t="s">
        <v>31</v>
      </c>
      <c r="E228" s="13" t="s">
        <v>46</v>
      </c>
      <c r="F228" s="13" t="s">
        <v>125</v>
      </c>
      <c r="G228" s="13" t="s">
        <v>170</v>
      </c>
      <c r="H228" s="13" t="s">
        <v>46</v>
      </c>
      <c r="K228" s="19" t="s">
        <v>1815</v>
      </c>
      <c r="L228" s="17"/>
      <c r="M228" s="17"/>
      <c r="N228" s="13" t="s">
        <v>208</v>
      </c>
      <c r="O228" s="13" t="s">
        <v>209</v>
      </c>
      <c r="P228" s="16"/>
      <c r="Q228" s="16"/>
      <c r="R228" s="16"/>
      <c r="S228" s="21">
        <f>IF($C228&lt;&gt;"Organisation","",IF(OR($P228&lt;&gt;"",$Q228&lt;&gt;""),IF($P228&lt;&gt;"",IF($Q228&lt;&gt;"",($P228+$Q228)/2,$P228),$Q228),ROUND(_xlfn.XLOOKUP($N228,Assumptions!$B$5:$B$9,Assumptions!$C$5:$C$9,0)*_xlfn.XLOOKUP($G228,Assumptions!$B$13:$B$26,Assumptions!$C$13:$C$26,0)*_xlfn.XLOOKUP($I228,Assumptions!$B$30:$B$50,Assumptions!$C$30:$C$50,0),0)))</f>
        <v>0</v>
      </c>
      <c r="T228" s="16" t="str">
        <f>IF($C228&lt;&gt;"Organisation","",IF(OR($P228&lt;&gt;"",$Q228&lt;&gt;""),"Documented in source - midpoint of annual_intake_low/high",IF($I228="","No confirmed programme - modelled as zero",$N228&amp;" base x "&amp;TEXT(_xlfn.XLOOKUP($G228,Assumptions!$B$13:$B$26,Assumptions!$C$13:$C$26,0),"0.0#")&amp;" sector x "&amp;TEXT(_xlfn.XLOOKUP($I228,Assumptions!$B$30:$B$50,Assumptions!$C$30:$C$50,0),"0.0#")&amp;" mechanism")))</f>
        <v>No confirmed programme - modelled as zero</v>
      </c>
      <c r="U228" s="13" t="s">
        <v>230</v>
      </c>
      <c r="V228" s="13" t="s">
        <v>231</v>
      </c>
      <c r="W228" s="13" t="s">
        <v>99</v>
      </c>
      <c r="X228" s="13"/>
    </row>
    <row r="229" spans="1:24" x14ac:dyDescent="0.2">
      <c r="A229" s="13" t="s">
        <v>978</v>
      </c>
      <c r="B229" s="13" t="s">
        <v>979</v>
      </c>
      <c r="C229" s="13" t="s">
        <v>205</v>
      </c>
      <c r="D229" s="13" t="s">
        <v>31</v>
      </c>
      <c r="E229" s="13" t="s">
        <v>46</v>
      </c>
      <c r="F229" s="13" t="s">
        <v>125</v>
      </c>
      <c r="G229" s="13" t="s">
        <v>170</v>
      </c>
      <c r="H229" s="13" t="s">
        <v>980</v>
      </c>
      <c r="I229" s="13" t="s">
        <v>197</v>
      </c>
      <c r="J229" s="13" t="s">
        <v>981</v>
      </c>
      <c r="K229" s="19" t="s">
        <v>1815</v>
      </c>
      <c r="L229" s="17"/>
      <c r="M229" s="17"/>
      <c r="N229" s="13" t="s">
        <v>208</v>
      </c>
      <c r="O229" s="13" t="s">
        <v>209</v>
      </c>
      <c r="P229" s="16"/>
      <c r="Q229" s="16"/>
      <c r="R229" s="16"/>
      <c r="S229" s="21">
        <f>IF($C229&lt;&gt;"Organisation","",IF(OR($P229&lt;&gt;"",$Q229&lt;&gt;""),IF($P229&lt;&gt;"",IF($Q229&lt;&gt;"",($P229+$Q229)/2,$P229),$Q229),ROUND(_xlfn.XLOOKUP($N229,Assumptions!$B$5:$B$9,Assumptions!$C$5:$C$9,0)*_xlfn.XLOOKUP($G229,Assumptions!$B$13:$B$26,Assumptions!$C$13:$C$26,0)*_xlfn.XLOOKUP($I229,Assumptions!$B$30:$B$50,Assumptions!$C$30:$C$50,0),0)))</f>
        <v>30</v>
      </c>
      <c r="T229" s="16" t="str">
        <f>IF($C229&lt;&gt;"Organisation","",IF(OR($P229&lt;&gt;"",$Q229&lt;&gt;""),"Documented in source - midpoint of annual_intake_low/high",IF($I229="","No confirmed programme - modelled as zero",$N229&amp;" base x "&amp;TEXT(_xlfn.XLOOKUP($G229,Assumptions!$B$13:$B$26,Assumptions!$C$13:$C$26,0),"0.0#")&amp;" sector x "&amp;TEXT(_xlfn.XLOOKUP($I229,Assumptions!$B$30:$B$50,Assumptions!$C$30:$C$50,0),"0.0#")&amp;" mechanism")))</f>
        <v>Large base x 1.0 sector x 0.25 mechanism</v>
      </c>
      <c r="U229" s="13" t="s">
        <v>230</v>
      </c>
      <c r="V229" s="13" t="s">
        <v>231</v>
      </c>
      <c r="W229" s="13" t="s">
        <v>99</v>
      </c>
      <c r="X229" s="13"/>
    </row>
    <row r="230" spans="1:24" x14ac:dyDescent="0.2">
      <c r="A230" s="13" t="s">
        <v>982</v>
      </c>
      <c r="B230" s="13" t="s">
        <v>983</v>
      </c>
      <c r="C230" s="13" t="s">
        <v>205</v>
      </c>
      <c r="D230" s="13" t="s">
        <v>31</v>
      </c>
      <c r="E230" s="13" t="s">
        <v>48</v>
      </c>
      <c r="F230" s="13" t="s">
        <v>127</v>
      </c>
      <c r="G230" s="13" t="s">
        <v>170</v>
      </c>
      <c r="H230" s="13" t="s">
        <v>48</v>
      </c>
      <c r="I230" s="13" t="s">
        <v>197</v>
      </c>
      <c r="J230" s="13" t="s">
        <v>984</v>
      </c>
      <c r="K230" s="19" t="s">
        <v>1821</v>
      </c>
      <c r="L230" s="17"/>
      <c r="M230" s="17"/>
      <c r="N230" s="13" t="s">
        <v>208</v>
      </c>
      <c r="O230" s="13" t="s">
        <v>209</v>
      </c>
      <c r="P230" s="16"/>
      <c r="Q230" s="16"/>
      <c r="R230" s="16"/>
      <c r="S230" s="21">
        <f>IF($C230&lt;&gt;"Organisation","",IF(OR($P230&lt;&gt;"",$Q230&lt;&gt;""),IF($P230&lt;&gt;"",IF($Q230&lt;&gt;"",($P230+$Q230)/2,$P230),$Q230),ROUND(_xlfn.XLOOKUP($N230,Assumptions!$B$5:$B$9,Assumptions!$C$5:$C$9,0)*_xlfn.XLOOKUP($G230,Assumptions!$B$13:$B$26,Assumptions!$C$13:$C$26,0)*_xlfn.XLOOKUP($I230,Assumptions!$B$30:$B$50,Assumptions!$C$30:$C$50,0),0)))</f>
        <v>30</v>
      </c>
      <c r="T230" s="16" t="str">
        <f>IF($C230&lt;&gt;"Organisation","",IF(OR($P230&lt;&gt;"",$Q230&lt;&gt;""),"Documented in source - midpoint of annual_intake_low/high",IF($I230="","No confirmed programme - modelled as zero",$N230&amp;" base x "&amp;TEXT(_xlfn.XLOOKUP($G230,Assumptions!$B$13:$B$26,Assumptions!$C$13:$C$26,0),"0.0#")&amp;" sector x "&amp;TEXT(_xlfn.XLOOKUP($I230,Assumptions!$B$30:$B$50,Assumptions!$C$30:$C$50,0),"0.0#")&amp;" mechanism")))</f>
        <v>Large base x 1.0 sector x 0.25 mechanism</v>
      </c>
      <c r="U230" s="13" t="s">
        <v>210</v>
      </c>
      <c r="V230" s="13" t="s">
        <v>211</v>
      </c>
      <c r="W230" s="13" t="s">
        <v>80</v>
      </c>
      <c r="X230" s="13"/>
    </row>
    <row r="231" spans="1:24" x14ac:dyDescent="0.2">
      <c r="A231" s="13" t="s">
        <v>985</v>
      </c>
      <c r="B231" s="13" t="s">
        <v>986</v>
      </c>
      <c r="C231" s="13" t="s">
        <v>205</v>
      </c>
      <c r="D231" s="13" t="s">
        <v>31</v>
      </c>
      <c r="E231" s="13" t="s">
        <v>48</v>
      </c>
      <c r="F231" s="13" t="s">
        <v>127</v>
      </c>
      <c r="G231" s="13" t="s">
        <v>170</v>
      </c>
      <c r="H231" s="13" t="s">
        <v>987</v>
      </c>
      <c r="I231" s="13" t="s">
        <v>197</v>
      </c>
      <c r="J231" s="13" t="s">
        <v>988</v>
      </c>
      <c r="K231" s="19" t="s">
        <v>1815</v>
      </c>
      <c r="L231" s="17"/>
      <c r="M231" s="17"/>
      <c r="N231" s="13" t="s">
        <v>208</v>
      </c>
      <c r="O231" s="13" t="s">
        <v>209</v>
      </c>
      <c r="P231" s="16"/>
      <c r="Q231" s="16"/>
      <c r="R231" s="16"/>
      <c r="S231" s="21">
        <f>IF($C231&lt;&gt;"Organisation","",IF(OR($P231&lt;&gt;"",$Q231&lt;&gt;""),IF($P231&lt;&gt;"",IF($Q231&lt;&gt;"",($P231+$Q231)/2,$P231),$Q231),ROUND(_xlfn.XLOOKUP($N231,Assumptions!$B$5:$B$9,Assumptions!$C$5:$C$9,0)*_xlfn.XLOOKUP($G231,Assumptions!$B$13:$B$26,Assumptions!$C$13:$C$26,0)*_xlfn.XLOOKUP($I231,Assumptions!$B$30:$B$50,Assumptions!$C$30:$C$50,0),0)))</f>
        <v>30</v>
      </c>
      <c r="T231" s="16" t="str">
        <f>IF($C231&lt;&gt;"Organisation","",IF(OR($P231&lt;&gt;"",$Q231&lt;&gt;""),"Documented in source - midpoint of annual_intake_low/high",IF($I231="","No confirmed programme - modelled as zero",$N231&amp;" base x "&amp;TEXT(_xlfn.XLOOKUP($G231,Assumptions!$B$13:$B$26,Assumptions!$C$13:$C$26,0),"0.0#")&amp;" sector x "&amp;TEXT(_xlfn.XLOOKUP($I231,Assumptions!$B$30:$B$50,Assumptions!$C$30:$C$50,0),"0.0#")&amp;" mechanism")))</f>
        <v>Large base x 1.0 sector x 0.25 mechanism</v>
      </c>
      <c r="U231" s="13" t="s">
        <v>230</v>
      </c>
      <c r="V231" s="13" t="s">
        <v>231</v>
      </c>
      <c r="W231" s="13" t="s">
        <v>80</v>
      </c>
      <c r="X231" s="13"/>
    </row>
    <row r="232" spans="1:24" x14ac:dyDescent="0.2">
      <c r="A232" s="13" t="s">
        <v>989</v>
      </c>
      <c r="B232" s="13" t="s">
        <v>990</v>
      </c>
      <c r="C232" s="13" t="s">
        <v>205</v>
      </c>
      <c r="D232" s="13" t="s">
        <v>31</v>
      </c>
      <c r="E232" s="13" t="s">
        <v>50</v>
      </c>
      <c r="F232" s="13" t="s">
        <v>129</v>
      </c>
      <c r="G232" s="13" t="s">
        <v>170</v>
      </c>
      <c r="H232" s="13" t="s">
        <v>50</v>
      </c>
      <c r="I232" s="13" t="s">
        <v>197</v>
      </c>
      <c r="J232" s="13" t="s">
        <v>991</v>
      </c>
      <c r="K232" s="19" t="s">
        <v>1820</v>
      </c>
      <c r="L232" s="17"/>
      <c r="M232" s="17"/>
      <c r="N232" s="13" t="s">
        <v>208</v>
      </c>
      <c r="O232" s="13" t="s">
        <v>209</v>
      </c>
      <c r="P232" s="16"/>
      <c r="Q232" s="16"/>
      <c r="R232" s="16"/>
      <c r="S232" s="21">
        <f>IF($C232&lt;&gt;"Organisation","",IF(OR($P232&lt;&gt;"",$Q232&lt;&gt;""),IF($P232&lt;&gt;"",IF($Q232&lt;&gt;"",($P232+$Q232)/2,$P232),$Q232),ROUND(_xlfn.XLOOKUP($N232,Assumptions!$B$5:$B$9,Assumptions!$C$5:$C$9,0)*_xlfn.XLOOKUP($G232,Assumptions!$B$13:$B$26,Assumptions!$C$13:$C$26,0)*_xlfn.XLOOKUP($I232,Assumptions!$B$30:$B$50,Assumptions!$C$30:$C$50,0),0)))</f>
        <v>30</v>
      </c>
      <c r="T232" s="16" t="str">
        <f>IF($C232&lt;&gt;"Organisation","",IF(OR($P232&lt;&gt;"",$Q232&lt;&gt;""),"Documented in source - midpoint of annual_intake_low/high",IF($I232="","No confirmed programme - modelled as zero",$N232&amp;" base x "&amp;TEXT(_xlfn.XLOOKUP($G232,Assumptions!$B$13:$B$26,Assumptions!$C$13:$C$26,0),"0.0#")&amp;" sector x "&amp;TEXT(_xlfn.XLOOKUP($I232,Assumptions!$B$30:$B$50,Assumptions!$C$30:$C$50,0),"0.0#")&amp;" mechanism")))</f>
        <v>Large base x 1.0 sector x 0.25 mechanism</v>
      </c>
      <c r="U232" s="13" t="s">
        <v>222</v>
      </c>
      <c r="V232" s="13" t="s">
        <v>223</v>
      </c>
      <c r="W232" s="13" t="s">
        <v>80</v>
      </c>
      <c r="X232" s="13"/>
    </row>
    <row r="233" spans="1:24" x14ac:dyDescent="0.2">
      <c r="A233" s="13" t="s">
        <v>992</v>
      </c>
      <c r="B233" s="13" t="s">
        <v>993</v>
      </c>
      <c r="C233" s="13" t="s">
        <v>205</v>
      </c>
      <c r="D233" s="13" t="s">
        <v>31</v>
      </c>
      <c r="E233" s="13" t="s">
        <v>50</v>
      </c>
      <c r="F233" s="13" t="s">
        <v>129</v>
      </c>
      <c r="G233" s="13" t="s">
        <v>170</v>
      </c>
      <c r="H233" s="13" t="s">
        <v>994</v>
      </c>
      <c r="I233" s="13" t="s">
        <v>197</v>
      </c>
      <c r="J233" s="13" t="s">
        <v>988</v>
      </c>
      <c r="K233" s="19" t="s">
        <v>1815</v>
      </c>
      <c r="L233" s="17"/>
      <c r="M233" s="17"/>
      <c r="N233" s="13" t="s">
        <v>208</v>
      </c>
      <c r="O233" s="13" t="s">
        <v>209</v>
      </c>
      <c r="P233" s="16"/>
      <c r="Q233" s="16"/>
      <c r="R233" s="16"/>
      <c r="S233" s="21">
        <f>IF($C233&lt;&gt;"Organisation","",IF(OR($P233&lt;&gt;"",$Q233&lt;&gt;""),IF($P233&lt;&gt;"",IF($Q233&lt;&gt;"",($P233+$Q233)/2,$P233),$Q233),ROUND(_xlfn.XLOOKUP($N233,Assumptions!$B$5:$B$9,Assumptions!$C$5:$C$9,0)*_xlfn.XLOOKUP($G233,Assumptions!$B$13:$B$26,Assumptions!$C$13:$C$26,0)*_xlfn.XLOOKUP($I233,Assumptions!$B$30:$B$50,Assumptions!$C$30:$C$50,0),0)))</f>
        <v>30</v>
      </c>
      <c r="T233" s="16" t="str">
        <f>IF($C233&lt;&gt;"Organisation","",IF(OR($P233&lt;&gt;"",$Q233&lt;&gt;""),"Documented in source - midpoint of annual_intake_low/high",IF($I233="","No confirmed programme - modelled as zero",$N233&amp;" base x "&amp;TEXT(_xlfn.XLOOKUP($G233,Assumptions!$B$13:$B$26,Assumptions!$C$13:$C$26,0),"0.0#")&amp;" sector x "&amp;TEXT(_xlfn.XLOOKUP($I233,Assumptions!$B$30:$B$50,Assumptions!$C$30:$C$50,0),"0.0#")&amp;" mechanism")))</f>
        <v>Large base x 1.0 sector x 0.25 mechanism</v>
      </c>
      <c r="U233" s="13" t="s">
        <v>230</v>
      </c>
      <c r="V233" s="13" t="s">
        <v>231</v>
      </c>
      <c r="W233" s="13" t="s">
        <v>80</v>
      </c>
      <c r="X233" s="13"/>
    </row>
    <row r="234" spans="1:24" x14ac:dyDescent="0.2">
      <c r="A234" s="13" t="s">
        <v>995</v>
      </c>
      <c r="B234" s="13" t="s">
        <v>996</v>
      </c>
      <c r="C234" s="13" t="s">
        <v>205</v>
      </c>
      <c r="D234" s="13" t="s">
        <v>31</v>
      </c>
      <c r="E234" s="13" t="s">
        <v>50</v>
      </c>
      <c r="F234" s="13" t="s">
        <v>129</v>
      </c>
      <c r="G234" s="13" t="s">
        <v>170</v>
      </c>
      <c r="H234" s="13" t="s">
        <v>997</v>
      </c>
      <c r="I234" s="13" t="s">
        <v>197</v>
      </c>
      <c r="J234" s="13" t="s">
        <v>981</v>
      </c>
      <c r="K234" s="19" t="s">
        <v>1815</v>
      </c>
      <c r="L234" s="17"/>
      <c r="M234" s="17"/>
      <c r="N234" s="13" t="s">
        <v>208</v>
      </c>
      <c r="O234" s="13" t="s">
        <v>209</v>
      </c>
      <c r="P234" s="16"/>
      <c r="Q234" s="16"/>
      <c r="R234" s="16"/>
      <c r="S234" s="21">
        <f>IF($C234&lt;&gt;"Organisation","",IF(OR($P234&lt;&gt;"",$Q234&lt;&gt;""),IF($P234&lt;&gt;"",IF($Q234&lt;&gt;"",($P234+$Q234)/2,$P234),$Q234),ROUND(_xlfn.XLOOKUP($N234,Assumptions!$B$5:$B$9,Assumptions!$C$5:$C$9,0)*_xlfn.XLOOKUP($G234,Assumptions!$B$13:$B$26,Assumptions!$C$13:$C$26,0)*_xlfn.XLOOKUP($I234,Assumptions!$B$30:$B$50,Assumptions!$C$30:$C$50,0),0)))</f>
        <v>30</v>
      </c>
      <c r="T234" s="16" t="str">
        <f>IF($C234&lt;&gt;"Organisation","",IF(OR($P234&lt;&gt;"",$Q234&lt;&gt;""),"Documented in source - midpoint of annual_intake_low/high",IF($I234="","No confirmed programme - modelled as zero",$N234&amp;" base x "&amp;TEXT(_xlfn.XLOOKUP($G234,Assumptions!$B$13:$B$26,Assumptions!$C$13:$C$26,0),"0.0#")&amp;" sector x "&amp;TEXT(_xlfn.XLOOKUP($I234,Assumptions!$B$30:$B$50,Assumptions!$C$30:$C$50,0),"0.0#")&amp;" mechanism")))</f>
        <v>Large base x 1.0 sector x 0.25 mechanism</v>
      </c>
      <c r="U234" s="13" t="s">
        <v>230</v>
      </c>
      <c r="V234" s="13" t="s">
        <v>231</v>
      </c>
      <c r="W234" s="13" t="s">
        <v>80</v>
      </c>
      <c r="X234" s="13"/>
    </row>
    <row r="235" spans="1:24" x14ac:dyDescent="0.2">
      <c r="A235" s="13" t="s">
        <v>998</v>
      </c>
      <c r="B235" s="13" t="s">
        <v>999</v>
      </c>
      <c r="C235" s="13" t="s">
        <v>205</v>
      </c>
      <c r="D235" s="13" t="s">
        <v>31</v>
      </c>
      <c r="E235" s="13" t="s">
        <v>40</v>
      </c>
      <c r="F235" s="13" t="s">
        <v>117</v>
      </c>
      <c r="G235" s="13" t="s">
        <v>180</v>
      </c>
      <c r="H235" s="13" t="s">
        <v>1000</v>
      </c>
      <c r="I235" s="13" t="s">
        <v>198</v>
      </c>
      <c r="J235" s="13" t="s">
        <v>1001</v>
      </c>
      <c r="K235" s="19" t="s">
        <v>1815</v>
      </c>
      <c r="L235" s="17"/>
      <c r="M235" s="17"/>
      <c r="N235" s="13" t="s">
        <v>218</v>
      </c>
      <c r="O235" s="13" t="s">
        <v>209</v>
      </c>
      <c r="P235" s="16"/>
      <c r="Q235" s="16"/>
      <c r="R235" s="16"/>
      <c r="S235" s="21">
        <f>IF($C235&lt;&gt;"Organisation","",IF(OR($P235&lt;&gt;"",$Q235&lt;&gt;""),IF($P235&lt;&gt;"",IF($Q235&lt;&gt;"",($P235+$Q235)/2,$P235),$Q235),ROUND(_xlfn.XLOOKUP($N235,Assumptions!$B$5:$B$9,Assumptions!$C$5:$C$9,0)*_xlfn.XLOOKUP($G235,Assumptions!$B$13:$B$26,Assumptions!$C$13:$C$26,0)*_xlfn.XLOOKUP($I235,Assumptions!$B$30:$B$50,Assumptions!$C$30:$C$50,0),0)))</f>
        <v>960</v>
      </c>
      <c r="T235" s="16" t="str">
        <f>IF($C235&lt;&gt;"Organisation","",IF(OR($P235&lt;&gt;"",$Q235&lt;&gt;""),"Documented in source - midpoint of annual_intake_low/high",IF($I235="","No confirmed programme - modelled as zero",$N235&amp;" base x "&amp;TEXT(_xlfn.XLOOKUP($G235,Assumptions!$B$13:$B$26,Assumptions!$C$13:$C$26,0),"0.0#")&amp;" sector x "&amp;TEXT(_xlfn.XLOOKUP($I235,Assumptions!$B$30:$B$50,Assumptions!$C$30:$C$50,0),"0.0#")&amp;" mechanism")))</f>
        <v>Mega base x 3.0 sector x 0.8 mechanism</v>
      </c>
      <c r="U235" s="13" t="s">
        <v>222</v>
      </c>
      <c r="V235" s="13" t="s">
        <v>223</v>
      </c>
      <c r="W235" s="13" t="s">
        <v>99</v>
      </c>
      <c r="X235" s="13"/>
    </row>
    <row r="236" spans="1:24" x14ac:dyDescent="0.2">
      <c r="A236" s="13" t="s">
        <v>1002</v>
      </c>
      <c r="B236" s="13" t="s">
        <v>1003</v>
      </c>
      <c r="C236" s="13" t="s">
        <v>205</v>
      </c>
      <c r="D236" s="13" t="s">
        <v>31</v>
      </c>
      <c r="E236" s="13" t="s">
        <v>40</v>
      </c>
      <c r="F236" s="13" t="s">
        <v>117</v>
      </c>
      <c r="G236" s="13" t="s">
        <v>180</v>
      </c>
      <c r="H236" s="13" t="s">
        <v>1004</v>
      </c>
      <c r="I236" s="13" t="s">
        <v>198</v>
      </c>
      <c r="J236" s="13" t="s">
        <v>394</v>
      </c>
      <c r="K236" s="19" t="s">
        <v>1815</v>
      </c>
      <c r="L236" s="17"/>
      <c r="M236" s="17"/>
      <c r="N236" s="13" t="s">
        <v>208</v>
      </c>
      <c r="O236" s="13" t="s">
        <v>209</v>
      </c>
      <c r="P236" s="16"/>
      <c r="Q236" s="16"/>
      <c r="R236" s="16"/>
      <c r="S236" s="21">
        <f>IF($C236&lt;&gt;"Organisation","",IF(OR($P236&lt;&gt;"",$Q236&lt;&gt;""),IF($P236&lt;&gt;"",IF($Q236&lt;&gt;"",($P236+$Q236)/2,$P236),$Q236),ROUND(_xlfn.XLOOKUP($N236,Assumptions!$B$5:$B$9,Assumptions!$C$5:$C$9,0)*_xlfn.XLOOKUP($G236,Assumptions!$B$13:$B$26,Assumptions!$C$13:$C$26,0)*_xlfn.XLOOKUP($I236,Assumptions!$B$30:$B$50,Assumptions!$C$30:$C$50,0),0)))</f>
        <v>288</v>
      </c>
      <c r="T236" s="16" t="str">
        <f>IF($C236&lt;&gt;"Organisation","",IF(OR($P236&lt;&gt;"",$Q236&lt;&gt;""),"Documented in source - midpoint of annual_intake_low/high",IF($I236="","No confirmed programme - modelled as zero",$N236&amp;" base x "&amp;TEXT(_xlfn.XLOOKUP($G236,Assumptions!$B$13:$B$26,Assumptions!$C$13:$C$26,0),"0.0#")&amp;" sector x "&amp;TEXT(_xlfn.XLOOKUP($I236,Assumptions!$B$30:$B$50,Assumptions!$C$30:$C$50,0),"0.0#")&amp;" mechanism")))</f>
        <v>Large base x 3.0 sector x 0.8 mechanism</v>
      </c>
      <c r="U236" s="13" t="s">
        <v>222</v>
      </c>
      <c r="V236" s="13" t="s">
        <v>223</v>
      </c>
      <c r="W236" s="13" t="s">
        <v>99</v>
      </c>
      <c r="X236" s="13"/>
    </row>
    <row r="237" spans="1:24" x14ac:dyDescent="0.2">
      <c r="A237" s="13" t="s">
        <v>1005</v>
      </c>
      <c r="B237" s="13" t="s">
        <v>1006</v>
      </c>
      <c r="C237" s="13" t="s">
        <v>205</v>
      </c>
      <c r="D237" s="13" t="s">
        <v>33</v>
      </c>
      <c r="E237" s="13" t="s">
        <v>52</v>
      </c>
      <c r="F237" s="13" t="s">
        <v>131</v>
      </c>
      <c r="G237" s="13" t="s">
        <v>163</v>
      </c>
      <c r="H237" s="13" t="s">
        <v>1007</v>
      </c>
      <c r="I237" s="13" t="s">
        <v>200</v>
      </c>
      <c r="J237" s="13" t="s">
        <v>1008</v>
      </c>
      <c r="K237" s="19" t="s">
        <v>1815</v>
      </c>
      <c r="L237" s="17"/>
      <c r="M237" s="17"/>
      <c r="N237" s="13" t="s">
        <v>218</v>
      </c>
      <c r="O237" s="13" t="s">
        <v>209</v>
      </c>
      <c r="P237" s="16"/>
      <c r="Q237" s="16"/>
      <c r="R237" s="16"/>
      <c r="S237" s="21">
        <f>IF($C237&lt;&gt;"Organisation","",IF(OR($P237&lt;&gt;"",$Q237&lt;&gt;""),IF($P237&lt;&gt;"",IF($Q237&lt;&gt;"",($P237+$Q237)/2,$P237),$Q237),ROUND(_xlfn.XLOOKUP($N237,Assumptions!$B$5:$B$9,Assumptions!$C$5:$C$9,0)*_xlfn.XLOOKUP($G237,Assumptions!$B$13:$B$26,Assumptions!$C$13:$C$26,0)*_xlfn.XLOOKUP($I237,Assumptions!$B$30:$B$50,Assumptions!$C$30:$C$50,0),0)))</f>
        <v>640</v>
      </c>
      <c r="T237" s="16" t="str">
        <f>IF($C237&lt;&gt;"Organisation","",IF(OR($P237&lt;&gt;"",$Q237&lt;&gt;""),"Documented in source - midpoint of annual_intake_low/high",IF($I237="","No confirmed programme - modelled as zero",$N237&amp;" base x "&amp;TEXT(_xlfn.XLOOKUP($G237,Assumptions!$B$13:$B$26,Assumptions!$C$13:$C$26,0),"0.0#")&amp;" sector x "&amp;TEXT(_xlfn.XLOOKUP($I237,Assumptions!$B$30:$B$50,Assumptions!$C$30:$C$50,0),"0.0#")&amp;" mechanism")))</f>
        <v>Mega base x 2.0 sector x 0.8 mechanism</v>
      </c>
      <c r="U237" s="13" t="s">
        <v>222</v>
      </c>
      <c r="V237" s="13" t="s">
        <v>223</v>
      </c>
      <c r="W237" s="13" t="s">
        <v>99</v>
      </c>
      <c r="X237" s="13"/>
    </row>
    <row r="238" spans="1:24" x14ac:dyDescent="0.2">
      <c r="A238" s="13" t="s">
        <v>1009</v>
      </c>
      <c r="B238" s="13" t="s">
        <v>1010</v>
      </c>
      <c r="C238" s="13" t="s">
        <v>205</v>
      </c>
      <c r="D238" s="13" t="s">
        <v>33</v>
      </c>
      <c r="E238" s="13" t="s">
        <v>52</v>
      </c>
      <c r="F238" s="13" t="s">
        <v>131</v>
      </c>
      <c r="G238" s="13" t="s">
        <v>170</v>
      </c>
      <c r="H238" s="13" t="s">
        <v>1007</v>
      </c>
      <c r="I238" s="13" t="s">
        <v>200</v>
      </c>
      <c r="J238" s="13" t="s">
        <v>988</v>
      </c>
      <c r="K238" s="19" t="s">
        <v>1815</v>
      </c>
      <c r="L238" s="17"/>
      <c r="M238" s="17"/>
      <c r="N238" s="13" t="s">
        <v>208</v>
      </c>
      <c r="O238" s="13" t="s">
        <v>209</v>
      </c>
      <c r="P238" s="16"/>
      <c r="Q238" s="16"/>
      <c r="R238" s="16"/>
      <c r="S238" s="21">
        <f>IF($C238&lt;&gt;"Organisation","",IF(OR($P238&lt;&gt;"",$Q238&lt;&gt;""),IF($P238&lt;&gt;"",IF($Q238&lt;&gt;"",($P238+$Q238)/2,$P238),$Q238),ROUND(_xlfn.XLOOKUP($N238,Assumptions!$B$5:$B$9,Assumptions!$C$5:$C$9,0)*_xlfn.XLOOKUP($G238,Assumptions!$B$13:$B$26,Assumptions!$C$13:$C$26,0)*_xlfn.XLOOKUP($I238,Assumptions!$B$30:$B$50,Assumptions!$C$30:$C$50,0),0)))</f>
        <v>96</v>
      </c>
      <c r="T238" s="16" t="str">
        <f>IF($C238&lt;&gt;"Organisation","",IF(OR($P238&lt;&gt;"",$Q238&lt;&gt;""),"Documented in source - midpoint of annual_intake_low/high",IF($I238="","No confirmed programme - modelled as zero",$N238&amp;" base x "&amp;TEXT(_xlfn.XLOOKUP($G238,Assumptions!$B$13:$B$26,Assumptions!$C$13:$C$26,0),"0.0#")&amp;" sector x "&amp;TEXT(_xlfn.XLOOKUP($I238,Assumptions!$B$30:$B$50,Assumptions!$C$30:$C$50,0),"0.0#")&amp;" mechanism")))</f>
        <v>Large base x 1.0 sector x 0.8 mechanism</v>
      </c>
      <c r="U238" s="13" t="s">
        <v>230</v>
      </c>
      <c r="V238" s="13" t="s">
        <v>231</v>
      </c>
      <c r="W238" s="13" t="s">
        <v>99</v>
      </c>
      <c r="X238" s="13"/>
    </row>
    <row r="239" spans="1:24" x14ac:dyDescent="0.2">
      <c r="A239" s="13" t="s">
        <v>1011</v>
      </c>
      <c r="B239" s="13" t="s">
        <v>1012</v>
      </c>
      <c r="C239" s="13" t="s">
        <v>205</v>
      </c>
      <c r="D239" s="13" t="s">
        <v>33</v>
      </c>
      <c r="E239" s="13" t="s">
        <v>52</v>
      </c>
      <c r="F239" s="13" t="s">
        <v>133</v>
      </c>
      <c r="G239" s="13" t="s">
        <v>176</v>
      </c>
      <c r="H239" s="13" t="s">
        <v>1013</v>
      </c>
      <c r="I239" s="13" t="s">
        <v>200</v>
      </c>
      <c r="J239" s="13" t="s">
        <v>1014</v>
      </c>
      <c r="K239" s="19" t="s">
        <v>1815</v>
      </c>
      <c r="L239" s="17"/>
      <c r="M239" s="17"/>
      <c r="N239" s="13" t="s">
        <v>218</v>
      </c>
      <c r="O239" s="13" t="s">
        <v>209</v>
      </c>
      <c r="P239" s="16"/>
      <c r="Q239" s="16"/>
      <c r="R239" s="16"/>
      <c r="S239" s="21">
        <f>IF($C239&lt;&gt;"Organisation","",IF(OR($P239&lt;&gt;"",$Q239&lt;&gt;""),IF($P239&lt;&gt;"",IF($Q239&lt;&gt;"",($P239+$Q239)/2,$P239),$Q239),ROUND(_xlfn.XLOOKUP($N239,Assumptions!$B$5:$B$9,Assumptions!$C$5:$C$9,0)*_xlfn.XLOOKUP($G239,Assumptions!$B$13:$B$26,Assumptions!$C$13:$C$26,0)*_xlfn.XLOOKUP($I239,Assumptions!$B$30:$B$50,Assumptions!$C$30:$C$50,0),0)))</f>
        <v>320</v>
      </c>
      <c r="T239" s="16" t="str">
        <f>IF($C239&lt;&gt;"Organisation","",IF(OR($P239&lt;&gt;"",$Q239&lt;&gt;""),"Documented in source - midpoint of annual_intake_low/high",IF($I239="","No confirmed programme - modelled as zero",$N239&amp;" base x "&amp;TEXT(_xlfn.XLOOKUP($G239,Assumptions!$B$13:$B$26,Assumptions!$C$13:$C$26,0),"0.0#")&amp;" sector x "&amp;TEXT(_xlfn.XLOOKUP($I239,Assumptions!$B$30:$B$50,Assumptions!$C$30:$C$50,0),"0.0#")&amp;" mechanism")))</f>
        <v>Mega base x 1.0 sector x 0.8 mechanism</v>
      </c>
      <c r="U239" s="13" t="s">
        <v>230</v>
      </c>
      <c r="V239" s="13" t="s">
        <v>231</v>
      </c>
      <c r="W239" s="13" t="s">
        <v>80</v>
      </c>
      <c r="X239" s="13"/>
    </row>
    <row r="240" spans="1:24" x14ac:dyDescent="0.2">
      <c r="A240" s="13" t="s">
        <v>1015</v>
      </c>
      <c r="B240" s="13" t="s">
        <v>1016</v>
      </c>
      <c r="C240" s="13" t="s">
        <v>205</v>
      </c>
      <c r="D240" s="13" t="s">
        <v>33</v>
      </c>
      <c r="E240" s="13" t="s">
        <v>52</v>
      </c>
      <c r="F240" s="13" t="s">
        <v>133</v>
      </c>
      <c r="G240" s="13" t="s">
        <v>176</v>
      </c>
      <c r="H240" s="13" t="s">
        <v>1013</v>
      </c>
      <c r="I240" s="13" t="s">
        <v>200</v>
      </c>
      <c r="J240" s="13" t="s">
        <v>988</v>
      </c>
      <c r="K240" s="19" t="s">
        <v>1815</v>
      </c>
      <c r="L240" s="17"/>
      <c r="M240" s="17"/>
      <c r="N240" s="13" t="s">
        <v>208</v>
      </c>
      <c r="O240" s="13" t="s">
        <v>209</v>
      </c>
      <c r="P240" s="16"/>
      <c r="Q240" s="16"/>
      <c r="R240" s="16"/>
      <c r="S240" s="21">
        <f>IF($C240&lt;&gt;"Organisation","",IF(OR($P240&lt;&gt;"",$Q240&lt;&gt;""),IF($P240&lt;&gt;"",IF($Q240&lt;&gt;"",($P240+$Q240)/2,$P240),$Q240),ROUND(_xlfn.XLOOKUP($N240,Assumptions!$B$5:$B$9,Assumptions!$C$5:$C$9,0)*_xlfn.XLOOKUP($G240,Assumptions!$B$13:$B$26,Assumptions!$C$13:$C$26,0)*_xlfn.XLOOKUP($I240,Assumptions!$B$30:$B$50,Assumptions!$C$30:$C$50,0),0)))</f>
        <v>96</v>
      </c>
      <c r="T240" s="16" t="str">
        <f>IF($C240&lt;&gt;"Organisation","",IF(OR($P240&lt;&gt;"",$Q240&lt;&gt;""),"Documented in source - midpoint of annual_intake_low/high",IF($I240="","No confirmed programme - modelled as zero",$N240&amp;" base x "&amp;TEXT(_xlfn.XLOOKUP($G240,Assumptions!$B$13:$B$26,Assumptions!$C$13:$C$26,0),"0.0#")&amp;" sector x "&amp;TEXT(_xlfn.XLOOKUP($I240,Assumptions!$B$30:$B$50,Assumptions!$C$30:$C$50,0),"0.0#")&amp;" mechanism")))</f>
        <v>Large base x 1.0 sector x 0.8 mechanism</v>
      </c>
      <c r="U240" s="13" t="s">
        <v>230</v>
      </c>
      <c r="V240" s="13" t="s">
        <v>231</v>
      </c>
      <c r="W240" s="13" t="s">
        <v>80</v>
      </c>
      <c r="X240" s="13"/>
    </row>
    <row r="241" spans="1:24" x14ac:dyDescent="0.2">
      <c r="A241" s="13" t="s">
        <v>1017</v>
      </c>
      <c r="B241" s="13" t="s">
        <v>1018</v>
      </c>
      <c r="C241" s="13" t="s">
        <v>205</v>
      </c>
      <c r="D241" s="13" t="s">
        <v>33</v>
      </c>
      <c r="E241" s="13" t="s">
        <v>52</v>
      </c>
      <c r="F241" s="13" t="s">
        <v>131</v>
      </c>
      <c r="G241" s="13" t="s">
        <v>170</v>
      </c>
      <c r="H241" s="13" t="s">
        <v>1007</v>
      </c>
      <c r="I241" s="13" t="s">
        <v>200</v>
      </c>
      <c r="J241" s="13" t="s">
        <v>1019</v>
      </c>
      <c r="K241" s="19" t="s">
        <v>1815</v>
      </c>
      <c r="L241" s="17"/>
      <c r="M241" s="17"/>
      <c r="N241" s="13" t="s">
        <v>208</v>
      </c>
      <c r="O241" s="13" t="s">
        <v>209</v>
      </c>
      <c r="P241" s="16"/>
      <c r="Q241" s="16"/>
      <c r="R241" s="16"/>
      <c r="S241" s="21">
        <f>IF($C241&lt;&gt;"Organisation","",IF(OR($P241&lt;&gt;"",$Q241&lt;&gt;""),IF($P241&lt;&gt;"",IF($Q241&lt;&gt;"",($P241+$Q241)/2,$P241),$Q241),ROUND(_xlfn.XLOOKUP($N241,Assumptions!$B$5:$B$9,Assumptions!$C$5:$C$9,0)*_xlfn.XLOOKUP($G241,Assumptions!$B$13:$B$26,Assumptions!$C$13:$C$26,0)*_xlfn.XLOOKUP($I241,Assumptions!$B$30:$B$50,Assumptions!$C$30:$C$50,0),0)))</f>
        <v>96</v>
      </c>
      <c r="T241" s="16" t="str">
        <f>IF($C241&lt;&gt;"Organisation","",IF(OR($P241&lt;&gt;"",$Q241&lt;&gt;""),"Documented in source - midpoint of annual_intake_low/high",IF($I241="","No confirmed programme - modelled as zero",$N241&amp;" base x "&amp;TEXT(_xlfn.XLOOKUP($G241,Assumptions!$B$13:$B$26,Assumptions!$C$13:$C$26,0),"0.0#")&amp;" sector x "&amp;TEXT(_xlfn.XLOOKUP($I241,Assumptions!$B$30:$B$50,Assumptions!$C$30:$C$50,0),"0.0#")&amp;" mechanism")))</f>
        <v>Large base x 1.0 sector x 0.8 mechanism</v>
      </c>
      <c r="U241" s="13" t="s">
        <v>230</v>
      </c>
      <c r="V241" s="13" t="s">
        <v>231</v>
      </c>
      <c r="W241" s="13" t="s">
        <v>99</v>
      </c>
      <c r="X241" s="13"/>
    </row>
    <row r="242" spans="1:24" x14ac:dyDescent="0.2">
      <c r="A242" s="13" t="s">
        <v>1020</v>
      </c>
      <c r="B242" s="13" t="s">
        <v>1021</v>
      </c>
      <c r="C242" s="13" t="s">
        <v>205</v>
      </c>
      <c r="D242" s="13" t="s">
        <v>33</v>
      </c>
      <c r="E242" s="13" t="s">
        <v>52</v>
      </c>
      <c r="F242" s="13" t="s">
        <v>131</v>
      </c>
      <c r="G242" s="13" t="s">
        <v>184</v>
      </c>
      <c r="H242" s="13" t="s">
        <v>1007</v>
      </c>
      <c r="I242" s="13" t="s">
        <v>200</v>
      </c>
      <c r="J242" s="13" t="s">
        <v>988</v>
      </c>
      <c r="K242" s="19" t="s">
        <v>1815</v>
      </c>
      <c r="L242" s="17"/>
      <c r="M242" s="17"/>
      <c r="N242" s="13" t="s">
        <v>244</v>
      </c>
      <c r="O242" s="13" t="s">
        <v>209</v>
      </c>
      <c r="P242" s="16"/>
      <c r="Q242" s="16"/>
      <c r="R242" s="16"/>
      <c r="S242" s="21">
        <f>IF($C242&lt;&gt;"Organisation","",IF(OR($P242&lt;&gt;"",$Q242&lt;&gt;""),IF($P242&lt;&gt;"",IF($Q242&lt;&gt;"",($P242+$Q242)/2,$P242),$Q242),ROUND(_xlfn.XLOOKUP($N242,Assumptions!$B$5:$B$9,Assumptions!$C$5:$C$9,0)*_xlfn.XLOOKUP($G242,Assumptions!$B$13:$B$26,Assumptions!$C$13:$C$26,0)*_xlfn.XLOOKUP($I242,Assumptions!$B$30:$B$50,Assumptions!$C$30:$C$50,0),0)))</f>
        <v>10</v>
      </c>
      <c r="T242" s="16" t="str">
        <f>IF($C242&lt;&gt;"Organisation","",IF(OR($P242&lt;&gt;"",$Q242&lt;&gt;""),"Documented in source - midpoint of annual_intake_low/high",IF($I242="","No confirmed programme - modelled as zero",$N242&amp;" base x "&amp;TEXT(_xlfn.XLOOKUP($G242,Assumptions!$B$13:$B$26,Assumptions!$C$13:$C$26,0),"0.0#")&amp;" sector x "&amp;TEXT(_xlfn.XLOOKUP($I242,Assumptions!$B$30:$B$50,Assumptions!$C$30:$C$50,0),"0.0#")&amp;" mechanism")))</f>
        <v>Mid base x 0.4 sector x 0.8 mechanism</v>
      </c>
      <c r="U242" s="13" t="s">
        <v>230</v>
      </c>
      <c r="V242" s="13" t="s">
        <v>231</v>
      </c>
      <c r="W242" s="13" t="s">
        <v>99</v>
      </c>
      <c r="X242" s="13"/>
    </row>
    <row r="243" spans="1:24" x14ac:dyDescent="0.2">
      <c r="A243" s="13" t="s">
        <v>1022</v>
      </c>
      <c r="B243" s="13" t="s">
        <v>1023</v>
      </c>
      <c r="C243" s="13" t="s">
        <v>205</v>
      </c>
      <c r="D243" s="13" t="s">
        <v>33</v>
      </c>
      <c r="E243" s="13" t="s">
        <v>54</v>
      </c>
      <c r="F243" s="13" t="s">
        <v>135</v>
      </c>
      <c r="G243" s="13" t="s">
        <v>163</v>
      </c>
      <c r="H243" s="13" t="s">
        <v>1024</v>
      </c>
      <c r="I243" s="13" t="s">
        <v>200</v>
      </c>
      <c r="J243" s="13" t="s">
        <v>1025</v>
      </c>
      <c r="K243" s="19" t="s">
        <v>1815</v>
      </c>
      <c r="L243" s="17"/>
      <c r="M243" s="17"/>
      <c r="N243" s="13" t="s">
        <v>218</v>
      </c>
      <c r="O243" s="13" t="s">
        <v>209</v>
      </c>
      <c r="P243" s="16"/>
      <c r="Q243" s="16"/>
      <c r="R243" s="16"/>
      <c r="S243" s="21">
        <f>IF($C243&lt;&gt;"Organisation","",IF(OR($P243&lt;&gt;"",$Q243&lt;&gt;""),IF($P243&lt;&gt;"",IF($Q243&lt;&gt;"",($P243+$Q243)/2,$P243),$Q243),ROUND(_xlfn.XLOOKUP($N243,Assumptions!$B$5:$B$9,Assumptions!$C$5:$C$9,0)*_xlfn.XLOOKUP($G243,Assumptions!$B$13:$B$26,Assumptions!$C$13:$C$26,0)*_xlfn.XLOOKUP($I243,Assumptions!$B$30:$B$50,Assumptions!$C$30:$C$50,0),0)))</f>
        <v>640</v>
      </c>
      <c r="T243" s="16" t="str">
        <f>IF($C243&lt;&gt;"Organisation","",IF(OR($P243&lt;&gt;"",$Q243&lt;&gt;""),"Documented in source - midpoint of annual_intake_low/high",IF($I243="","No confirmed programme - modelled as zero",$N243&amp;" base x "&amp;TEXT(_xlfn.XLOOKUP($G243,Assumptions!$B$13:$B$26,Assumptions!$C$13:$C$26,0),"0.0#")&amp;" sector x "&amp;TEXT(_xlfn.XLOOKUP($I243,Assumptions!$B$30:$B$50,Assumptions!$C$30:$C$50,0),"0.0#")&amp;" mechanism")))</f>
        <v>Mega base x 2.0 sector x 0.8 mechanism</v>
      </c>
      <c r="U243" s="13" t="s">
        <v>210</v>
      </c>
      <c r="V243" s="13" t="s">
        <v>211</v>
      </c>
      <c r="W243" s="13" t="s">
        <v>99</v>
      </c>
      <c r="X243" s="13"/>
    </row>
    <row r="244" spans="1:24" x14ac:dyDescent="0.2">
      <c r="A244" s="13" t="s">
        <v>1026</v>
      </c>
      <c r="B244" s="13" t="s">
        <v>1027</v>
      </c>
      <c r="C244" s="13" t="s">
        <v>205</v>
      </c>
      <c r="D244" s="13" t="s">
        <v>33</v>
      </c>
      <c r="E244" s="13" t="s">
        <v>54</v>
      </c>
      <c r="F244" s="13" t="s">
        <v>135</v>
      </c>
      <c r="G244" s="13" t="s">
        <v>163</v>
      </c>
      <c r="H244" s="13" t="s">
        <v>1024</v>
      </c>
      <c r="I244" s="13" t="s">
        <v>200</v>
      </c>
      <c r="J244" s="13" t="s">
        <v>1014</v>
      </c>
      <c r="K244" s="19" t="s">
        <v>1815</v>
      </c>
      <c r="L244" s="17"/>
      <c r="M244" s="17"/>
      <c r="N244" s="13" t="s">
        <v>218</v>
      </c>
      <c r="O244" s="13" t="s">
        <v>209</v>
      </c>
      <c r="P244" s="16"/>
      <c r="Q244" s="16"/>
      <c r="R244" s="16"/>
      <c r="S244" s="21">
        <f>IF($C244&lt;&gt;"Organisation","",IF(OR($P244&lt;&gt;"",$Q244&lt;&gt;""),IF($P244&lt;&gt;"",IF($Q244&lt;&gt;"",($P244+$Q244)/2,$P244),$Q244),ROUND(_xlfn.XLOOKUP($N244,Assumptions!$B$5:$B$9,Assumptions!$C$5:$C$9,0)*_xlfn.XLOOKUP($G244,Assumptions!$B$13:$B$26,Assumptions!$C$13:$C$26,0)*_xlfn.XLOOKUP($I244,Assumptions!$B$30:$B$50,Assumptions!$C$30:$C$50,0),0)))</f>
        <v>640</v>
      </c>
      <c r="T244" s="16" t="str">
        <f>IF($C244&lt;&gt;"Organisation","",IF(OR($P244&lt;&gt;"",$Q244&lt;&gt;""),"Documented in source - midpoint of annual_intake_low/high",IF($I244="","No confirmed programme - modelled as zero",$N244&amp;" base x "&amp;TEXT(_xlfn.XLOOKUP($G244,Assumptions!$B$13:$B$26,Assumptions!$C$13:$C$26,0),"0.0#")&amp;" sector x "&amp;TEXT(_xlfn.XLOOKUP($I244,Assumptions!$B$30:$B$50,Assumptions!$C$30:$C$50,0),"0.0#")&amp;" mechanism")))</f>
        <v>Mega base x 2.0 sector x 0.8 mechanism</v>
      </c>
      <c r="U244" s="13" t="s">
        <v>230</v>
      </c>
      <c r="V244" s="13" t="s">
        <v>231</v>
      </c>
      <c r="W244" s="13" t="s">
        <v>99</v>
      </c>
      <c r="X244" s="13"/>
    </row>
    <row r="245" spans="1:24" x14ac:dyDescent="0.2">
      <c r="A245" s="13" t="s">
        <v>1028</v>
      </c>
      <c r="B245" s="13" t="s">
        <v>1029</v>
      </c>
      <c r="C245" s="13" t="s">
        <v>205</v>
      </c>
      <c r="D245" s="13" t="s">
        <v>33</v>
      </c>
      <c r="E245" s="13" t="s">
        <v>54</v>
      </c>
      <c r="F245" s="13" t="s">
        <v>135</v>
      </c>
      <c r="G245" s="13" t="s">
        <v>170</v>
      </c>
      <c r="H245" s="13" t="s">
        <v>1024</v>
      </c>
      <c r="I245" s="13" t="s">
        <v>200</v>
      </c>
      <c r="J245" s="13" t="s">
        <v>1014</v>
      </c>
      <c r="K245" s="19" t="s">
        <v>1815</v>
      </c>
      <c r="L245" s="17"/>
      <c r="M245" s="17"/>
      <c r="N245" s="13" t="s">
        <v>218</v>
      </c>
      <c r="O245" s="13" t="s">
        <v>209</v>
      </c>
      <c r="P245" s="16"/>
      <c r="Q245" s="16"/>
      <c r="R245" s="16"/>
      <c r="S245" s="21">
        <f>IF($C245&lt;&gt;"Organisation","",IF(OR($P245&lt;&gt;"",$Q245&lt;&gt;""),IF($P245&lt;&gt;"",IF($Q245&lt;&gt;"",($P245+$Q245)/2,$P245),$Q245),ROUND(_xlfn.XLOOKUP($N245,Assumptions!$B$5:$B$9,Assumptions!$C$5:$C$9,0)*_xlfn.XLOOKUP($G245,Assumptions!$B$13:$B$26,Assumptions!$C$13:$C$26,0)*_xlfn.XLOOKUP($I245,Assumptions!$B$30:$B$50,Assumptions!$C$30:$C$50,0),0)))</f>
        <v>320</v>
      </c>
      <c r="T245" s="16" t="str">
        <f>IF($C245&lt;&gt;"Organisation","",IF(OR($P245&lt;&gt;"",$Q245&lt;&gt;""),"Documented in source - midpoint of annual_intake_low/high",IF($I245="","No confirmed programme - modelled as zero",$N245&amp;" base x "&amp;TEXT(_xlfn.XLOOKUP($G245,Assumptions!$B$13:$B$26,Assumptions!$C$13:$C$26,0),"0.0#")&amp;" sector x "&amp;TEXT(_xlfn.XLOOKUP($I245,Assumptions!$B$30:$B$50,Assumptions!$C$30:$C$50,0),"0.0#")&amp;" mechanism")))</f>
        <v>Mega base x 1.0 sector x 0.8 mechanism</v>
      </c>
      <c r="U245" s="13" t="s">
        <v>230</v>
      </c>
      <c r="V245" s="13" t="s">
        <v>231</v>
      </c>
      <c r="W245" s="13" t="s">
        <v>99</v>
      </c>
      <c r="X245" s="13"/>
    </row>
    <row r="246" spans="1:24" x14ac:dyDescent="0.2">
      <c r="A246" s="13" t="s">
        <v>1030</v>
      </c>
      <c r="B246" s="13" t="s">
        <v>1031</v>
      </c>
      <c r="C246" s="13" t="s">
        <v>205</v>
      </c>
      <c r="D246" s="13" t="s">
        <v>33</v>
      </c>
      <c r="E246" s="13" t="s">
        <v>54</v>
      </c>
      <c r="F246" s="13" t="s">
        <v>135</v>
      </c>
      <c r="G246" s="13" t="s">
        <v>176</v>
      </c>
      <c r="H246" s="13" t="s">
        <v>1024</v>
      </c>
      <c r="I246" s="13" t="s">
        <v>200</v>
      </c>
      <c r="J246" s="13" t="s">
        <v>1014</v>
      </c>
      <c r="K246" s="19" t="s">
        <v>1815</v>
      </c>
      <c r="L246" s="17"/>
      <c r="M246" s="17"/>
      <c r="N246" s="13" t="s">
        <v>218</v>
      </c>
      <c r="O246" s="13" t="s">
        <v>209</v>
      </c>
      <c r="P246" s="16"/>
      <c r="Q246" s="16"/>
      <c r="R246" s="16"/>
      <c r="S246" s="21">
        <f>IF($C246&lt;&gt;"Organisation","",IF(OR($P246&lt;&gt;"",$Q246&lt;&gt;""),IF($P246&lt;&gt;"",IF($Q246&lt;&gt;"",($P246+$Q246)/2,$P246),$Q246),ROUND(_xlfn.XLOOKUP($N246,Assumptions!$B$5:$B$9,Assumptions!$C$5:$C$9,0)*_xlfn.XLOOKUP($G246,Assumptions!$B$13:$B$26,Assumptions!$C$13:$C$26,0)*_xlfn.XLOOKUP($I246,Assumptions!$B$30:$B$50,Assumptions!$C$30:$C$50,0),0)))</f>
        <v>320</v>
      </c>
      <c r="T246" s="16" t="str">
        <f>IF($C246&lt;&gt;"Organisation","",IF(OR($P246&lt;&gt;"",$Q246&lt;&gt;""),"Documented in source - midpoint of annual_intake_low/high",IF($I246="","No confirmed programme - modelled as zero",$N246&amp;" base x "&amp;TEXT(_xlfn.XLOOKUP($G246,Assumptions!$B$13:$B$26,Assumptions!$C$13:$C$26,0),"0.0#")&amp;" sector x "&amp;TEXT(_xlfn.XLOOKUP($I246,Assumptions!$B$30:$B$50,Assumptions!$C$30:$C$50,0),"0.0#")&amp;" mechanism")))</f>
        <v>Mega base x 1.0 sector x 0.8 mechanism</v>
      </c>
      <c r="U246" s="13" t="s">
        <v>230</v>
      </c>
      <c r="V246" s="13" t="s">
        <v>231</v>
      </c>
      <c r="W246" s="13" t="s">
        <v>99</v>
      </c>
      <c r="X246" s="13"/>
    </row>
    <row r="247" spans="1:24" x14ac:dyDescent="0.2">
      <c r="A247" s="13" t="s">
        <v>1032</v>
      </c>
      <c r="B247" s="13" t="s">
        <v>1033</v>
      </c>
      <c r="C247" s="13" t="s">
        <v>205</v>
      </c>
      <c r="D247" s="13" t="s">
        <v>33</v>
      </c>
      <c r="E247" s="13" t="s">
        <v>54</v>
      </c>
      <c r="F247" s="13" t="s">
        <v>135</v>
      </c>
      <c r="G247" s="13" t="s">
        <v>174</v>
      </c>
      <c r="H247" s="13" t="s">
        <v>1024</v>
      </c>
      <c r="I247" s="13" t="s">
        <v>200</v>
      </c>
      <c r="J247" s="13" t="s">
        <v>1014</v>
      </c>
      <c r="K247" s="19" t="s">
        <v>1815</v>
      </c>
      <c r="L247" s="17"/>
      <c r="M247" s="17"/>
      <c r="N247" s="13" t="s">
        <v>244</v>
      </c>
      <c r="O247" s="13" t="s">
        <v>209</v>
      </c>
      <c r="P247" s="16"/>
      <c r="Q247" s="16"/>
      <c r="R247" s="16"/>
      <c r="S247" s="21">
        <f>IF($C247&lt;&gt;"Organisation","",IF(OR($P247&lt;&gt;"",$Q247&lt;&gt;""),IF($P247&lt;&gt;"",IF($Q247&lt;&gt;"",($P247+$Q247)/2,$P247),$Q247),ROUND(_xlfn.XLOOKUP($N247,Assumptions!$B$5:$B$9,Assumptions!$C$5:$C$9,0)*_xlfn.XLOOKUP($G247,Assumptions!$B$13:$B$26,Assumptions!$C$13:$C$26,0)*_xlfn.XLOOKUP($I247,Assumptions!$B$30:$B$50,Assumptions!$C$30:$C$50,0),0)))</f>
        <v>19</v>
      </c>
      <c r="T247" s="16" t="str">
        <f>IF($C247&lt;&gt;"Organisation","",IF(OR($P247&lt;&gt;"",$Q247&lt;&gt;""),"Documented in source - midpoint of annual_intake_low/high",IF($I247="","No confirmed programme - modelled as zero",$N247&amp;" base x "&amp;TEXT(_xlfn.XLOOKUP($G247,Assumptions!$B$13:$B$26,Assumptions!$C$13:$C$26,0),"0.0#")&amp;" sector x "&amp;TEXT(_xlfn.XLOOKUP($I247,Assumptions!$B$30:$B$50,Assumptions!$C$30:$C$50,0),"0.0#")&amp;" mechanism")))</f>
        <v>Mid base x 0.8 sector x 0.8 mechanism</v>
      </c>
      <c r="U247" s="13" t="s">
        <v>230</v>
      </c>
      <c r="V247" s="13" t="s">
        <v>231</v>
      </c>
      <c r="W247" s="13" t="s">
        <v>99</v>
      </c>
      <c r="X247" s="13"/>
    </row>
    <row r="248" spans="1:24" x14ac:dyDescent="0.2">
      <c r="A248" s="13" t="s">
        <v>1034</v>
      </c>
      <c r="B248" s="13" t="s">
        <v>1035</v>
      </c>
      <c r="C248" s="13" t="s">
        <v>205</v>
      </c>
      <c r="D248" s="13" t="s">
        <v>33</v>
      </c>
      <c r="E248" s="13" t="s">
        <v>54</v>
      </c>
      <c r="F248" s="13" t="s">
        <v>135</v>
      </c>
      <c r="G248" s="13" t="s">
        <v>163</v>
      </c>
      <c r="H248" s="13" t="s">
        <v>1024</v>
      </c>
      <c r="I248" s="13" t="s">
        <v>200</v>
      </c>
      <c r="J248" s="13" t="s">
        <v>1014</v>
      </c>
      <c r="K248" s="19" t="s">
        <v>1815</v>
      </c>
      <c r="L248" s="17"/>
      <c r="M248" s="17"/>
      <c r="N248" s="13" t="s">
        <v>208</v>
      </c>
      <c r="O248" s="13" t="s">
        <v>209</v>
      </c>
      <c r="P248" s="16"/>
      <c r="Q248" s="16"/>
      <c r="R248" s="16"/>
      <c r="S248" s="21">
        <f>IF($C248&lt;&gt;"Organisation","",IF(OR($P248&lt;&gt;"",$Q248&lt;&gt;""),IF($P248&lt;&gt;"",IF($Q248&lt;&gt;"",($P248+$Q248)/2,$P248),$Q248),ROUND(_xlfn.XLOOKUP($N248,Assumptions!$B$5:$B$9,Assumptions!$C$5:$C$9,0)*_xlfn.XLOOKUP($G248,Assumptions!$B$13:$B$26,Assumptions!$C$13:$C$26,0)*_xlfn.XLOOKUP($I248,Assumptions!$B$30:$B$50,Assumptions!$C$30:$C$50,0),0)))</f>
        <v>192</v>
      </c>
      <c r="T248" s="16" t="str">
        <f>IF($C248&lt;&gt;"Organisation","",IF(OR($P248&lt;&gt;"",$Q248&lt;&gt;""),"Documented in source - midpoint of annual_intake_low/high",IF($I248="","No confirmed programme - modelled as zero",$N248&amp;" base x "&amp;TEXT(_xlfn.XLOOKUP($G248,Assumptions!$B$13:$B$26,Assumptions!$C$13:$C$26,0),"0.0#")&amp;" sector x "&amp;TEXT(_xlfn.XLOOKUP($I248,Assumptions!$B$30:$B$50,Assumptions!$C$30:$C$50,0),"0.0#")&amp;" mechanism")))</f>
        <v>Large base x 2.0 sector x 0.8 mechanism</v>
      </c>
      <c r="U248" s="13" t="s">
        <v>230</v>
      </c>
      <c r="V248" s="13" t="s">
        <v>231</v>
      </c>
      <c r="W248" s="13" t="s">
        <v>99</v>
      </c>
      <c r="X248" s="13"/>
    </row>
    <row r="249" spans="1:24" x14ac:dyDescent="0.2">
      <c r="A249" s="13" t="s">
        <v>1036</v>
      </c>
      <c r="B249" s="13" t="s">
        <v>1037</v>
      </c>
      <c r="C249" s="13" t="s">
        <v>205</v>
      </c>
      <c r="D249" s="13" t="s">
        <v>33</v>
      </c>
      <c r="E249" s="13" t="s">
        <v>56</v>
      </c>
      <c r="F249" s="13" t="s">
        <v>137</v>
      </c>
      <c r="G249" s="13" t="s">
        <v>163</v>
      </c>
      <c r="H249" s="13" t="s">
        <v>1038</v>
      </c>
      <c r="I249" s="13" t="s">
        <v>200</v>
      </c>
      <c r="J249" s="13" t="s">
        <v>1039</v>
      </c>
      <c r="K249" s="19" t="s">
        <v>1815</v>
      </c>
      <c r="L249" s="17"/>
      <c r="M249" s="17"/>
      <c r="N249" s="13" t="s">
        <v>218</v>
      </c>
      <c r="O249" s="13" t="s">
        <v>209</v>
      </c>
      <c r="P249" s="16"/>
      <c r="Q249" s="16"/>
      <c r="R249" s="16"/>
      <c r="S249" s="21">
        <f>IF($C249&lt;&gt;"Organisation","",IF(OR($P249&lt;&gt;"",$Q249&lt;&gt;""),IF($P249&lt;&gt;"",IF($Q249&lt;&gt;"",($P249+$Q249)/2,$P249),$Q249),ROUND(_xlfn.XLOOKUP($N249,Assumptions!$B$5:$B$9,Assumptions!$C$5:$C$9,0)*_xlfn.XLOOKUP($G249,Assumptions!$B$13:$B$26,Assumptions!$C$13:$C$26,0)*_xlfn.XLOOKUP($I249,Assumptions!$B$30:$B$50,Assumptions!$C$30:$C$50,0),0)))</f>
        <v>640</v>
      </c>
      <c r="T249" s="16" t="str">
        <f>IF($C249&lt;&gt;"Organisation","",IF(OR($P249&lt;&gt;"",$Q249&lt;&gt;""),"Documented in source - midpoint of annual_intake_low/high",IF($I249="","No confirmed programme - modelled as zero",$N249&amp;" base x "&amp;TEXT(_xlfn.XLOOKUP($G249,Assumptions!$B$13:$B$26,Assumptions!$C$13:$C$26,0),"0.0#")&amp;" sector x "&amp;TEXT(_xlfn.XLOOKUP($I249,Assumptions!$B$30:$B$50,Assumptions!$C$30:$C$50,0),"0.0#")&amp;" mechanism")))</f>
        <v>Mega base x 2.0 sector x 0.8 mechanism</v>
      </c>
      <c r="U249" s="13" t="s">
        <v>222</v>
      </c>
      <c r="V249" s="13" t="s">
        <v>223</v>
      </c>
      <c r="W249" s="13" t="s">
        <v>99</v>
      </c>
      <c r="X249" s="13"/>
    </row>
    <row r="250" spans="1:24" x14ac:dyDescent="0.2">
      <c r="A250" s="13" t="s">
        <v>1040</v>
      </c>
      <c r="B250" s="13" t="s">
        <v>1041</v>
      </c>
      <c r="C250" s="13" t="s">
        <v>205</v>
      </c>
      <c r="D250" s="13" t="s">
        <v>33</v>
      </c>
      <c r="E250" s="13" t="s">
        <v>56</v>
      </c>
      <c r="F250" s="13" t="s">
        <v>137</v>
      </c>
      <c r="G250" s="13" t="s">
        <v>174</v>
      </c>
      <c r="H250" s="13" t="s">
        <v>1038</v>
      </c>
      <c r="I250" s="13" t="s">
        <v>200</v>
      </c>
      <c r="J250" s="13" t="s">
        <v>1014</v>
      </c>
      <c r="K250" s="19" t="s">
        <v>1815</v>
      </c>
      <c r="L250" s="17"/>
      <c r="M250" s="17"/>
      <c r="N250" s="13" t="s">
        <v>244</v>
      </c>
      <c r="O250" s="13" t="s">
        <v>209</v>
      </c>
      <c r="P250" s="16"/>
      <c r="Q250" s="16"/>
      <c r="R250" s="16"/>
      <c r="S250" s="21">
        <f>IF($C250&lt;&gt;"Organisation","",IF(OR($P250&lt;&gt;"",$Q250&lt;&gt;""),IF($P250&lt;&gt;"",IF($Q250&lt;&gt;"",($P250+$Q250)/2,$P250),$Q250),ROUND(_xlfn.XLOOKUP($N250,Assumptions!$B$5:$B$9,Assumptions!$C$5:$C$9,0)*_xlfn.XLOOKUP($G250,Assumptions!$B$13:$B$26,Assumptions!$C$13:$C$26,0)*_xlfn.XLOOKUP($I250,Assumptions!$B$30:$B$50,Assumptions!$C$30:$C$50,0),0)))</f>
        <v>19</v>
      </c>
      <c r="T250" s="16" t="str">
        <f>IF($C250&lt;&gt;"Organisation","",IF(OR($P250&lt;&gt;"",$Q250&lt;&gt;""),"Documented in source - midpoint of annual_intake_low/high",IF($I250="","No confirmed programme - modelled as zero",$N250&amp;" base x "&amp;TEXT(_xlfn.XLOOKUP($G250,Assumptions!$B$13:$B$26,Assumptions!$C$13:$C$26,0),"0.0#")&amp;" sector x "&amp;TEXT(_xlfn.XLOOKUP($I250,Assumptions!$B$30:$B$50,Assumptions!$C$30:$C$50,0),"0.0#")&amp;" mechanism")))</f>
        <v>Mid base x 0.8 sector x 0.8 mechanism</v>
      </c>
      <c r="U250" s="13" t="s">
        <v>230</v>
      </c>
      <c r="V250" s="13" t="s">
        <v>231</v>
      </c>
      <c r="W250" s="13" t="s">
        <v>99</v>
      </c>
      <c r="X250" s="13"/>
    </row>
    <row r="251" spans="1:24" x14ac:dyDescent="0.2">
      <c r="A251" s="13" t="s">
        <v>1042</v>
      </c>
      <c r="B251" s="13" t="s">
        <v>1043</v>
      </c>
      <c r="C251" s="13" t="s">
        <v>205</v>
      </c>
      <c r="D251" s="13" t="s">
        <v>33</v>
      </c>
      <c r="E251" s="13" t="s">
        <v>56</v>
      </c>
      <c r="F251" s="13" t="s">
        <v>139</v>
      </c>
      <c r="G251" s="13" t="s">
        <v>174</v>
      </c>
      <c r="H251" s="13" t="s">
        <v>1044</v>
      </c>
      <c r="I251" s="13" t="s">
        <v>200</v>
      </c>
      <c r="J251" s="13" t="s">
        <v>1045</v>
      </c>
      <c r="K251" s="19" t="s">
        <v>1815</v>
      </c>
      <c r="L251" s="17"/>
      <c r="M251" s="17"/>
      <c r="N251" s="13" t="s">
        <v>244</v>
      </c>
      <c r="O251" s="13" t="s">
        <v>209</v>
      </c>
      <c r="P251" s="16"/>
      <c r="Q251" s="16"/>
      <c r="R251" s="16"/>
      <c r="S251" s="21">
        <f>IF($C251&lt;&gt;"Organisation","",IF(OR($P251&lt;&gt;"",$Q251&lt;&gt;""),IF($P251&lt;&gt;"",IF($Q251&lt;&gt;"",($P251+$Q251)/2,$P251),$Q251),ROUND(_xlfn.XLOOKUP($N251,Assumptions!$B$5:$B$9,Assumptions!$C$5:$C$9,0)*_xlfn.XLOOKUP($G251,Assumptions!$B$13:$B$26,Assumptions!$C$13:$C$26,0)*_xlfn.XLOOKUP($I251,Assumptions!$B$30:$B$50,Assumptions!$C$30:$C$50,0),0)))</f>
        <v>19</v>
      </c>
      <c r="T251" s="16" t="str">
        <f>IF($C251&lt;&gt;"Organisation","",IF(OR($P251&lt;&gt;"",$Q251&lt;&gt;""),"Documented in source - midpoint of annual_intake_low/high",IF($I251="","No confirmed programme - modelled as zero",$N251&amp;" base x "&amp;TEXT(_xlfn.XLOOKUP($G251,Assumptions!$B$13:$B$26,Assumptions!$C$13:$C$26,0),"0.0#")&amp;" sector x "&amp;TEXT(_xlfn.XLOOKUP($I251,Assumptions!$B$30:$B$50,Assumptions!$C$30:$C$50,0),"0.0#")&amp;" mechanism")))</f>
        <v>Mid base x 0.8 sector x 0.8 mechanism</v>
      </c>
      <c r="U251" s="13" t="s">
        <v>222</v>
      </c>
      <c r="V251" s="13" t="s">
        <v>223</v>
      </c>
      <c r="W251" s="13" t="s">
        <v>99</v>
      </c>
      <c r="X251" s="13"/>
    </row>
    <row r="252" spans="1:24" x14ac:dyDescent="0.2">
      <c r="A252" s="13" t="s">
        <v>1046</v>
      </c>
      <c r="B252" s="13" t="s">
        <v>1047</v>
      </c>
      <c r="C252" s="13" t="s">
        <v>205</v>
      </c>
      <c r="D252" s="13" t="s">
        <v>33</v>
      </c>
      <c r="E252" s="13" t="s">
        <v>56</v>
      </c>
      <c r="F252" s="13" t="s">
        <v>139</v>
      </c>
      <c r="G252" s="13" t="s">
        <v>174</v>
      </c>
      <c r="H252" s="13" t="s">
        <v>1044</v>
      </c>
      <c r="I252" s="13" t="s">
        <v>200</v>
      </c>
      <c r="J252" s="13" t="s">
        <v>1014</v>
      </c>
      <c r="K252" s="19" t="s">
        <v>1815</v>
      </c>
      <c r="L252" s="17"/>
      <c r="M252" s="17"/>
      <c r="N252" s="13" t="s">
        <v>244</v>
      </c>
      <c r="O252" s="13" t="s">
        <v>209</v>
      </c>
      <c r="P252" s="16"/>
      <c r="Q252" s="16"/>
      <c r="R252" s="16"/>
      <c r="S252" s="21">
        <f>IF($C252&lt;&gt;"Organisation","",IF(OR($P252&lt;&gt;"",$Q252&lt;&gt;""),IF($P252&lt;&gt;"",IF($Q252&lt;&gt;"",($P252+$Q252)/2,$P252),$Q252),ROUND(_xlfn.XLOOKUP($N252,Assumptions!$B$5:$B$9,Assumptions!$C$5:$C$9,0)*_xlfn.XLOOKUP($G252,Assumptions!$B$13:$B$26,Assumptions!$C$13:$C$26,0)*_xlfn.XLOOKUP($I252,Assumptions!$B$30:$B$50,Assumptions!$C$30:$C$50,0),0)))</f>
        <v>19</v>
      </c>
      <c r="T252" s="16" t="str">
        <f>IF($C252&lt;&gt;"Organisation","",IF(OR($P252&lt;&gt;"",$Q252&lt;&gt;""),"Documented in source - midpoint of annual_intake_low/high",IF($I252="","No confirmed programme - modelled as zero",$N252&amp;" base x "&amp;TEXT(_xlfn.XLOOKUP($G252,Assumptions!$B$13:$B$26,Assumptions!$C$13:$C$26,0),"0.0#")&amp;" sector x "&amp;TEXT(_xlfn.XLOOKUP($I252,Assumptions!$B$30:$B$50,Assumptions!$C$30:$C$50,0),"0.0#")&amp;" mechanism")))</f>
        <v>Mid base x 0.8 sector x 0.8 mechanism</v>
      </c>
      <c r="U252" s="13" t="s">
        <v>230</v>
      </c>
      <c r="V252" s="13" t="s">
        <v>231</v>
      </c>
      <c r="W252" s="13" t="s">
        <v>99</v>
      </c>
      <c r="X252" s="13"/>
    </row>
    <row r="253" spans="1:24" x14ac:dyDescent="0.2">
      <c r="A253" s="13" t="s">
        <v>1048</v>
      </c>
      <c r="B253" s="13" t="s">
        <v>1049</v>
      </c>
      <c r="C253" s="13" t="s">
        <v>205</v>
      </c>
      <c r="D253" s="13" t="s">
        <v>33</v>
      </c>
      <c r="E253" s="13" t="s">
        <v>56</v>
      </c>
      <c r="F253" s="13" t="s">
        <v>137</v>
      </c>
      <c r="G253" s="13" t="s">
        <v>176</v>
      </c>
      <c r="H253" s="13" t="s">
        <v>1038</v>
      </c>
      <c r="I253" s="13" t="s">
        <v>200</v>
      </c>
      <c r="J253" s="13" t="s">
        <v>1014</v>
      </c>
      <c r="K253" s="19" t="s">
        <v>1815</v>
      </c>
      <c r="L253" s="17"/>
      <c r="M253" s="17"/>
      <c r="N253" s="13" t="s">
        <v>218</v>
      </c>
      <c r="O253" s="13" t="s">
        <v>209</v>
      </c>
      <c r="P253" s="16"/>
      <c r="Q253" s="16"/>
      <c r="R253" s="16"/>
      <c r="S253" s="21">
        <f>IF($C253&lt;&gt;"Organisation","",IF(OR($P253&lt;&gt;"",$Q253&lt;&gt;""),IF($P253&lt;&gt;"",IF($Q253&lt;&gt;"",($P253+$Q253)/2,$P253),$Q253),ROUND(_xlfn.XLOOKUP($N253,Assumptions!$B$5:$B$9,Assumptions!$C$5:$C$9,0)*_xlfn.XLOOKUP($G253,Assumptions!$B$13:$B$26,Assumptions!$C$13:$C$26,0)*_xlfn.XLOOKUP($I253,Assumptions!$B$30:$B$50,Assumptions!$C$30:$C$50,0),0)))</f>
        <v>320</v>
      </c>
      <c r="T253" s="16" t="str">
        <f>IF($C253&lt;&gt;"Organisation","",IF(OR($P253&lt;&gt;"",$Q253&lt;&gt;""),"Documented in source - midpoint of annual_intake_low/high",IF($I253="","No confirmed programme - modelled as zero",$N253&amp;" base x "&amp;TEXT(_xlfn.XLOOKUP($G253,Assumptions!$B$13:$B$26,Assumptions!$C$13:$C$26,0),"0.0#")&amp;" sector x "&amp;TEXT(_xlfn.XLOOKUP($I253,Assumptions!$B$30:$B$50,Assumptions!$C$30:$C$50,0),"0.0#")&amp;" mechanism")))</f>
        <v>Mega base x 1.0 sector x 0.8 mechanism</v>
      </c>
      <c r="U253" s="13" t="s">
        <v>230</v>
      </c>
      <c r="V253" s="13" t="s">
        <v>231</v>
      </c>
      <c r="W253" s="13" t="s">
        <v>99</v>
      </c>
      <c r="X253" s="13"/>
    </row>
    <row r="254" spans="1:24" x14ac:dyDescent="0.2">
      <c r="A254" s="13" t="s">
        <v>1050</v>
      </c>
      <c r="B254" s="13" t="s">
        <v>1051</v>
      </c>
      <c r="C254" s="13" t="s">
        <v>205</v>
      </c>
      <c r="D254" s="13" t="s">
        <v>33</v>
      </c>
      <c r="E254" s="13" t="s">
        <v>56</v>
      </c>
      <c r="F254" s="13" t="s">
        <v>137</v>
      </c>
      <c r="G254" s="13" t="s">
        <v>176</v>
      </c>
      <c r="H254" s="13" t="s">
        <v>1038</v>
      </c>
      <c r="I254" s="13" t="s">
        <v>200</v>
      </c>
      <c r="J254" s="13" t="s">
        <v>1052</v>
      </c>
      <c r="K254" s="19" t="s">
        <v>1815</v>
      </c>
      <c r="L254" s="17"/>
      <c r="M254" s="17"/>
      <c r="N254" s="13" t="s">
        <v>208</v>
      </c>
      <c r="O254" s="13" t="s">
        <v>209</v>
      </c>
      <c r="P254" s="16"/>
      <c r="Q254" s="16"/>
      <c r="R254" s="16"/>
      <c r="S254" s="21">
        <f>IF($C254&lt;&gt;"Organisation","",IF(OR($P254&lt;&gt;"",$Q254&lt;&gt;""),IF($P254&lt;&gt;"",IF($Q254&lt;&gt;"",($P254+$Q254)/2,$P254),$Q254),ROUND(_xlfn.XLOOKUP($N254,Assumptions!$B$5:$B$9,Assumptions!$C$5:$C$9,0)*_xlfn.XLOOKUP($G254,Assumptions!$B$13:$B$26,Assumptions!$C$13:$C$26,0)*_xlfn.XLOOKUP($I254,Assumptions!$B$30:$B$50,Assumptions!$C$30:$C$50,0),0)))</f>
        <v>96</v>
      </c>
      <c r="T254" s="16" t="str">
        <f>IF($C254&lt;&gt;"Organisation","",IF(OR($P254&lt;&gt;"",$Q254&lt;&gt;""),"Documented in source - midpoint of annual_intake_low/high",IF($I254="","No confirmed programme - modelled as zero",$N254&amp;" base x "&amp;TEXT(_xlfn.XLOOKUP($G254,Assumptions!$B$13:$B$26,Assumptions!$C$13:$C$26,0),"0.0#")&amp;" sector x "&amp;TEXT(_xlfn.XLOOKUP($I254,Assumptions!$B$30:$B$50,Assumptions!$C$30:$C$50,0),"0.0#")&amp;" mechanism")))</f>
        <v>Large base x 1.0 sector x 0.8 mechanism</v>
      </c>
      <c r="U254" s="13" t="s">
        <v>230</v>
      </c>
      <c r="V254" s="13" t="s">
        <v>231</v>
      </c>
      <c r="W254" s="13" t="s">
        <v>99</v>
      </c>
      <c r="X254" s="13"/>
    </row>
    <row r="255" spans="1:24" x14ac:dyDescent="0.2">
      <c r="A255" s="13" t="s">
        <v>1053</v>
      </c>
      <c r="B255" s="13" t="s">
        <v>1054</v>
      </c>
      <c r="C255" s="13" t="s">
        <v>205</v>
      </c>
      <c r="D255" s="13" t="s">
        <v>33</v>
      </c>
      <c r="E255" s="13" t="s">
        <v>58</v>
      </c>
      <c r="F255" s="13" t="s">
        <v>141</v>
      </c>
      <c r="G255" s="13" t="s">
        <v>170</v>
      </c>
      <c r="H255" s="13" t="s">
        <v>1055</v>
      </c>
      <c r="I255" s="13" t="s">
        <v>200</v>
      </c>
      <c r="J255" s="13" t="s">
        <v>1056</v>
      </c>
      <c r="K255" s="19" t="s">
        <v>1815</v>
      </c>
      <c r="L255" s="17"/>
      <c r="M255" s="17"/>
      <c r="N255" s="13" t="s">
        <v>218</v>
      </c>
      <c r="O255" s="13" t="s">
        <v>209</v>
      </c>
      <c r="P255" s="16"/>
      <c r="Q255" s="16"/>
      <c r="R255" s="16"/>
      <c r="S255" s="21">
        <f>IF($C255&lt;&gt;"Organisation","",IF(OR($P255&lt;&gt;"",$Q255&lt;&gt;""),IF($P255&lt;&gt;"",IF($Q255&lt;&gt;"",($P255+$Q255)/2,$P255),$Q255),ROUND(_xlfn.XLOOKUP($N255,Assumptions!$B$5:$B$9,Assumptions!$C$5:$C$9,0)*_xlfn.XLOOKUP($G255,Assumptions!$B$13:$B$26,Assumptions!$C$13:$C$26,0)*_xlfn.XLOOKUP($I255,Assumptions!$B$30:$B$50,Assumptions!$C$30:$C$50,0),0)))</f>
        <v>320</v>
      </c>
      <c r="T255" s="16" t="str">
        <f>IF($C255&lt;&gt;"Organisation","",IF(OR($P255&lt;&gt;"",$Q255&lt;&gt;""),"Documented in source - midpoint of annual_intake_low/high",IF($I255="","No confirmed programme - modelled as zero",$N255&amp;" base x "&amp;TEXT(_xlfn.XLOOKUP($G255,Assumptions!$B$13:$B$26,Assumptions!$C$13:$C$26,0),"0.0#")&amp;" sector x "&amp;TEXT(_xlfn.XLOOKUP($I255,Assumptions!$B$30:$B$50,Assumptions!$C$30:$C$50,0),"0.0#")&amp;" mechanism")))</f>
        <v>Mega base x 1.0 sector x 0.8 mechanism</v>
      </c>
      <c r="U255" s="13" t="s">
        <v>222</v>
      </c>
      <c r="V255" s="13" t="s">
        <v>223</v>
      </c>
      <c r="W255" s="13" t="s">
        <v>99</v>
      </c>
      <c r="X255" s="13"/>
    </row>
    <row r="256" spans="1:24" x14ac:dyDescent="0.2">
      <c r="A256" s="13" t="s">
        <v>1057</v>
      </c>
      <c r="B256" s="13" t="s">
        <v>1058</v>
      </c>
      <c r="C256" s="13" t="s">
        <v>205</v>
      </c>
      <c r="D256" s="13" t="s">
        <v>33</v>
      </c>
      <c r="E256" s="13" t="s">
        <v>58</v>
      </c>
      <c r="F256" s="13" t="s">
        <v>141</v>
      </c>
      <c r="G256" s="13" t="s">
        <v>170</v>
      </c>
      <c r="H256" s="13" t="s">
        <v>1055</v>
      </c>
      <c r="I256" s="13" t="s">
        <v>200</v>
      </c>
      <c r="J256" s="13" t="s">
        <v>1059</v>
      </c>
      <c r="K256" s="19" t="s">
        <v>1815</v>
      </c>
      <c r="L256" s="17"/>
      <c r="M256" s="17"/>
      <c r="N256" s="13" t="s">
        <v>208</v>
      </c>
      <c r="O256" s="13" t="s">
        <v>209</v>
      </c>
      <c r="P256" s="16"/>
      <c r="Q256" s="16"/>
      <c r="R256" s="16"/>
      <c r="S256" s="21">
        <f>IF($C256&lt;&gt;"Organisation","",IF(OR($P256&lt;&gt;"",$Q256&lt;&gt;""),IF($P256&lt;&gt;"",IF($Q256&lt;&gt;"",($P256+$Q256)/2,$P256),$Q256),ROUND(_xlfn.XLOOKUP($N256,Assumptions!$B$5:$B$9,Assumptions!$C$5:$C$9,0)*_xlfn.XLOOKUP($G256,Assumptions!$B$13:$B$26,Assumptions!$C$13:$C$26,0)*_xlfn.XLOOKUP($I256,Assumptions!$B$30:$B$50,Assumptions!$C$30:$C$50,0),0)))</f>
        <v>96</v>
      </c>
      <c r="T256" s="16" t="str">
        <f>IF($C256&lt;&gt;"Organisation","",IF(OR($P256&lt;&gt;"",$Q256&lt;&gt;""),"Documented in source - midpoint of annual_intake_low/high",IF($I256="","No confirmed programme - modelled as zero",$N256&amp;" base x "&amp;TEXT(_xlfn.XLOOKUP($G256,Assumptions!$B$13:$B$26,Assumptions!$C$13:$C$26,0),"0.0#")&amp;" sector x "&amp;TEXT(_xlfn.XLOOKUP($I256,Assumptions!$B$30:$B$50,Assumptions!$C$30:$C$50,0),"0.0#")&amp;" mechanism")))</f>
        <v>Large base x 1.0 sector x 0.8 mechanism</v>
      </c>
      <c r="U256" s="13" t="s">
        <v>230</v>
      </c>
      <c r="V256" s="13" t="s">
        <v>231</v>
      </c>
      <c r="W256" s="13" t="s">
        <v>99</v>
      </c>
      <c r="X256" s="13"/>
    </row>
    <row r="257" spans="1:24" x14ac:dyDescent="0.2">
      <c r="A257" s="13" t="s">
        <v>1060</v>
      </c>
      <c r="B257" s="13" t="s">
        <v>1061</v>
      </c>
      <c r="C257" s="13" t="s">
        <v>205</v>
      </c>
      <c r="D257" s="13" t="s">
        <v>33</v>
      </c>
      <c r="E257" s="13" t="s">
        <v>58</v>
      </c>
      <c r="F257" s="13" t="s">
        <v>141</v>
      </c>
      <c r="G257" s="13" t="s">
        <v>176</v>
      </c>
      <c r="H257" s="13" t="s">
        <v>1055</v>
      </c>
      <c r="I257" s="13" t="s">
        <v>200</v>
      </c>
      <c r="J257" s="13" t="s">
        <v>1059</v>
      </c>
      <c r="K257" s="19" t="s">
        <v>1815</v>
      </c>
      <c r="L257" s="17"/>
      <c r="M257" s="17"/>
      <c r="N257" s="13" t="s">
        <v>208</v>
      </c>
      <c r="O257" s="13" t="s">
        <v>209</v>
      </c>
      <c r="P257" s="16"/>
      <c r="Q257" s="16"/>
      <c r="R257" s="16"/>
      <c r="S257" s="21">
        <f>IF($C257&lt;&gt;"Organisation","",IF(OR($P257&lt;&gt;"",$Q257&lt;&gt;""),IF($P257&lt;&gt;"",IF($Q257&lt;&gt;"",($P257+$Q257)/2,$P257),$Q257),ROUND(_xlfn.XLOOKUP($N257,Assumptions!$B$5:$B$9,Assumptions!$C$5:$C$9,0)*_xlfn.XLOOKUP($G257,Assumptions!$B$13:$B$26,Assumptions!$C$13:$C$26,0)*_xlfn.XLOOKUP($I257,Assumptions!$B$30:$B$50,Assumptions!$C$30:$C$50,0),0)))</f>
        <v>96</v>
      </c>
      <c r="T257" s="16" t="str">
        <f>IF($C257&lt;&gt;"Organisation","",IF(OR($P257&lt;&gt;"",$Q257&lt;&gt;""),"Documented in source - midpoint of annual_intake_low/high",IF($I257="","No confirmed programme - modelled as zero",$N257&amp;" base x "&amp;TEXT(_xlfn.XLOOKUP($G257,Assumptions!$B$13:$B$26,Assumptions!$C$13:$C$26,0),"0.0#")&amp;" sector x "&amp;TEXT(_xlfn.XLOOKUP($I257,Assumptions!$B$30:$B$50,Assumptions!$C$30:$C$50,0),"0.0#")&amp;" mechanism")))</f>
        <v>Large base x 1.0 sector x 0.8 mechanism</v>
      </c>
      <c r="U257" s="13" t="s">
        <v>230</v>
      </c>
      <c r="V257" s="13" t="s">
        <v>231</v>
      </c>
      <c r="W257" s="13" t="s">
        <v>99</v>
      </c>
      <c r="X257" s="13"/>
    </row>
    <row r="258" spans="1:24" x14ac:dyDescent="0.2">
      <c r="A258" s="13" t="s">
        <v>1062</v>
      </c>
      <c r="B258" s="13" t="s">
        <v>1063</v>
      </c>
      <c r="C258" s="13" t="s">
        <v>205</v>
      </c>
      <c r="D258" s="13" t="s">
        <v>33</v>
      </c>
      <c r="E258" s="13" t="s">
        <v>58</v>
      </c>
      <c r="F258" s="13" t="s">
        <v>141</v>
      </c>
      <c r="G258" s="13" t="s">
        <v>176</v>
      </c>
      <c r="H258" s="13" t="s">
        <v>1055</v>
      </c>
      <c r="I258" s="13" t="s">
        <v>200</v>
      </c>
      <c r="J258" s="13" t="s">
        <v>1059</v>
      </c>
      <c r="K258" s="19" t="s">
        <v>1815</v>
      </c>
      <c r="L258" s="17"/>
      <c r="M258" s="17"/>
      <c r="N258" s="13" t="s">
        <v>208</v>
      </c>
      <c r="O258" s="13" t="s">
        <v>209</v>
      </c>
      <c r="P258" s="16"/>
      <c r="Q258" s="16"/>
      <c r="R258" s="16"/>
      <c r="S258" s="21">
        <f>IF($C258&lt;&gt;"Organisation","",IF(OR($P258&lt;&gt;"",$Q258&lt;&gt;""),IF($P258&lt;&gt;"",IF($Q258&lt;&gt;"",($P258+$Q258)/2,$P258),$Q258),ROUND(_xlfn.XLOOKUP($N258,Assumptions!$B$5:$B$9,Assumptions!$C$5:$C$9,0)*_xlfn.XLOOKUP($G258,Assumptions!$B$13:$B$26,Assumptions!$C$13:$C$26,0)*_xlfn.XLOOKUP($I258,Assumptions!$B$30:$B$50,Assumptions!$C$30:$C$50,0),0)))</f>
        <v>96</v>
      </c>
      <c r="T258" s="16" t="str">
        <f>IF($C258&lt;&gt;"Organisation","",IF(OR($P258&lt;&gt;"",$Q258&lt;&gt;""),"Documented in source - midpoint of annual_intake_low/high",IF($I258="","No confirmed programme - modelled as zero",$N258&amp;" base x "&amp;TEXT(_xlfn.XLOOKUP($G258,Assumptions!$B$13:$B$26,Assumptions!$C$13:$C$26,0),"0.0#")&amp;" sector x "&amp;TEXT(_xlfn.XLOOKUP($I258,Assumptions!$B$30:$B$50,Assumptions!$C$30:$C$50,0),"0.0#")&amp;" mechanism")))</f>
        <v>Large base x 1.0 sector x 0.8 mechanism</v>
      </c>
      <c r="U258" s="13" t="s">
        <v>230</v>
      </c>
      <c r="V258" s="13" t="s">
        <v>231</v>
      </c>
      <c r="W258" s="13" t="s">
        <v>99</v>
      </c>
      <c r="X258" s="13"/>
    </row>
    <row r="259" spans="1:24" x14ac:dyDescent="0.2">
      <c r="A259" s="13" t="s">
        <v>1064</v>
      </c>
      <c r="B259" s="13" t="s">
        <v>1065</v>
      </c>
      <c r="C259" s="13" t="s">
        <v>205</v>
      </c>
      <c r="D259" s="13" t="s">
        <v>33</v>
      </c>
      <c r="E259" s="13" t="s">
        <v>58</v>
      </c>
      <c r="F259" s="13" t="s">
        <v>141</v>
      </c>
      <c r="G259" s="13" t="s">
        <v>170</v>
      </c>
      <c r="H259" s="13" t="s">
        <v>1055</v>
      </c>
      <c r="I259" s="13" t="s">
        <v>200</v>
      </c>
      <c r="J259" s="13" t="s">
        <v>1059</v>
      </c>
      <c r="K259" s="19" t="s">
        <v>1815</v>
      </c>
      <c r="L259" s="17"/>
      <c r="M259" s="17"/>
      <c r="N259" s="13" t="s">
        <v>208</v>
      </c>
      <c r="O259" s="13" t="s">
        <v>209</v>
      </c>
      <c r="P259" s="16"/>
      <c r="Q259" s="16"/>
      <c r="R259" s="16"/>
      <c r="S259" s="21">
        <f>IF($C259&lt;&gt;"Organisation","",IF(OR($P259&lt;&gt;"",$Q259&lt;&gt;""),IF($P259&lt;&gt;"",IF($Q259&lt;&gt;"",($P259+$Q259)/2,$P259),$Q259),ROUND(_xlfn.XLOOKUP($N259,Assumptions!$B$5:$B$9,Assumptions!$C$5:$C$9,0)*_xlfn.XLOOKUP($G259,Assumptions!$B$13:$B$26,Assumptions!$C$13:$C$26,0)*_xlfn.XLOOKUP($I259,Assumptions!$B$30:$B$50,Assumptions!$C$30:$C$50,0),0)))</f>
        <v>96</v>
      </c>
      <c r="T259" s="16" t="str">
        <f>IF($C259&lt;&gt;"Organisation","",IF(OR($P259&lt;&gt;"",$Q259&lt;&gt;""),"Documented in source - midpoint of annual_intake_low/high",IF($I259="","No confirmed programme - modelled as zero",$N259&amp;" base x "&amp;TEXT(_xlfn.XLOOKUP($G259,Assumptions!$B$13:$B$26,Assumptions!$C$13:$C$26,0),"0.0#")&amp;" sector x "&amp;TEXT(_xlfn.XLOOKUP($I259,Assumptions!$B$30:$B$50,Assumptions!$C$30:$C$50,0),"0.0#")&amp;" mechanism")))</f>
        <v>Large base x 1.0 sector x 0.8 mechanism</v>
      </c>
      <c r="U259" s="13" t="s">
        <v>230</v>
      </c>
      <c r="V259" s="13" t="s">
        <v>231</v>
      </c>
      <c r="W259" s="13" t="s">
        <v>99</v>
      </c>
      <c r="X259" s="13"/>
    </row>
    <row r="260" spans="1:24" x14ac:dyDescent="0.2">
      <c r="A260" s="13" t="s">
        <v>1066</v>
      </c>
      <c r="B260" s="13" t="s">
        <v>1067</v>
      </c>
      <c r="C260" s="13" t="s">
        <v>205</v>
      </c>
      <c r="D260" s="13" t="s">
        <v>33</v>
      </c>
      <c r="E260" s="13" t="s">
        <v>60</v>
      </c>
      <c r="F260" s="13" t="s">
        <v>143</v>
      </c>
      <c r="G260" s="13" t="s">
        <v>170</v>
      </c>
      <c r="H260" s="13" t="s">
        <v>1068</v>
      </c>
      <c r="I260" s="13" t="s">
        <v>200</v>
      </c>
      <c r="J260" s="13" t="s">
        <v>1069</v>
      </c>
      <c r="K260" s="19" t="s">
        <v>1819</v>
      </c>
      <c r="L260" s="17"/>
      <c r="M260" s="17"/>
      <c r="N260" s="13" t="s">
        <v>218</v>
      </c>
      <c r="O260" s="13" t="s">
        <v>209</v>
      </c>
      <c r="P260" s="16"/>
      <c r="Q260" s="16"/>
      <c r="R260" s="16"/>
      <c r="S260" s="21">
        <f>IF($C260&lt;&gt;"Organisation","",IF(OR($P260&lt;&gt;"",$Q260&lt;&gt;""),IF($P260&lt;&gt;"",IF($Q260&lt;&gt;"",($P260+$Q260)/2,$P260),$Q260),ROUND(_xlfn.XLOOKUP($N260,Assumptions!$B$5:$B$9,Assumptions!$C$5:$C$9,0)*_xlfn.XLOOKUP($G260,Assumptions!$B$13:$B$26,Assumptions!$C$13:$C$26,0)*_xlfn.XLOOKUP($I260,Assumptions!$B$30:$B$50,Assumptions!$C$30:$C$50,0),0)))</f>
        <v>320</v>
      </c>
      <c r="T260" s="16" t="str">
        <f>IF($C260&lt;&gt;"Organisation","",IF(OR($P260&lt;&gt;"",$Q260&lt;&gt;""),"Documented in source - midpoint of annual_intake_low/high",IF($I260="","No confirmed programme - modelled as zero",$N260&amp;" base x "&amp;TEXT(_xlfn.XLOOKUP($G260,Assumptions!$B$13:$B$26,Assumptions!$C$13:$C$26,0),"0.0#")&amp;" sector x "&amp;TEXT(_xlfn.XLOOKUP($I260,Assumptions!$B$30:$B$50,Assumptions!$C$30:$C$50,0),"0.0#")&amp;" mechanism")))</f>
        <v>Mega base x 1.0 sector x 0.8 mechanism</v>
      </c>
      <c r="U260" s="13" t="s">
        <v>210</v>
      </c>
      <c r="V260" s="13" t="s">
        <v>211</v>
      </c>
      <c r="W260" s="13" t="s">
        <v>99</v>
      </c>
      <c r="X260" s="13"/>
    </row>
    <row r="261" spans="1:24" x14ac:dyDescent="0.2">
      <c r="A261" s="13" t="s">
        <v>1070</v>
      </c>
      <c r="B261" s="13" t="s">
        <v>1071</v>
      </c>
      <c r="C261" s="13" t="s">
        <v>205</v>
      </c>
      <c r="D261" s="13" t="s">
        <v>33</v>
      </c>
      <c r="E261" s="13" t="s">
        <v>60</v>
      </c>
      <c r="F261" s="13" t="s">
        <v>143</v>
      </c>
      <c r="G261" s="13" t="s">
        <v>170</v>
      </c>
      <c r="H261" s="13" t="s">
        <v>1068</v>
      </c>
      <c r="I261" s="13" t="s">
        <v>200</v>
      </c>
      <c r="J261" s="13" t="s">
        <v>1014</v>
      </c>
      <c r="K261" s="19" t="s">
        <v>1815</v>
      </c>
      <c r="L261" s="17"/>
      <c r="M261" s="17"/>
      <c r="N261" s="13" t="s">
        <v>218</v>
      </c>
      <c r="O261" s="13" t="s">
        <v>209</v>
      </c>
      <c r="P261" s="16"/>
      <c r="Q261" s="16"/>
      <c r="R261" s="16"/>
      <c r="S261" s="21">
        <f>IF($C261&lt;&gt;"Organisation","",IF(OR($P261&lt;&gt;"",$Q261&lt;&gt;""),IF($P261&lt;&gt;"",IF($Q261&lt;&gt;"",($P261+$Q261)/2,$P261),$Q261),ROUND(_xlfn.XLOOKUP($N261,Assumptions!$B$5:$B$9,Assumptions!$C$5:$C$9,0)*_xlfn.XLOOKUP($G261,Assumptions!$B$13:$B$26,Assumptions!$C$13:$C$26,0)*_xlfn.XLOOKUP($I261,Assumptions!$B$30:$B$50,Assumptions!$C$30:$C$50,0),0)))</f>
        <v>320</v>
      </c>
      <c r="T261" s="16" t="str">
        <f>IF($C261&lt;&gt;"Organisation","",IF(OR($P261&lt;&gt;"",$Q261&lt;&gt;""),"Documented in source - midpoint of annual_intake_low/high",IF($I261="","No confirmed programme - modelled as zero",$N261&amp;" base x "&amp;TEXT(_xlfn.XLOOKUP($G261,Assumptions!$B$13:$B$26,Assumptions!$C$13:$C$26,0),"0.0#")&amp;" sector x "&amp;TEXT(_xlfn.XLOOKUP($I261,Assumptions!$B$30:$B$50,Assumptions!$C$30:$C$50,0),"0.0#")&amp;" mechanism")))</f>
        <v>Mega base x 1.0 sector x 0.8 mechanism</v>
      </c>
      <c r="U261" s="13" t="s">
        <v>230</v>
      </c>
      <c r="V261" s="13" t="s">
        <v>231</v>
      </c>
      <c r="W261" s="13" t="s">
        <v>99</v>
      </c>
      <c r="X261" s="13"/>
    </row>
    <row r="262" spans="1:24" x14ac:dyDescent="0.2">
      <c r="A262" s="13" t="s">
        <v>1072</v>
      </c>
      <c r="B262" s="13" t="s">
        <v>1073</v>
      </c>
      <c r="C262" s="13" t="s">
        <v>205</v>
      </c>
      <c r="D262" s="13" t="s">
        <v>33</v>
      </c>
      <c r="E262" s="13" t="s">
        <v>60</v>
      </c>
      <c r="F262" s="13" t="s">
        <v>143</v>
      </c>
      <c r="G262" s="13" t="s">
        <v>170</v>
      </c>
      <c r="H262" s="13" t="s">
        <v>1068</v>
      </c>
      <c r="I262" s="13" t="s">
        <v>200</v>
      </c>
      <c r="J262" s="13" t="s">
        <v>1014</v>
      </c>
      <c r="K262" s="19" t="s">
        <v>1815</v>
      </c>
      <c r="L262" s="17"/>
      <c r="M262" s="17"/>
      <c r="N262" s="13" t="s">
        <v>218</v>
      </c>
      <c r="O262" s="13" t="s">
        <v>209</v>
      </c>
      <c r="P262" s="16"/>
      <c r="Q262" s="16"/>
      <c r="R262" s="16"/>
      <c r="S262" s="21">
        <f>IF($C262&lt;&gt;"Organisation","",IF(OR($P262&lt;&gt;"",$Q262&lt;&gt;""),IF($P262&lt;&gt;"",IF($Q262&lt;&gt;"",($P262+$Q262)/2,$P262),$Q262),ROUND(_xlfn.XLOOKUP($N262,Assumptions!$B$5:$B$9,Assumptions!$C$5:$C$9,0)*_xlfn.XLOOKUP($G262,Assumptions!$B$13:$B$26,Assumptions!$C$13:$C$26,0)*_xlfn.XLOOKUP($I262,Assumptions!$B$30:$B$50,Assumptions!$C$30:$C$50,0),0)))</f>
        <v>320</v>
      </c>
      <c r="T262" s="16" t="str">
        <f>IF($C262&lt;&gt;"Organisation","",IF(OR($P262&lt;&gt;"",$Q262&lt;&gt;""),"Documented in source - midpoint of annual_intake_low/high",IF($I262="","No confirmed programme - modelled as zero",$N262&amp;" base x "&amp;TEXT(_xlfn.XLOOKUP($G262,Assumptions!$B$13:$B$26,Assumptions!$C$13:$C$26,0),"0.0#")&amp;" sector x "&amp;TEXT(_xlfn.XLOOKUP($I262,Assumptions!$B$30:$B$50,Assumptions!$C$30:$C$50,0),"0.0#")&amp;" mechanism")))</f>
        <v>Mega base x 1.0 sector x 0.8 mechanism</v>
      </c>
      <c r="U262" s="13" t="s">
        <v>230</v>
      </c>
      <c r="V262" s="13" t="s">
        <v>231</v>
      </c>
      <c r="W262" s="13" t="s">
        <v>99</v>
      </c>
      <c r="X262" s="13"/>
    </row>
    <row r="263" spans="1:24" x14ac:dyDescent="0.2">
      <c r="A263" s="13" t="s">
        <v>1074</v>
      </c>
      <c r="B263" s="13" t="s">
        <v>1075</v>
      </c>
      <c r="C263" s="13" t="s">
        <v>205</v>
      </c>
      <c r="D263" s="13" t="s">
        <v>33</v>
      </c>
      <c r="E263" s="13" t="s">
        <v>62</v>
      </c>
      <c r="F263" s="13" t="s">
        <v>145</v>
      </c>
      <c r="G263" s="13" t="s">
        <v>170</v>
      </c>
      <c r="H263" s="13" t="s">
        <v>1076</v>
      </c>
      <c r="I263" s="13" t="s">
        <v>200</v>
      </c>
      <c r="J263" s="13" t="s">
        <v>1077</v>
      </c>
      <c r="K263" s="19" t="s">
        <v>1819</v>
      </c>
      <c r="L263" s="17"/>
      <c r="M263" s="17"/>
      <c r="N263" s="13" t="s">
        <v>218</v>
      </c>
      <c r="O263" s="13" t="s">
        <v>209</v>
      </c>
      <c r="P263" s="16"/>
      <c r="Q263" s="16"/>
      <c r="R263" s="16"/>
      <c r="S263" s="21">
        <f>IF($C263&lt;&gt;"Organisation","",IF(OR($P263&lt;&gt;"",$Q263&lt;&gt;""),IF($P263&lt;&gt;"",IF($Q263&lt;&gt;"",($P263+$Q263)/2,$P263),$Q263),ROUND(_xlfn.XLOOKUP($N263,Assumptions!$B$5:$B$9,Assumptions!$C$5:$C$9,0)*_xlfn.XLOOKUP($G263,Assumptions!$B$13:$B$26,Assumptions!$C$13:$C$26,0)*_xlfn.XLOOKUP($I263,Assumptions!$B$30:$B$50,Assumptions!$C$30:$C$50,0),0)))</f>
        <v>320</v>
      </c>
      <c r="T263" s="16" t="str">
        <f>IF($C263&lt;&gt;"Organisation","",IF(OR($P263&lt;&gt;"",$Q263&lt;&gt;""),"Documented in source - midpoint of annual_intake_low/high",IF($I263="","No confirmed programme - modelled as zero",$N263&amp;" base x "&amp;TEXT(_xlfn.XLOOKUP($G263,Assumptions!$B$13:$B$26,Assumptions!$C$13:$C$26,0),"0.0#")&amp;" sector x "&amp;TEXT(_xlfn.XLOOKUP($I263,Assumptions!$B$30:$B$50,Assumptions!$C$30:$C$50,0),"0.0#")&amp;" mechanism")))</f>
        <v>Mega base x 1.0 sector x 0.8 mechanism</v>
      </c>
      <c r="U263" s="13" t="s">
        <v>210</v>
      </c>
      <c r="V263" s="13" t="s">
        <v>211</v>
      </c>
      <c r="W263" s="13" t="s">
        <v>99</v>
      </c>
      <c r="X263" s="13"/>
    </row>
    <row r="264" spans="1:24" x14ac:dyDescent="0.2">
      <c r="A264" s="13" t="s">
        <v>1078</v>
      </c>
      <c r="B264" s="13" t="s">
        <v>1079</v>
      </c>
      <c r="C264" s="13" t="s">
        <v>205</v>
      </c>
      <c r="D264" s="13" t="s">
        <v>33</v>
      </c>
      <c r="E264" s="13" t="s">
        <v>62</v>
      </c>
      <c r="F264" s="13" t="s">
        <v>145</v>
      </c>
      <c r="G264" s="13" t="s">
        <v>170</v>
      </c>
      <c r="H264" s="13" t="s">
        <v>1076</v>
      </c>
      <c r="I264" s="13" t="s">
        <v>200</v>
      </c>
      <c r="J264" s="13" t="s">
        <v>1080</v>
      </c>
      <c r="K264" s="19" t="s">
        <v>1815</v>
      </c>
      <c r="L264" s="17"/>
      <c r="M264" s="17"/>
      <c r="N264" s="13" t="s">
        <v>218</v>
      </c>
      <c r="O264" s="13" t="s">
        <v>209</v>
      </c>
      <c r="P264" s="16"/>
      <c r="Q264" s="16"/>
      <c r="R264" s="16"/>
      <c r="S264" s="21">
        <f>IF($C264&lt;&gt;"Organisation","",IF(OR($P264&lt;&gt;"",$Q264&lt;&gt;""),IF($P264&lt;&gt;"",IF($Q264&lt;&gt;"",($P264+$Q264)/2,$P264),$Q264),ROUND(_xlfn.XLOOKUP($N264,Assumptions!$B$5:$B$9,Assumptions!$C$5:$C$9,0)*_xlfn.XLOOKUP($G264,Assumptions!$B$13:$B$26,Assumptions!$C$13:$C$26,0)*_xlfn.XLOOKUP($I264,Assumptions!$B$30:$B$50,Assumptions!$C$30:$C$50,0),0)))</f>
        <v>320</v>
      </c>
      <c r="T264" s="16" t="str">
        <f>IF($C264&lt;&gt;"Organisation","",IF(OR($P264&lt;&gt;"",$Q264&lt;&gt;""),"Documented in source - midpoint of annual_intake_low/high",IF($I264="","No confirmed programme - modelled as zero",$N264&amp;" base x "&amp;TEXT(_xlfn.XLOOKUP($G264,Assumptions!$B$13:$B$26,Assumptions!$C$13:$C$26,0),"0.0#")&amp;" sector x "&amp;TEXT(_xlfn.XLOOKUP($I264,Assumptions!$B$30:$B$50,Assumptions!$C$30:$C$50,0),"0.0#")&amp;" mechanism")))</f>
        <v>Mega base x 1.0 sector x 0.8 mechanism</v>
      </c>
      <c r="U264" s="13" t="s">
        <v>210</v>
      </c>
      <c r="V264" s="13" t="s">
        <v>211</v>
      </c>
      <c r="W264" s="13" t="s">
        <v>99</v>
      </c>
      <c r="X264" s="13"/>
    </row>
    <row r="265" spans="1:24" x14ac:dyDescent="0.2">
      <c r="A265" s="13" t="s">
        <v>1081</v>
      </c>
      <c r="B265" s="13" t="s">
        <v>1082</v>
      </c>
      <c r="C265" s="13" t="s">
        <v>205</v>
      </c>
      <c r="D265" s="13" t="s">
        <v>33</v>
      </c>
      <c r="E265" s="13" t="s">
        <v>62</v>
      </c>
      <c r="F265" s="13" t="s">
        <v>147</v>
      </c>
      <c r="G265" s="13" t="s">
        <v>176</v>
      </c>
      <c r="H265" s="13" t="s">
        <v>1083</v>
      </c>
      <c r="I265" s="13" t="s">
        <v>200</v>
      </c>
      <c r="J265" s="13" t="s">
        <v>1014</v>
      </c>
      <c r="K265" s="19" t="s">
        <v>1815</v>
      </c>
      <c r="L265" s="17"/>
      <c r="M265" s="17"/>
      <c r="N265" s="13" t="s">
        <v>218</v>
      </c>
      <c r="O265" s="13" t="s">
        <v>209</v>
      </c>
      <c r="P265" s="16"/>
      <c r="Q265" s="16"/>
      <c r="R265" s="16"/>
      <c r="S265" s="21">
        <f>IF($C265&lt;&gt;"Organisation","",IF(OR($P265&lt;&gt;"",$Q265&lt;&gt;""),IF($P265&lt;&gt;"",IF($Q265&lt;&gt;"",($P265+$Q265)/2,$P265),$Q265),ROUND(_xlfn.XLOOKUP($N265,Assumptions!$B$5:$B$9,Assumptions!$C$5:$C$9,0)*_xlfn.XLOOKUP($G265,Assumptions!$B$13:$B$26,Assumptions!$C$13:$C$26,0)*_xlfn.XLOOKUP($I265,Assumptions!$B$30:$B$50,Assumptions!$C$30:$C$50,0),0)))</f>
        <v>320</v>
      </c>
      <c r="T265" s="16" t="str">
        <f>IF($C265&lt;&gt;"Organisation","",IF(OR($P265&lt;&gt;"",$Q265&lt;&gt;""),"Documented in source - midpoint of annual_intake_low/high",IF($I265="","No confirmed programme - modelled as zero",$N265&amp;" base x "&amp;TEXT(_xlfn.XLOOKUP($G265,Assumptions!$B$13:$B$26,Assumptions!$C$13:$C$26,0),"0.0#")&amp;" sector x "&amp;TEXT(_xlfn.XLOOKUP($I265,Assumptions!$B$30:$B$50,Assumptions!$C$30:$C$50,0),"0.0#")&amp;" mechanism")))</f>
        <v>Mega base x 1.0 sector x 0.8 mechanism</v>
      </c>
      <c r="U265" s="13" t="s">
        <v>230</v>
      </c>
      <c r="V265" s="13" t="s">
        <v>231</v>
      </c>
      <c r="W265" s="13" t="s">
        <v>80</v>
      </c>
      <c r="X265" s="13"/>
    </row>
    <row r="266" spans="1:24" x14ac:dyDescent="0.2">
      <c r="A266" s="13" t="s">
        <v>1084</v>
      </c>
      <c r="B266" s="13" t="s">
        <v>1085</v>
      </c>
      <c r="C266" s="13" t="s">
        <v>205</v>
      </c>
      <c r="D266" s="13" t="s">
        <v>33</v>
      </c>
      <c r="E266" s="13" t="s">
        <v>64</v>
      </c>
      <c r="F266" s="13" t="s">
        <v>149</v>
      </c>
      <c r="G266" s="13" t="s">
        <v>170</v>
      </c>
      <c r="H266" s="13" t="s">
        <v>1086</v>
      </c>
      <c r="I266" s="13" t="s">
        <v>200</v>
      </c>
      <c r="J266" s="13" t="s">
        <v>1087</v>
      </c>
      <c r="K266" s="19" t="s">
        <v>1815</v>
      </c>
      <c r="L266" s="17"/>
      <c r="M266" s="17"/>
      <c r="N266" s="13" t="s">
        <v>208</v>
      </c>
      <c r="O266" s="13" t="s">
        <v>209</v>
      </c>
      <c r="P266" s="16"/>
      <c r="Q266" s="16"/>
      <c r="R266" s="16"/>
      <c r="S266" s="21">
        <f>IF($C266&lt;&gt;"Organisation","",IF(OR($P266&lt;&gt;"",$Q266&lt;&gt;""),IF($P266&lt;&gt;"",IF($Q266&lt;&gt;"",($P266+$Q266)/2,$P266),$Q266),ROUND(_xlfn.XLOOKUP($N266,Assumptions!$B$5:$B$9,Assumptions!$C$5:$C$9,0)*_xlfn.XLOOKUP($G266,Assumptions!$B$13:$B$26,Assumptions!$C$13:$C$26,0)*_xlfn.XLOOKUP($I266,Assumptions!$B$30:$B$50,Assumptions!$C$30:$C$50,0),0)))</f>
        <v>96</v>
      </c>
      <c r="T266" s="16" t="str">
        <f>IF($C266&lt;&gt;"Organisation","",IF(OR($P266&lt;&gt;"",$Q266&lt;&gt;""),"Documented in source - midpoint of annual_intake_low/high",IF($I266="","No confirmed programme - modelled as zero",$N266&amp;" base x "&amp;TEXT(_xlfn.XLOOKUP($G266,Assumptions!$B$13:$B$26,Assumptions!$C$13:$C$26,0),"0.0#")&amp;" sector x "&amp;TEXT(_xlfn.XLOOKUP($I266,Assumptions!$B$30:$B$50,Assumptions!$C$30:$C$50,0),"0.0#")&amp;" mechanism")))</f>
        <v>Large base x 1.0 sector x 0.8 mechanism</v>
      </c>
      <c r="U266" s="13" t="s">
        <v>210</v>
      </c>
      <c r="V266" s="13" t="s">
        <v>211</v>
      </c>
      <c r="W266" s="13" t="s">
        <v>99</v>
      </c>
      <c r="X266" s="13"/>
    </row>
    <row r="267" spans="1:24" x14ac:dyDescent="0.2">
      <c r="A267" s="13" t="s">
        <v>1088</v>
      </c>
      <c r="B267" s="13" t="s">
        <v>1089</v>
      </c>
      <c r="C267" s="13" t="s">
        <v>205</v>
      </c>
      <c r="D267" s="13" t="s">
        <v>33</v>
      </c>
      <c r="E267" s="13" t="s">
        <v>64</v>
      </c>
      <c r="F267" s="13" t="s">
        <v>149</v>
      </c>
      <c r="G267" s="13" t="s">
        <v>170</v>
      </c>
      <c r="H267" s="13" t="s">
        <v>1090</v>
      </c>
      <c r="I267" s="13" t="s">
        <v>200</v>
      </c>
      <c r="J267" s="13" t="s">
        <v>1091</v>
      </c>
      <c r="K267" s="19" t="s">
        <v>1815</v>
      </c>
      <c r="L267" s="17"/>
      <c r="M267" s="17"/>
      <c r="N267" s="13" t="s">
        <v>208</v>
      </c>
      <c r="O267" s="13" t="s">
        <v>209</v>
      </c>
      <c r="P267" s="16"/>
      <c r="Q267" s="16"/>
      <c r="R267" s="16"/>
      <c r="S267" s="21">
        <f>IF($C267&lt;&gt;"Organisation","",IF(OR($P267&lt;&gt;"",$Q267&lt;&gt;""),IF($P267&lt;&gt;"",IF($Q267&lt;&gt;"",($P267+$Q267)/2,$P267),$Q267),ROUND(_xlfn.XLOOKUP($N267,Assumptions!$B$5:$B$9,Assumptions!$C$5:$C$9,0)*_xlfn.XLOOKUP($G267,Assumptions!$B$13:$B$26,Assumptions!$C$13:$C$26,0)*_xlfn.XLOOKUP($I267,Assumptions!$B$30:$B$50,Assumptions!$C$30:$C$50,0),0)))</f>
        <v>96</v>
      </c>
      <c r="T267" s="16" t="str">
        <f>IF($C267&lt;&gt;"Organisation","",IF(OR($P267&lt;&gt;"",$Q267&lt;&gt;""),"Documented in source - midpoint of annual_intake_low/high",IF($I267="","No confirmed programme - modelled as zero",$N267&amp;" base x "&amp;TEXT(_xlfn.XLOOKUP($G267,Assumptions!$B$13:$B$26,Assumptions!$C$13:$C$26,0),"0.0#")&amp;" sector x "&amp;TEXT(_xlfn.XLOOKUP($I267,Assumptions!$B$30:$B$50,Assumptions!$C$30:$C$50,0),"0.0#")&amp;" mechanism")))</f>
        <v>Large base x 1.0 sector x 0.8 mechanism</v>
      </c>
      <c r="U267" s="13" t="s">
        <v>230</v>
      </c>
      <c r="V267" s="13" t="s">
        <v>231</v>
      </c>
      <c r="W267" s="13" t="s">
        <v>99</v>
      </c>
      <c r="X267" s="13"/>
    </row>
    <row r="268" spans="1:24" x14ac:dyDescent="0.2">
      <c r="A268" s="13" t="s">
        <v>1092</v>
      </c>
      <c r="B268" s="13" t="s">
        <v>1093</v>
      </c>
      <c r="C268" s="13" t="s">
        <v>205</v>
      </c>
      <c r="D268" s="13" t="s">
        <v>33</v>
      </c>
      <c r="E268" s="13" t="s">
        <v>64</v>
      </c>
      <c r="F268" s="13" t="s">
        <v>149</v>
      </c>
      <c r="G268" s="13" t="s">
        <v>170</v>
      </c>
      <c r="H268" s="13" t="s">
        <v>1090</v>
      </c>
      <c r="I268" s="13" t="s">
        <v>200</v>
      </c>
      <c r="J268" s="13" t="s">
        <v>1091</v>
      </c>
      <c r="K268" s="19" t="s">
        <v>1815</v>
      </c>
      <c r="L268" s="17"/>
      <c r="M268" s="17"/>
      <c r="N268" s="13" t="s">
        <v>208</v>
      </c>
      <c r="O268" s="13" t="s">
        <v>209</v>
      </c>
      <c r="P268" s="16"/>
      <c r="Q268" s="16"/>
      <c r="R268" s="16"/>
      <c r="S268" s="21">
        <f>IF($C268&lt;&gt;"Organisation","",IF(OR($P268&lt;&gt;"",$Q268&lt;&gt;""),IF($P268&lt;&gt;"",IF($Q268&lt;&gt;"",($P268+$Q268)/2,$P268),$Q268),ROUND(_xlfn.XLOOKUP($N268,Assumptions!$B$5:$B$9,Assumptions!$C$5:$C$9,0)*_xlfn.XLOOKUP($G268,Assumptions!$B$13:$B$26,Assumptions!$C$13:$C$26,0)*_xlfn.XLOOKUP($I268,Assumptions!$B$30:$B$50,Assumptions!$C$30:$C$50,0),0)))</f>
        <v>96</v>
      </c>
      <c r="T268" s="16" t="str">
        <f>IF($C268&lt;&gt;"Organisation","",IF(OR($P268&lt;&gt;"",$Q268&lt;&gt;""),"Documented in source - midpoint of annual_intake_low/high",IF($I268="","No confirmed programme - modelled as zero",$N268&amp;" base x "&amp;TEXT(_xlfn.XLOOKUP($G268,Assumptions!$B$13:$B$26,Assumptions!$C$13:$C$26,0),"0.0#")&amp;" sector x "&amp;TEXT(_xlfn.XLOOKUP($I268,Assumptions!$B$30:$B$50,Assumptions!$C$30:$C$50,0),"0.0#")&amp;" mechanism")))</f>
        <v>Large base x 1.0 sector x 0.8 mechanism</v>
      </c>
      <c r="U268" s="13" t="s">
        <v>230</v>
      </c>
      <c r="V268" s="13" t="s">
        <v>231</v>
      </c>
      <c r="W268" s="13" t="s">
        <v>99</v>
      </c>
      <c r="X268" s="13"/>
    </row>
    <row r="269" spans="1:24" x14ac:dyDescent="0.2">
      <c r="A269" s="13" t="s">
        <v>1094</v>
      </c>
      <c r="B269" s="13" t="s">
        <v>1095</v>
      </c>
      <c r="C269" s="13" t="s">
        <v>205</v>
      </c>
      <c r="D269" s="13" t="s">
        <v>33</v>
      </c>
      <c r="E269" s="13" t="s">
        <v>64</v>
      </c>
      <c r="F269" s="13" t="s">
        <v>149</v>
      </c>
      <c r="G269" s="13" t="s">
        <v>170</v>
      </c>
      <c r="H269" s="13" t="s">
        <v>1090</v>
      </c>
      <c r="I269" s="13" t="s">
        <v>200</v>
      </c>
      <c r="J269" s="13" t="s">
        <v>1091</v>
      </c>
      <c r="K269" s="19" t="s">
        <v>1815</v>
      </c>
      <c r="L269" s="17"/>
      <c r="M269" s="17"/>
      <c r="N269" s="13" t="s">
        <v>208</v>
      </c>
      <c r="O269" s="13" t="s">
        <v>209</v>
      </c>
      <c r="P269" s="16"/>
      <c r="Q269" s="16"/>
      <c r="R269" s="16"/>
      <c r="S269" s="21">
        <f>IF($C269&lt;&gt;"Organisation","",IF(OR($P269&lt;&gt;"",$Q269&lt;&gt;""),IF($P269&lt;&gt;"",IF($Q269&lt;&gt;"",($P269+$Q269)/2,$P269),$Q269),ROUND(_xlfn.XLOOKUP($N269,Assumptions!$B$5:$B$9,Assumptions!$C$5:$C$9,0)*_xlfn.XLOOKUP($G269,Assumptions!$B$13:$B$26,Assumptions!$C$13:$C$26,0)*_xlfn.XLOOKUP($I269,Assumptions!$B$30:$B$50,Assumptions!$C$30:$C$50,0),0)))</f>
        <v>96</v>
      </c>
      <c r="T269" s="16" t="str">
        <f>IF($C269&lt;&gt;"Organisation","",IF(OR($P269&lt;&gt;"",$Q269&lt;&gt;""),"Documented in source - midpoint of annual_intake_low/high",IF($I269="","No confirmed programme - modelled as zero",$N269&amp;" base x "&amp;TEXT(_xlfn.XLOOKUP($G269,Assumptions!$B$13:$B$26,Assumptions!$C$13:$C$26,0),"0.0#")&amp;" sector x "&amp;TEXT(_xlfn.XLOOKUP($I269,Assumptions!$B$30:$B$50,Assumptions!$C$30:$C$50,0),"0.0#")&amp;" mechanism")))</f>
        <v>Large base x 1.0 sector x 0.8 mechanism</v>
      </c>
      <c r="U269" s="13" t="s">
        <v>230</v>
      </c>
      <c r="V269" s="13" t="s">
        <v>231</v>
      </c>
      <c r="W269" s="13" t="s">
        <v>99</v>
      </c>
      <c r="X269" s="13"/>
    </row>
    <row r="270" spans="1:24" x14ac:dyDescent="0.2">
      <c r="A270" s="13" t="s">
        <v>1096</v>
      </c>
      <c r="B270" s="13" t="s">
        <v>1097</v>
      </c>
      <c r="C270" s="13" t="s">
        <v>205</v>
      </c>
      <c r="D270" s="13" t="s">
        <v>33</v>
      </c>
      <c r="E270" s="13" t="s">
        <v>66</v>
      </c>
      <c r="F270" s="13" t="s">
        <v>151</v>
      </c>
      <c r="G270" s="13" t="s">
        <v>170</v>
      </c>
      <c r="H270" s="13" t="s">
        <v>1098</v>
      </c>
      <c r="I270" s="13" t="s">
        <v>200</v>
      </c>
      <c r="J270" s="13" t="s">
        <v>1056</v>
      </c>
      <c r="K270" s="19" t="s">
        <v>1815</v>
      </c>
      <c r="L270" s="17"/>
      <c r="M270" s="17"/>
      <c r="N270" s="13" t="s">
        <v>208</v>
      </c>
      <c r="O270" s="13" t="s">
        <v>209</v>
      </c>
      <c r="P270" s="16"/>
      <c r="Q270" s="16"/>
      <c r="R270" s="16"/>
      <c r="S270" s="21">
        <f>IF($C270&lt;&gt;"Organisation","",IF(OR($P270&lt;&gt;"",$Q270&lt;&gt;""),IF($P270&lt;&gt;"",IF($Q270&lt;&gt;"",($P270+$Q270)/2,$P270),$Q270),ROUND(_xlfn.XLOOKUP($N270,Assumptions!$B$5:$B$9,Assumptions!$C$5:$C$9,0)*_xlfn.XLOOKUP($G270,Assumptions!$B$13:$B$26,Assumptions!$C$13:$C$26,0)*_xlfn.XLOOKUP($I270,Assumptions!$B$30:$B$50,Assumptions!$C$30:$C$50,0),0)))</f>
        <v>96</v>
      </c>
      <c r="T270" s="16" t="str">
        <f>IF($C270&lt;&gt;"Organisation","",IF(OR($P270&lt;&gt;"",$Q270&lt;&gt;""),"Documented in source - midpoint of annual_intake_low/high",IF($I270="","No confirmed programme - modelled as zero",$N270&amp;" base x "&amp;TEXT(_xlfn.XLOOKUP($G270,Assumptions!$B$13:$B$26,Assumptions!$C$13:$C$26,0),"0.0#")&amp;" sector x "&amp;TEXT(_xlfn.XLOOKUP($I270,Assumptions!$B$30:$B$50,Assumptions!$C$30:$C$50,0),"0.0#")&amp;" mechanism")))</f>
        <v>Large base x 1.0 sector x 0.8 mechanism</v>
      </c>
      <c r="U270" s="13" t="s">
        <v>230</v>
      </c>
      <c r="V270" s="13" t="s">
        <v>231</v>
      </c>
      <c r="W270" s="13" t="s">
        <v>99</v>
      </c>
      <c r="X270" s="13"/>
    </row>
    <row r="271" spans="1:24" x14ac:dyDescent="0.2">
      <c r="A271" s="13" t="s">
        <v>1099</v>
      </c>
      <c r="B271" s="13" t="s">
        <v>1100</v>
      </c>
      <c r="C271" s="13" t="s">
        <v>205</v>
      </c>
      <c r="D271" s="13" t="s">
        <v>33</v>
      </c>
      <c r="E271" s="13" t="s">
        <v>68</v>
      </c>
      <c r="F271" s="13" t="s">
        <v>153</v>
      </c>
      <c r="G271" s="13" t="s">
        <v>170</v>
      </c>
      <c r="H271" s="13" t="s">
        <v>1101</v>
      </c>
      <c r="I271" s="13" t="s">
        <v>200</v>
      </c>
      <c r="J271" s="13" t="s">
        <v>1091</v>
      </c>
      <c r="K271" s="19" t="s">
        <v>1815</v>
      </c>
      <c r="L271" s="17"/>
      <c r="M271" s="17"/>
      <c r="N271" s="13" t="s">
        <v>208</v>
      </c>
      <c r="O271" s="13" t="s">
        <v>209</v>
      </c>
      <c r="P271" s="16"/>
      <c r="Q271" s="16"/>
      <c r="R271" s="16"/>
      <c r="S271" s="21">
        <f>IF($C271&lt;&gt;"Organisation","",IF(OR($P271&lt;&gt;"",$Q271&lt;&gt;""),IF($P271&lt;&gt;"",IF($Q271&lt;&gt;"",($P271+$Q271)/2,$P271),$Q271),ROUND(_xlfn.XLOOKUP($N271,Assumptions!$B$5:$B$9,Assumptions!$C$5:$C$9,0)*_xlfn.XLOOKUP($G271,Assumptions!$B$13:$B$26,Assumptions!$C$13:$C$26,0)*_xlfn.XLOOKUP($I271,Assumptions!$B$30:$B$50,Assumptions!$C$30:$C$50,0),0)))</f>
        <v>96</v>
      </c>
      <c r="T271" s="16" t="str">
        <f>IF($C271&lt;&gt;"Organisation","",IF(OR($P271&lt;&gt;"",$Q271&lt;&gt;""),"Documented in source - midpoint of annual_intake_low/high",IF($I271="","No confirmed programme - modelled as zero",$N271&amp;" base x "&amp;TEXT(_xlfn.XLOOKUP($G271,Assumptions!$B$13:$B$26,Assumptions!$C$13:$C$26,0),"0.0#")&amp;" sector x "&amp;TEXT(_xlfn.XLOOKUP($I271,Assumptions!$B$30:$B$50,Assumptions!$C$30:$C$50,0),"0.0#")&amp;" mechanism")))</f>
        <v>Large base x 1.0 sector x 0.8 mechanism</v>
      </c>
      <c r="U271" s="13" t="s">
        <v>230</v>
      </c>
      <c r="V271" s="13" t="s">
        <v>231</v>
      </c>
      <c r="W271" s="13" t="s">
        <v>99</v>
      </c>
      <c r="X271" s="13"/>
    </row>
    <row r="272" spans="1:24" x14ac:dyDescent="0.2">
      <c r="A272" s="13" t="s">
        <v>1102</v>
      </c>
      <c r="B272" s="13" t="s">
        <v>1103</v>
      </c>
      <c r="C272" s="13" t="s">
        <v>205</v>
      </c>
      <c r="D272" s="13" t="s">
        <v>33</v>
      </c>
      <c r="E272" s="13" t="s">
        <v>72</v>
      </c>
      <c r="F272" s="13" t="s">
        <v>157</v>
      </c>
      <c r="G272" s="13" t="s">
        <v>170</v>
      </c>
      <c r="H272" s="13" t="s">
        <v>1104</v>
      </c>
      <c r="I272" s="13" t="s">
        <v>200</v>
      </c>
      <c r="J272" s="13" t="s">
        <v>1105</v>
      </c>
      <c r="K272" s="19" t="s">
        <v>1822</v>
      </c>
      <c r="L272" s="17"/>
      <c r="M272" s="17"/>
      <c r="N272" s="13" t="s">
        <v>208</v>
      </c>
      <c r="O272" s="13" t="s">
        <v>209</v>
      </c>
      <c r="P272" s="16"/>
      <c r="Q272" s="16"/>
      <c r="R272" s="16"/>
      <c r="S272" s="21">
        <f>IF($C272&lt;&gt;"Organisation","",IF(OR($P272&lt;&gt;"",$Q272&lt;&gt;""),IF($P272&lt;&gt;"",IF($Q272&lt;&gt;"",($P272+$Q272)/2,$P272),$Q272),ROUND(_xlfn.XLOOKUP($N272,Assumptions!$B$5:$B$9,Assumptions!$C$5:$C$9,0)*_xlfn.XLOOKUP($G272,Assumptions!$B$13:$B$26,Assumptions!$C$13:$C$26,0)*_xlfn.XLOOKUP($I272,Assumptions!$B$30:$B$50,Assumptions!$C$30:$C$50,0),0)))</f>
        <v>96</v>
      </c>
      <c r="T272" s="16" t="str">
        <f>IF($C272&lt;&gt;"Organisation","",IF(OR($P272&lt;&gt;"",$Q272&lt;&gt;""),"Documented in source - midpoint of annual_intake_low/high",IF($I272="","No confirmed programme - modelled as zero",$N272&amp;" base x "&amp;TEXT(_xlfn.XLOOKUP($G272,Assumptions!$B$13:$B$26,Assumptions!$C$13:$C$26,0),"0.0#")&amp;" sector x "&amp;TEXT(_xlfn.XLOOKUP($I272,Assumptions!$B$30:$B$50,Assumptions!$C$30:$C$50,0),"0.0#")&amp;" mechanism")))</f>
        <v>Large base x 1.0 sector x 0.8 mechanism</v>
      </c>
      <c r="U272" s="13" t="s">
        <v>210</v>
      </c>
      <c r="V272" s="13" t="s">
        <v>211</v>
      </c>
      <c r="W272" s="13" t="s">
        <v>99</v>
      </c>
      <c r="X272" s="13"/>
    </row>
    <row r="273" spans="1:24" x14ac:dyDescent="0.2">
      <c r="A273" s="13" t="s">
        <v>1106</v>
      </c>
      <c r="B273" s="13" t="s">
        <v>1107</v>
      </c>
      <c r="C273" s="13" t="s">
        <v>205</v>
      </c>
      <c r="D273" s="13" t="s">
        <v>33</v>
      </c>
      <c r="E273" s="13" t="s">
        <v>72</v>
      </c>
      <c r="F273" s="13" t="s">
        <v>157</v>
      </c>
      <c r="G273" s="13" t="s">
        <v>170</v>
      </c>
      <c r="H273" s="13" t="s">
        <v>1104</v>
      </c>
      <c r="I273" s="13" t="s">
        <v>200</v>
      </c>
      <c r="J273" s="13" t="s">
        <v>1108</v>
      </c>
      <c r="K273" s="19" t="s">
        <v>1815</v>
      </c>
      <c r="L273" s="17"/>
      <c r="M273" s="17"/>
      <c r="N273" s="13" t="s">
        <v>208</v>
      </c>
      <c r="O273" s="13" t="s">
        <v>209</v>
      </c>
      <c r="P273" s="16"/>
      <c r="Q273" s="16"/>
      <c r="R273" s="16"/>
      <c r="S273" s="21">
        <f>IF($C273&lt;&gt;"Organisation","",IF(OR($P273&lt;&gt;"",$Q273&lt;&gt;""),IF($P273&lt;&gt;"",IF($Q273&lt;&gt;"",($P273+$Q273)/2,$P273),$Q273),ROUND(_xlfn.XLOOKUP($N273,Assumptions!$B$5:$B$9,Assumptions!$C$5:$C$9,0)*_xlfn.XLOOKUP($G273,Assumptions!$B$13:$B$26,Assumptions!$C$13:$C$26,0)*_xlfn.XLOOKUP($I273,Assumptions!$B$30:$B$50,Assumptions!$C$30:$C$50,0),0)))</f>
        <v>96</v>
      </c>
      <c r="T273" s="16" t="str">
        <f>IF($C273&lt;&gt;"Organisation","",IF(OR($P273&lt;&gt;"",$Q273&lt;&gt;""),"Documented in source - midpoint of annual_intake_low/high",IF($I273="","No confirmed programme - modelled as zero",$N273&amp;" base x "&amp;TEXT(_xlfn.XLOOKUP($G273,Assumptions!$B$13:$B$26,Assumptions!$C$13:$C$26,0),"0.0#")&amp;" sector x "&amp;TEXT(_xlfn.XLOOKUP($I273,Assumptions!$B$30:$B$50,Assumptions!$C$30:$C$50,0),"0.0#")&amp;" mechanism")))</f>
        <v>Large base x 1.0 sector x 0.8 mechanism</v>
      </c>
      <c r="U273" s="13" t="s">
        <v>210</v>
      </c>
      <c r="V273" s="13" t="s">
        <v>211</v>
      </c>
      <c r="W273" s="13" t="s">
        <v>99</v>
      </c>
      <c r="X273" s="13"/>
    </row>
    <row r="274" spans="1:24" x14ac:dyDescent="0.2">
      <c r="A274" s="13" t="s">
        <v>1109</v>
      </c>
      <c r="B274" s="13" t="s">
        <v>1110</v>
      </c>
      <c r="C274" s="13" t="s">
        <v>205</v>
      </c>
      <c r="D274" s="13" t="s">
        <v>33</v>
      </c>
      <c r="E274" s="13" t="s">
        <v>52</v>
      </c>
      <c r="F274" s="13" t="s">
        <v>131</v>
      </c>
      <c r="G274" s="13" t="s">
        <v>186</v>
      </c>
      <c r="H274" s="13" t="s">
        <v>1111</v>
      </c>
      <c r="I274" s="13" t="s">
        <v>200</v>
      </c>
      <c r="J274" s="13" t="s">
        <v>1112</v>
      </c>
      <c r="K274" s="19" t="s">
        <v>1817</v>
      </c>
      <c r="L274" s="17"/>
      <c r="M274" s="17"/>
      <c r="N274" s="13" t="s">
        <v>244</v>
      </c>
      <c r="O274" s="13" t="s">
        <v>209</v>
      </c>
      <c r="P274" s="16">
        <v>19</v>
      </c>
      <c r="Q274" s="16">
        <v>19</v>
      </c>
      <c r="R274" s="16"/>
      <c r="S274" s="21">
        <f>IF($C274&lt;&gt;"Organisation","",IF(OR($P274&lt;&gt;"",$Q274&lt;&gt;""),IF($P274&lt;&gt;"",IF($Q274&lt;&gt;"",($P274+$Q274)/2,$P274),$Q274),ROUND(_xlfn.XLOOKUP($N274,Assumptions!$B$5:$B$9,Assumptions!$C$5:$C$9,0)*_xlfn.XLOOKUP($G274,Assumptions!$B$13:$B$26,Assumptions!$C$13:$C$26,0)*_xlfn.XLOOKUP($I274,Assumptions!$B$30:$B$50,Assumptions!$C$30:$C$50,0),0)))</f>
        <v>19</v>
      </c>
      <c r="T274" s="16" t="str">
        <f>IF($C274&lt;&gt;"Organisation","",IF(OR($P274&lt;&gt;"",$Q274&lt;&gt;""),"Documented in source - midpoint of annual_intake_low/high",IF($I274="","No confirmed programme - modelled as zero",$N274&amp;" base x "&amp;TEXT(_xlfn.XLOOKUP($G274,Assumptions!$B$13:$B$26,Assumptions!$C$13:$C$26,0),"0.0#")&amp;" sector x "&amp;TEXT(_xlfn.XLOOKUP($I274,Assumptions!$B$30:$B$50,Assumptions!$C$30:$C$50,0),"0.0#")&amp;" mechanism")))</f>
        <v>Documented in source - midpoint of annual_intake_low/high</v>
      </c>
      <c r="U274" s="13" t="s">
        <v>210</v>
      </c>
      <c r="V274" s="13" t="s">
        <v>211</v>
      </c>
      <c r="W274" s="13" t="s">
        <v>99</v>
      </c>
      <c r="X274" s="13" t="s">
        <v>1113</v>
      </c>
    </row>
    <row r="275" spans="1:24" x14ac:dyDescent="0.2">
      <c r="A275" s="13" t="s">
        <v>1114</v>
      </c>
      <c r="B275" s="13" t="s">
        <v>1115</v>
      </c>
      <c r="C275" s="13" t="s">
        <v>205</v>
      </c>
      <c r="D275" s="13" t="s">
        <v>33</v>
      </c>
      <c r="E275" s="13" t="s">
        <v>52</v>
      </c>
      <c r="F275" s="13" t="s">
        <v>131</v>
      </c>
      <c r="G275" s="13" t="s">
        <v>186</v>
      </c>
      <c r="H275" s="13" t="s">
        <v>1116</v>
      </c>
      <c r="I275" s="13" t="s">
        <v>200</v>
      </c>
      <c r="J275" s="13" t="s">
        <v>1117</v>
      </c>
      <c r="K275" s="19" t="s">
        <v>1815</v>
      </c>
      <c r="L275" s="17"/>
      <c r="M275" s="17"/>
      <c r="N275" s="13" t="s">
        <v>208</v>
      </c>
      <c r="O275" s="13" t="s">
        <v>209</v>
      </c>
      <c r="P275" s="16"/>
      <c r="Q275" s="16"/>
      <c r="R275" s="16"/>
      <c r="S275" s="21">
        <f>IF($C275&lt;&gt;"Organisation","",IF(OR($P275&lt;&gt;"",$Q275&lt;&gt;""),IF($P275&lt;&gt;"",IF($Q275&lt;&gt;"",($P275+$Q275)/2,$P275),$Q275),ROUND(_xlfn.XLOOKUP($N275,Assumptions!$B$5:$B$9,Assumptions!$C$5:$C$9,0)*_xlfn.XLOOKUP($G275,Assumptions!$B$13:$B$26,Assumptions!$C$13:$C$26,0)*_xlfn.XLOOKUP($I275,Assumptions!$B$30:$B$50,Assumptions!$C$30:$C$50,0),0)))</f>
        <v>96</v>
      </c>
      <c r="T275" s="16" t="str">
        <f>IF($C275&lt;&gt;"Organisation","",IF(OR($P275&lt;&gt;"",$Q275&lt;&gt;""),"Documented in source - midpoint of annual_intake_low/high",IF($I275="","No confirmed programme - modelled as zero",$N275&amp;" base x "&amp;TEXT(_xlfn.XLOOKUP($G275,Assumptions!$B$13:$B$26,Assumptions!$C$13:$C$26,0),"0.0#")&amp;" sector x "&amp;TEXT(_xlfn.XLOOKUP($I275,Assumptions!$B$30:$B$50,Assumptions!$C$30:$C$50,0),"0.0#")&amp;" mechanism")))</f>
        <v>Large base x 1.0 sector x 0.8 mechanism</v>
      </c>
      <c r="U275" s="13" t="s">
        <v>230</v>
      </c>
      <c r="V275" s="13" t="s">
        <v>231</v>
      </c>
      <c r="W275" s="13" t="s">
        <v>99</v>
      </c>
      <c r="X275" s="13"/>
    </row>
    <row r="276" spans="1:24" x14ac:dyDescent="0.2">
      <c r="A276" s="13" t="s">
        <v>1118</v>
      </c>
      <c r="B276" s="13" t="s">
        <v>1119</v>
      </c>
      <c r="C276" s="13" t="s">
        <v>205</v>
      </c>
      <c r="D276" s="13" t="s">
        <v>33</v>
      </c>
      <c r="E276" s="13" t="s">
        <v>54</v>
      </c>
      <c r="F276" s="13" t="s">
        <v>135</v>
      </c>
      <c r="G276" s="13" t="s">
        <v>186</v>
      </c>
      <c r="H276" s="13" t="s">
        <v>1116</v>
      </c>
      <c r="I276" s="13" t="s">
        <v>200</v>
      </c>
      <c r="J276" s="13" t="s">
        <v>1091</v>
      </c>
      <c r="K276" s="19" t="s">
        <v>1815</v>
      </c>
      <c r="L276" s="17"/>
      <c r="M276" s="17"/>
      <c r="N276" s="13" t="s">
        <v>208</v>
      </c>
      <c r="O276" s="13" t="s">
        <v>209</v>
      </c>
      <c r="P276" s="16"/>
      <c r="Q276" s="16"/>
      <c r="R276" s="16"/>
      <c r="S276" s="21">
        <f>IF($C276&lt;&gt;"Organisation","",IF(OR($P276&lt;&gt;"",$Q276&lt;&gt;""),IF($P276&lt;&gt;"",IF($Q276&lt;&gt;"",($P276+$Q276)/2,$P276),$Q276),ROUND(_xlfn.XLOOKUP($N276,Assumptions!$B$5:$B$9,Assumptions!$C$5:$C$9,0)*_xlfn.XLOOKUP($G276,Assumptions!$B$13:$B$26,Assumptions!$C$13:$C$26,0)*_xlfn.XLOOKUP($I276,Assumptions!$B$30:$B$50,Assumptions!$C$30:$C$50,0),0)))</f>
        <v>96</v>
      </c>
      <c r="T276" s="16" t="str">
        <f>IF($C276&lt;&gt;"Organisation","",IF(OR($P276&lt;&gt;"",$Q276&lt;&gt;""),"Documented in source - midpoint of annual_intake_low/high",IF($I276="","No confirmed programme - modelled as zero",$N276&amp;" base x "&amp;TEXT(_xlfn.XLOOKUP($G276,Assumptions!$B$13:$B$26,Assumptions!$C$13:$C$26,0),"0.0#")&amp;" sector x "&amp;TEXT(_xlfn.XLOOKUP($I276,Assumptions!$B$30:$B$50,Assumptions!$C$30:$C$50,0),"0.0#")&amp;" mechanism")))</f>
        <v>Large base x 1.0 sector x 0.8 mechanism</v>
      </c>
      <c r="U276" s="13" t="s">
        <v>230</v>
      </c>
      <c r="V276" s="13" t="s">
        <v>231</v>
      </c>
      <c r="W276" s="13" t="s">
        <v>99</v>
      </c>
      <c r="X276" s="13"/>
    </row>
    <row r="277" spans="1:24" x14ac:dyDescent="0.2">
      <c r="A277" s="13" t="s">
        <v>1120</v>
      </c>
      <c r="B277" s="13" t="s">
        <v>1121</v>
      </c>
      <c r="C277" s="13" t="s">
        <v>205</v>
      </c>
      <c r="D277" s="13" t="s">
        <v>33</v>
      </c>
      <c r="E277" s="13" t="s">
        <v>58</v>
      </c>
      <c r="F277" s="13" t="s">
        <v>141</v>
      </c>
      <c r="G277" s="13" t="s">
        <v>186</v>
      </c>
      <c r="H277" s="13" t="s">
        <v>1116</v>
      </c>
      <c r="I277" s="13" t="s">
        <v>200</v>
      </c>
      <c r="J277" s="13" t="s">
        <v>1059</v>
      </c>
      <c r="K277" s="19" t="s">
        <v>1815</v>
      </c>
      <c r="L277" s="17"/>
      <c r="M277" s="17"/>
      <c r="N277" s="13" t="s">
        <v>244</v>
      </c>
      <c r="O277" s="13" t="s">
        <v>209</v>
      </c>
      <c r="P277" s="16"/>
      <c r="Q277" s="16"/>
      <c r="R277" s="16"/>
      <c r="S277" s="21">
        <f>IF($C277&lt;&gt;"Organisation","",IF(OR($P277&lt;&gt;"",$Q277&lt;&gt;""),IF($P277&lt;&gt;"",IF($Q277&lt;&gt;"",($P277+$Q277)/2,$P277),$Q277),ROUND(_xlfn.XLOOKUP($N277,Assumptions!$B$5:$B$9,Assumptions!$C$5:$C$9,0)*_xlfn.XLOOKUP($G277,Assumptions!$B$13:$B$26,Assumptions!$C$13:$C$26,0)*_xlfn.XLOOKUP($I277,Assumptions!$B$30:$B$50,Assumptions!$C$30:$C$50,0),0)))</f>
        <v>24</v>
      </c>
      <c r="T277" s="16" t="str">
        <f>IF($C277&lt;&gt;"Organisation","",IF(OR($P277&lt;&gt;"",$Q277&lt;&gt;""),"Documented in source - midpoint of annual_intake_low/high",IF($I277="","No confirmed programme - modelled as zero",$N277&amp;" base x "&amp;TEXT(_xlfn.XLOOKUP($G277,Assumptions!$B$13:$B$26,Assumptions!$C$13:$C$26,0),"0.0#")&amp;" sector x "&amp;TEXT(_xlfn.XLOOKUP($I277,Assumptions!$B$30:$B$50,Assumptions!$C$30:$C$50,0),"0.0#")&amp;" mechanism")))</f>
        <v>Mid base x 1.0 sector x 0.8 mechanism</v>
      </c>
      <c r="U277" s="13" t="s">
        <v>230</v>
      </c>
      <c r="V277" s="13" t="s">
        <v>231</v>
      </c>
      <c r="W277" s="13" t="s">
        <v>99</v>
      </c>
      <c r="X277" s="13"/>
    </row>
    <row r="278" spans="1:24" x14ac:dyDescent="0.2">
      <c r="A278" s="13" t="s">
        <v>1122</v>
      </c>
      <c r="B278" s="13" t="s">
        <v>1123</v>
      </c>
      <c r="C278" s="13" t="s">
        <v>205</v>
      </c>
      <c r="D278" s="13" t="s">
        <v>33</v>
      </c>
      <c r="E278" s="13" t="s">
        <v>56</v>
      </c>
      <c r="F278" s="13" t="s">
        <v>137</v>
      </c>
      <c r="G278" s="13" t="s">
        <v>186</v>
      </c>
      <c r="H278" s="13" t="s">
        <v>1116</v>
      </c>
      <c r="I278" s="13" t="s">
        <v>200</v>
      </c>
      <c r="J278" s="13" t="s">
        <v>1091</v>
      </c>
      <c r="K278" s="19" t="s">
        <v>1815</v>
      </c>
      <c r="L278" s="17"/>
      <c r="M278" s="17"/>
      <c r="N278" s="13" t="s">
        <v>244</v>
      </c>
      <c r="O278" s="13" t="s">
        <v>209</v>
      </c>
      <c r="P278" s="16"/>
      <c r="Q278" s="16"/>
      <c r="R278" s="16"/>
      <c r="S278" s="21">
        <f>IF($C278&lt;&gt;"Organisation","",IF(OR($P278&lt;&gt;"",$Q278&lt;&gt;""),IF($P278&lt;&gt;"",IF($Q278&lt;&gt;"",($P278+$Q278)/2,$P278),$Q278),ROUND(_xlfn.XLOOKUP($N278,Assumptions!$B$5:$B$9,Assumptions!$C$5:$C$9,0)*_xlfn.XLOOKUP($G278,Assumptions!$B$13:$B$26,Assumptions!$C$13:$C$26,0)*_xlfn.XLOOKUP($I278,Assumptions!$B$30:$B$50,Assumptions!$C$30:$C$50,0),0)))</f>
        <v>24</v>
      </c>
      <c r="T278" s="16" t="str">
        <f>IF($C278&lt;&gt;"Organisation","",IF(OR($P278&lt;&gt;"",$Q278&lt;&gt;""),"Documented in source - midpoint of annual_intake_low/high",IF($I278="","No confirmed programme - modelled as zero",$N278&amp;" base x "&amp;TEXT(_xlfn.XLOOKUP($G278,Assumptions!$B$13:$B$26,Assumptions!$C$13:$C$26,0),"0.0#")&amp;" sector x "&amp;TEXT(_xlfn.XLOOKUP($I278,Assumptions!$B$30:$B$50,Assumptions!$C$30:$C$50,0),"0.0#")&amp;" mechanism")))</f>
        <v>Mid base x 1.0 sector x 0.8 mechanism</v>
      </c>
      <c r="U278" s="13" t="s">
        <v>230</v>
      </c>
      <c r="V278" s="13" t="s">
        <v>231</v>
      </c>
      <c r="W278" s="13" t="s">
        <v>99</v>
      </c>
      <c r="X278" s="13"/>
    </row>
    <row r="279" spans="1:24" x14ac:dyDescent="0.2">
      <c r="A279" s="13" t="s">
        <v>1124</v>
      </c>
      <c r="B279" s="13" t="s">
        <v>1125</v>
      </c>
      <c r="C279" s="13" t="s">
        <v>205</v>
      </c>
      <c r="D279" s="13" t="s">
        <v>33</v>
      </c>
      <c r="E279" s="13" t="s">
        <v>72</v>
      </c>
      <c r="F279" s="13" t="s">
        <v>157</v>
      </c>
      <c r="G279" s="13" t="s">
        <v>186</v>
      </c>
      <c r="H279" s="13" t="s">
        <v>1116</v>
      </c>
      <c r="I279" s="13" t="s">
        <v>200</v>
      </c>
      <c r="J279" s="13" t="s">
        <v>1126</v>
      </c>
      <c r="K279" s="19" t="s">
        <v>1816</v>
      </c>
      <c r="L279" s="17"/>
      <c r="M279" s="17"/>
      <c r="N279" s="13" t="s">
        <v>244</v>
      </c>
      <c r="O279" s="13" t="s">
        <v>209</v>
      </c>
      <c r="P279" s="16"/>
      <c r="Q279" s="16"/>
      <c r="R279" s="16"/>
      <c r="S279" s="21">
        <f>IF($C279&lt;&gt;"Organisation","",IF(OR($P279&lt;&gt;"",$Q279&lt;&gt;""),IF($P279&lt;&gt;"",IF($Q279&lt;&gt;"",($P279+$Q279)/2,$P279),$Q279),ROUND(_xlfn.XLOOKUP($N279,Assumptions!$B$5:$B$9,Assumptions!$C$5:$C$9,0)*_xlfn.XLOOKUP($G279,Assumptions!$B$13:$B$26,Assumptions!$C$13:$C$26,0)*_xlfn.XLOOKUP($I279,Assumptions!$B$30:$B$50,Assumptions!$C$30:$C$50,0),0)))</f>
        <v>24</v>
      </c>
      <c r="T279" s="16" t="str">
        <f>IF($C279&lt;&gt;"Organisation","",IF(OR($P279&lt;&gt;"",$Q279&lt;&gt;""),"Documented in source - midpoint of annual_intake_low/high",IF($I279="","No confirmed programme - modelled as zero",$N279&amp;" base x "&amp;TEXT(_xlfn.XLOOKUP($G279,Assumptions!$B$13:$B$26,Assumptions!$C$13:$C$26,0),"0.0#")&amp;" sector x "&amp;TEXT(_xlfn.XLOOKUP($I279,Assumptions!$B$30:$B$50,Assumptions!$C$30:$C$50,0),"0.0#")&amp;" mechanism")))</f>
        <v>Mid base x 1.0 sector x 0.8 mechanism</v>
      </c>
      <c r="U279" s="13" t="s">
        <v>210</v>
      </c>
      <c r="V279" s="13" t="s">
        <v>211</v>
      </c>
      <c r="W279" s="13" t="s">
        <v>99</v>
      </c>
      <c r="X279" s="13"/>
    </row>
    <row r="280" spans="1:24" x14ac:dyDescent="0.2">
      <c r="A280" s="13" t="s">
        <v>1127</v>
      </c>
      <c r="B280" s="13" t="s">
        <v>1128</v>
      </c>
      <c r="C280" s="13" t="s">
        <v>205</v>
      </c>
      <c r="D280" s="13" t="s">
        <v>33</v>
      </c>
      <c r="E280" s="13" t="s">
        <v>74</v>
      </c>
      <c r="F280" s="13" t="s">
        <v>159</v>
      </c>
      <c r="G280" s="13" t="s">
        <v>184</v>
      </c>
      <c r="H280" s="13" t="s">
        <v>1129</v>
      </c>
      <c r="I280" s="13" t="s">
        <v>200</v>
      </c>
      <c r="J280" s="13" t="s">
        <v>1130</v>
      </c>
      <c r="K280" s="19" t="s">
        <v>1823</v>
      </c>
      <c r="L280" s="17"/>
      <c r="M280" s="17"/>
      <c r="N280" s="13" t="s">
        <v>244</v>
      </c>
      <c r="O280" s="13" t="s">
        <v>209</v>
      </c>
      <c r="P280" s="16"/>
      <c r="Q280" s="16"/>
      <c r="R280" s="16"/>
      <c r="S280" s="21">
        <f>IF($C280&lt;&gt;"Organisation","",IF(OR($P280&lt;&gt;"",$Q280&lt;&gt;""),IF($P280&lt;&gt;"",IF($Q280&lt;&gt;"",($P280+$Q280)/2,$P280),$Q280),ROUND(_xlfn.XLOOKUP($N280,Assumptions!$B$5:$B$9,Assumptions!$C$5:$C$9,0)*_xlfn.XLOOKUP($G280,Assumptions!$B$13:$B$26,Assumptions!$C$13:$C$26,0)*_xlfn.XLOOKUP($I280,Assumptions!$B$30:$B$50,Assumptions!$C$30:$C$50,0),0)))</f>
        <v>10</v>
      </c>
      <c r="T280" s="16" t="str">
        <f>IF($C280&lt;&gt;"Organisation","",IF(OR($P280&lt;&gt;"",$Q280&lt;&gt;""),"Documented in source - midpoint of annual_intake_low/high",IF($I280="","No confirmed programme - modelled as zero",$N280&amp;" base x "&amp;TEXT(_xlfn.XLOOKUP($G280,Assumptions!$B$13:$B$26,Assumptions!$C$13:$C$26,0),"0.0#")&amp;" sector x "&amp;TEXT(_xlfn.XLOOKUP($I280,Assumptions!$B$30:$B$50,Assumptions!$C$30:$C$50,0),"0.0#")&amp;" mechanism")))</f>
        <v>Mid base x 0.4 sector x 0.8 mechanism</v>
      </c>
      <c r="U280" s="13" t="s">
        <v>210</v>
      </c>
      <c r="V280" s="13" t="s">
        <v>211</v>
      </c>
      <c r="W280" s="13" t="s">
        <v>99</v>
      </c>
      <c r="X280" s="13"/>
    </row>
    <row r="281" spans="1:24" x14ac:dyDescent="0.2">
      <c r="A281" s="13" t="s">
        <v>1438</v>
      </c>
      <c r="B281" s="13" t="s">
        <v>1439</v>
      </c>
      <c r="C281" s="13" t="s">
        <v>79</v>
      </c>
      <c r="D281" s="13" t="s">
        <v>76</v>
      </c>
      <c r="E281" s="13" t="s">
        <v>76</v>
      </c>
      <c r="F281" s="13" t="s">
        <v>1439</v>
      </c>
      <c r="K281" s="19" t="s">
        <v>1815</v>
      </c>
      <c r="L281" s="17"/>
      <c r="M281" s="17"/>
      <c r="P281" s="16"/>
      <c r="Q281" s="16"/>
      <c r="R281" s="16"/>
      <c r="S281" s="21" t="str">
        <f>IF($C281&lt;&gt;"Organisation","",IF(OR($P281&lt;&gt;"",$Q281&lt;&gt;""),IF($P281&lt;&gt;"",IF($Q281&lt;&gt;"",($P281+$Q281)/2,$P281),$Q281),ROUND(_xlfn.XLOOKUP($N281,Assumptions!$B$5:$B$9,Assumptions!$C$5:$C$9,0)*_xlfn.XLOOKUP($G281,Assumptions!$B$13:$B$26,Assumptions!$C$13:$C$26,0)*_xlfn.XLOOKUP($I281,Assumptions!$B$30:$B$50,Assumptions!$C$30:$C$50,0),0)))</f>
        <v/>
      </c>
      <c r="T281" s="16" t="str">
        <f>IF($C281&lt;&gt;"Organisation","",IF(OR($P281&lt;&gt;"",$Q281&lt;&gt;""),"Documented in source - midpoint of annual_intake_low/high",IF($I281="","No confirmed programme - modelled as zero",$N281&amp;" base x "&amp;TEXT(_xlfn.XLOOKUP($G281,Assumptions!$B$13:$B$26,Assumptions!$C$13:$C$26,0),"0.0#")&amp;" sector x "&amp;TEXT(_xlfn.XLOOKUP($I281,Assumptions!$B$30:$B$50,Assumptions!$C$30:$C$50,0),"0.0#")&amp;" mechanism")))</f>
        <v/>
      </c>
      <c r="W281" s="13" t="s">
        <v>1440</v>
      </c>
      <c r="X281" s="13"/>
    </row>
    <row r="282" spans="1:24" x14ac:dyDescent="0.2">
      <c r="A282" s="13" t="s">
        <v>1441</v>
      </c>
      <c r="B282" s="13" t="s">
        <v>1442</v>
      </c>
      <c r="C282" s="13" t="s">
        <v>79</v>
      </c>
      <c r="D282" s="13" t="s">
        <v>76</v>
      </c>
      <c r="E282" s="13" t="s">
        <v>76</v>
      </c>
      <c r="F282" s="13" t="s">
        <v>1442</v>
      </c>
      <c r="K282" s="19" t="s">
        <v>1815</v>
      </c>
      <c r="L282" s="17"/>
      <c r="M282" s="17"/>
      <c r="P282" s="16"/>
      <c r="Q282" s="16"/>
      <c r="R282" s="16"/>
      <c r="S282" s="21" t="str">
        <f>IF($C282&lt;&gt;"Organisation","",IF(OR($P282&lt;&gt;"",$Q282&lt;&gt;""),IF($P282&lt;&gt;"",IF($Q282&lt;&gt;"",($P282+$Q282)/2,$P282),$Q282),ROUND(_xlfn.XLOOKUP($N282,Assumptions!$B$5:$B$9,Assumptions!$C$5:$C$9,0)*_xlfn.XLOOKUP($G282,Assumptions!$B$13:$B$26,Assumptions!$C$13:$C$26,0)*_xlfn.XLOOKUP($I282,Assumptions!$B$30:$B$50,Assumptions!$C$30:$C$50,0),0)))</f>
        <v/>
      </c>
      <c r="T282" s="16" t="str">
        <f>IF($C282&lt;&gt;"Organisation","",IF(OR($P282&lt;&gt;"",$Q282&lt;&gt;""),"Documented in source - midpoint of annual_intake_low/high",IF($I282="","No confirmed programme - modelled as zero",$N282&amp;" base x "&amp;TEXT(_xlfn.XLOOKUP($G282,Assumptions!$B$13:$B$26,Assumptions!$C$13:$C$26,0),"0.0#")&amp;" sector x "&amp;TEXT(_xlfn.XLOOKUP($I282,Assumptions!$B$30:$B$50,Assumptions!$C$30:$C$50,0),"0.0#")&amp;" mechanism")))</f>
        <v/>
      </c>
      <c r="W282" s="13" t="s">
        <v>1440</v>
      </c>
      <c r="X282" s="13" t="s">
        <v>1797</v>
      </c>
    </row>
    <row r="283" spans="1:24" x14ac:dyDescent="0.2">
      <c r="A283" s="13" t="s">
        <v>1443</v>
      </c>
      <c r="B283" s="13" t="s">
        <v>1444</v>
      </c>
      <c r="C283" s="13" t="s">
        <v>79</v>
      </c>
      <c r="D283" s="13" t="s">
        <v>76</v>
      </c>
      <c r="E283" s="13" t="s">
        <v>76</v>
      </c>
      <c r="F283" s="13" t="s">
        <v>1444</v>
      </c>
      <c r="K283" s="19" t="s">
        <v>1815</v>
      </c>
      <c r="L283" s="17"/>
      <c r="M283" s="17"/>
      <c r="P283" s="16"/>
      <c r="Q283" s="16"/>
      <c r="R283" s="16"/>
      <c r="S283" s="21" t="str">
        <f>IF($C283&lt;&gt;"Organisation","",IF(OR($P283&lt;&gt;"",$Q283&lt;&gt;""),IF($P283&lt;&gt;"",IF($Q283&lt;&gt;"",($P283+$Q283)/2,$P283),$Q283),ROUND(_xlfn.XLOOKUP($N283,Assumptions!$B$5:$B$9,Assumptions!$C$5:$C$9,0)*_xlfn.XLOOKUP($G283,Assumptions!$B$13:$B$26,Assumptions!$C$13:$C$26,0)*_xlfn.XLOOKUP($I283,Assumptions!$B$30:$B$50,Assumptions!$C$30:$C$50,0),0)))</f>
        <v/>
      </c>
      <c r="T283" s="16" t="str">
        <f>IF($C283&lt;&gt;"Organisation","",IF(OR($P283&lt;&gt;"",$Q283&lt;&gt;""),"Documented in source - midpoint of annual_intake_low/high",IF($I283="","No confirmed programme - modelled as zero",$N283&amp;" base x "&amp;TEXT(_xlfn.XLOOKUP($G283,Assumptions!$B$13:$B$26,Assumptions!$C$13:$C$26,0),"0.0#")&amp;" sector x "&amp;TEXT(_xlfn.XLOOKUP($I283,Assumptions!$B$30:$B$50,Assumptions!$C$30:$C$50,0),"0.0#")&amp;" mechanism")))</f>
        <v/>
      </c>
      <c r="W283" s="13" t="s">
        <v>1440</v>
      </c>
      <c r="X283" s="13"/>
    </row>
    <row r="284" spans="1:24" x14ac:dyDescent="0.2">
      <c r="A284" s="13" t="s">
        <v>1445</v>
      </c>
      <c r="B284" s="13" t="s">
        <v>1446</v>
      </c>
      <c r="C284" s="13" t="s">
        <v>79</v>
      </c>
      <c r="D284" s="13" t="s">
        <v>76</v>
      </c>
      <c r="E284" s="13" t="s">
        <v>76</v>
      </c>
      <c r="F284" s="13" t="s">
        <v>1446</v>
      </c>
      <c r="K284" s="19" t="s">
        <v>1815</v>
      </c>
      <c r="L284" s="17"/>
      <c r="M284" s="17"/>
      <c r="P284" s="16"/>
      <c r="Q284" s="16"/>
      <c r="R284" s="16"/>
      <c r="S284" s="21" t="str">
        <f>IF($C284&lt;&gt;"Organisation","",IF(OR($P284&lt;&gt;"",$Q284&lt;&gt;""),IF($P284&lt;&gt;"",IF($Q284&lt;&gt;"",($P284+$Q284)/2,$P284),$Q284),ROUND(_xlfn.XLOOKUP($N284,Assumptions!$B$5:$B$9,Assumptions!$C$5:$C$9,0)*_xlfn.XLOOKUP($G284,Assumptions!$B$13:$B$26,Assumptions!$C$13:$C$26,0)*_xlfn.XLOOKUP($I284,Assumptions!$B$30:$B$50,Assumptions!$C$30:$C$50,0),0)))</f>
        <v/>
      </c>
      <c r="T284" s="16" t="str">
        <f>IF($C284&lt;&gt;"Organisation","",IF(OR($P284&lt;&gt;"",$Q284&lt;&gt;""),"Documented in source - midpoint of annual_intake_low/high",IF($I284="","No confirmed programme - modelled as zero",$N284&amp;" base x "&amp;TEXT(_xlfn.XLOOKUP($G284,Assumptions!$B$13:$B$26,Assumptions!$C$13:$C$26,0),"0.0#")&amp;" sector x "&amp;TEXT(_xlfn.XLOOKUP($I284,Assumptions!$B$30:$B$50,Assumptions!$C$30:$C$50,0),"0.0#")&amp;" mechanism")))</f>
        <v/>
      </c>
      <c r="W284" s="13" t="s">
        <v>1440</v>
      </c>
      <c r="X284" s="13"/>
    </row>
    <row r="285" spans="1:24" x14ac:dyDescent="0.2">
      <c r="A285" s="13" t="s">
        <v>1447</v>
      </c>
      <c r="B285" s="13" t="s">
        <v>1448</v>
      </c>
      <c r="C285" s="13" t="s">
        <v>79</v>
      </c>
      <c r="D285" s="13" t="s">
        <v>76</v>
      </c>
      <c r="E285" s="13" t="s">
        <v>76</v>
      </c>
      <c r="F285" s="13" t="s">
        <v>1448</v>
      </c>
      <c r="K285" s="19" t="s">
        <v>1815</v>
      </c>
      <c r="L285" s="17"/>
      <c r="M285" s="17"/>
      <c r="P285" s="16"/>
      <c r="Q285" s="16"/>
      <c r="R285" s="16"/>
      <c r="S285" s="21" t="str">
        <f>IF($C285&lt;&gt;"Organisation","",IF(OR($P285&lt;&gt;"",$Q285&lt;&gt;""),IF($P285&lt;&gt;"",IF($Q285&lt;&gt;"",($P285+$Q285)/2,$P285),$Q285),ROUND(_xlfn.XLOOKUP($N285,Assumptions!$B$5:$B$9,Assumptions!$C$5:$C$9,0)*_xlfn.XLOOKUP($G285,Assumptions!$B$13:$B$26,Assumptions!$C$13:$C$26,0)*_xlfn.XLOOKUP($I285,Assumptions!$B$30:$B$50,Assumptions!$C$30:$C$50,0),0)))</f>
        <v/>
      </c>
      <c r="T285" s="16" t="str">
        <f>IF($C285&lt;&gt;"Organisation","",IF(OR($P285&lt;&gt;"",$Q285&lt;&gt;""),"Documented in source - midpoint of annual_intake_low/high",IF($I285="","No confirmed programme - modelled as zero",$N285&amp;" base x "&amp;TEXT(_xlfn.XLOOKUP($G285,Assumptions!$B$13:$B$26,Assumptions!$C$13:$C$26,0),"0.0#")&amp;" sector x "&amp;TEXT(_xlfn.XLOOKUP($I285,Assumptions!$B$30:$B$50,Assumptions!$C$30:$C$50,0),"0.0#")&amp;" mechanism")))</f>
        <v/>
      </c>
      <c r="W285" s="13" t="s">
        <v>1440</v>
      </c>
      <c r="X285" s="13"/>
    </row>
    <row r="286" spans="1:24" x14ac:dyDescent="0.2">
      <c r="A286" s="13" t="s">
        <v>1449</v>
      </c>
      <c r="B286" s="13" t="s">
        <v>1450</v>
      </c>
      <c r="C286" s="13" t="s">
        <v>79</v>
      </c>
      <c r="D286" s="13" t="s">
        <v>76</v>
      </c>
      <c r="E286" s="13" t="s">
        <v>76</v>
      </c>
      <c r="F286" s="13" t="s">
        <v>1450</v>
      </c>
      <c r="K286" s="19" t="s">
        <v>1815</v>
      </c>
      <c r="L286" s="17"/>
      <c r="M286" s="17"/>
      <c r="P286" s="16"/>
      <c r="Q286" s="16"/>
      <c r="R286" s="16"/>
      <c r="S286" s="21" t="str">
        <f>IF($C286&lt;&gt;"Organisation","",IF(OR($P286&lt;&gt;"",$Q286&lt;&gt;""),IF($P286&lt;&gt;"",IF($Q286&lt;&gt;"",($P286+$Q286)/2,$P286),$Q286),ROUND(_xlfn.XLOOKUP($N286,Assumptions!$B$5:$B$9,Assumptions!$C$5:$C$9,0)*_xlfn.XLOOKUP($G286,Assumptions!$B$13:$B$26,Assumptions!$C$13:$C$26,0)*_xlfn.XLOOKUP($I286,Assumptions!$B$30:$B$50,Assumptions!$C$30:$C$50,0),0)))</f>
        <v/>
      </c>
      <c r="T286" s="16" t="str">
        <f>IF($C286&lt;&gt;"Organisation","",IF(OR($P286&lt;&gt;"",$Q286&lt;&gt;""),"Documented in source - midpoint of annual_intake_low/high",IF($I286="","No confirmed programme - modelled as zero",$N286&amp;" base x "&amp;TEXT(_xlfn.XLOOKUP($G286,Assumptions!$B$13:$B$26,Assumptions!$C$13:$C$26,0),"0.0#")&amp;" sector x "&amp;TEXT(_xlfn.XLOOKUP($I286,Assumptions!$B$30:$B$50,Assumptions!$C$30:$C$50,0),"0.0#")&amp;" mechanism")))</f>
        <v/>
      </c>
      <c r="W286" s="13" t="s">
        <v>1440</v>
      </c>
      <c r="X286" s="13"/>
    </row>
    <row r="287" spans="1:24" x14ac:dyDescent="0.2">
      <c r="A287" s="13" t="s">
        <v>1451</v>
      </c>
      <c r="B287" s="13" t="s">
        <v>1452</v>
      </c>
      <c r="C287" s="13" t="s">
        <v>79</v>
      </c>
      <c r="D287" s="13" t="s">
        <v>76</v>
      </c>
      <c r="E287" s="13" t="s">
        <v>76</v>
      </c>
      <c r="F287" s="13" t="s">
        <v>1452</v>
      </c>
      <c r="K287" s="19" t="s">
        <v>1815</v>
      </c>
      <c r="L287" s="17"/>
      <c r="M287" s="17"/>
      <c r="P287" s="16"/>
      <c r="Q287" s="16"/>
      <c r="R287" s="16"/>
      <c r="S287" s="21" t="str">
        <f>IF($C287&lt;&gt;"Organisation","",IF(OR($P287&lt;&gt;"",$Q287&lt;&gt;""),IF($P287&lt;&gt;"",IF($Q287&lt;&gt;"",($P287+$Q287)/2,$P287),$Q287),ROUND(_xlfn.XLOOKUP($N287,Assumptions!$B$5:$B$9,Assumptions!$C$5:$C$9,0)*_xlfn.XLOOKUP($G287,Assumptions!$B$13:$B$26,Assumptions!$C$13:$C$26,0)*_xlfn.XLOOKUP($I287,Assumptions!$B$30:$B$50,Assumptions!$C$30:$C$50,0),0)))</f>
        <v/>
      </c>
      <c r="T287" s="16" t="str">
        <f>IF($C287&lt;&gt;"Organisation","",IF(OR($P287&lt;&gt;"",$Q287&lt;&gt;""),"Documented in source - midpoint of annual_intake_low/high",IF($I287="","No confirmed programme - modelled as zero",$N287&amp;" base x "&amp;TEXT(_xlfn.XLOOKUP($G287,Assumptions!$B$13:$B$26,Assumptions!$C$13:$C$26,0),"0.0#")&amp;" sector x "&amp;TEXT(_xlfn.XLOOKUP($I287,Assumptions!$B$30:$B$50,Assumptions!$C$30:$C$50,0),"0.0#")&amp;" mechanism")))</f>
        <v/>
      </c>
      <c r="W287" s="13" t="s">
        <v>1440</v>
      </c>
      <c r="X287" s="13"/>
    </row>
    <row r="288" spans="1:24" x14ac:dyDescent="0.2">
      <c r="A288" s="13" t="s">
        <v>1455</v>
      </c>
      <c r="B288" s="13" t="s">
        <v>1456</v>
      </c>
      <c r="C288" s="13" t="s">
        <v>79</v>
      </c>
      <c r="D288" s="13" t="s">
        <v>76</v>
      </c>
      <c r="E288" s="13" t="s">
        <v>76</v>
      </c>
      <c r="F288" s="13" t="s">
        <v>1456</v>
      </c>
      <c r="K288" s="19" t="s">
        <v>1815</v>
      </c>
      <c r="L288" s="17"/>
      <c r="M288" s="17"/>
      <c r="P288" s="16"/>
      <c r="Q288" s="16"/>
      <c r="R288" s="16"/>
      <c r="S288" s="21" t="str">
        <f>IF($C288&lt;&gt;"Organisation","",IF(OR($P288&lt;&gt;"",$Q288&lt;&gt;""),IF($P288&lt;&gt;"",IF($Q288&lt;&gt;"",($P288+$Q288)/2,$P288),$Q288),ROUND(_xlfn.XLOOKUP($N288,Assumptions!$B$5:$B$9,Assumptions!$C$5:$C$9,0)*_xlfn.XLOOKUP($G288,Assumptions!$B$13:$B$26,Assumptions!$C$13:$C$26,0)*_xlfn.XLOOKUP($I288,Assumptions!$B$30:$B$50,Assumptions!$C$30:$C$50,0),0)))</f>
        <v/>
      </c>
      <c r="T288" s="16" t="str">
        <f>IF($C288&lt;&gt;"Organisation","",IF(OR($P288&lt;&gt;"",$Q288&lt;&gt;""),"Documented in source - midpoint of annual_intake_low/high",IF($I288="","No confirmed programme - modelled as zero",$N288&amp;" base x "&amp;TEXT(_xlfn.XLOOKUP($G288,Assumptions!$B$13:$B$26,Assumptions!$C$13:$C$26,0),"0.0#")&amp;" sector x "&amp;TEXT(_xlfn.XLOOKUP($I288,Assumptions!$B$30:$B$50,Assumptions!$C$30:$C$50,0),"0.0#")&amp;" mechanism")))</f>
        <v/>
      </c>
      <c r="W288" s="13" t="s">
        <v>1440</v>
      </c>
      <c r="X288" s="13" t="s">
        <v>1457</v>
      </c>
    </row>
    <row r="289" spans="1:24" x14ac:dyDescent="0.2">
      <c r="A289" s="13" t="s">
        <v>1458</v>
      </c>
      <c r="B289" s="13" t="s">
        <v>1459</v>
      </c>
      <c r="C289" s="13" t="s">
        <v>205</v>
      </c>
      <c r="D289" s="13" t="s">
        <v>76</v>
      </c>
      <c r="E289" s="13" t="s">
        <v>76</v>
      </c>
      <c r="F289" s="13" t="s">
        <v>161</v>
      </c>
      <c r="G289" s="13" t="s">
        <v>186</v>
      </c>
      <c r="H289" s="13" t="s">
        <v>1460</v>
      </c>
      <c r="I289" s="13" t="s">
        <v>1454</v>
      </c>
      <c r="J289" s="13" t="s">
        <v>1461</v>
      </c>
      <c r="K289" s="19" t="s">
        <v>1817</v>
      </c>
      <c r="L289" s="17"/>
      <c r="M289" s="17"/>
      <c r="N289" s="13" t="s">
        <v>208</v>
      </c>
      <c r="O289" s="13" t="s">
        <v>209</v>
      </c>
      <c r="P289" s="16"/>
      <c r="Q289" s="16"/>
      <c r="R289" s="16"/>
      <c r="S289" s="21">
        <f>IF($C289&lt;&gt;"Organisation","",IF(OR($P289&lt;&gt;"",$Q289&lt;&gt;""),IF($P289&lt;&gt;"",IF($Q289&lt;&gt;"",($P289+$Q289)/2,$P289),$Q289),ROUND(_xlfn.XLOOKUP($N289,Assumptions!$B$5:$B$9,Assumptions!$C$5:$C$9,0)*_xlfn.XLOOKUP($G289,Assumptions!$B$13:$B$26,Assumptions!$C$13:$C$26,0)*_xlfn.XLOOKUP($I289,Assumptions!$B$30:$B$50,Assumptions!$C$30:$C$50,0),0)))</f>
        <v>120</v>
      </c>
      <c r="T289" s="16" t="str">
        <f>IF($C289&lt;&gt;"Organisation","",IF(OR($P289&lt;&gt;"",$Q289&lt;&gt;""),"Documented in source - midpoint of annual_intake_low/high",IF($I289="","No confirmed programme - modelled as zero",$N289&amp;" base x "&amp;TEXT(_xlfn.XLOOKUP($G289,Assumptions!$B$13:$B$26,Assumptions!$C$13:$C$26,0),"0.0#")&amp;" sector x "&amp;TEXT(_xlfn.XLOOKUP($I289,Assumptions!$B$30:$B$50,Assumptions!$C$30:$C$50,0),"0.0#")&amp;" mechanism")))</f>
        <v>Large base x 1.0 sector x 1.0 mechanism</v>
      </c>
      <c r="U289" s="13" t="s">
        <v>210</v>
      </c>
      <c r="V289" s="13" t="s">
        <v>211</v>
      </c>
      <c r="W289" s="13" t="s">
        <v>1440</v>
      </c>
      <c r="X289" s="13" t="s">
        <v>1462</v>
      </c>
    </row>
    <row r="290" spans="1:24" x14ac:dyDescent="0.2">
      <c r="A290" s="13" t="s">
        <v>1463</v>
      </c>
      <c r="B290" s="13" t="s">
        <v>1464</v>
      </c>
      <c r="C290" s="13" t="s">
        <v>205</v>
      </c>
      <c r="D290" s="13" t="s">
        <v>76</v>
      </c>
      <c r="E290" s="13" t="s">
        <v>76</v>
      </c>
      <c r="F290" s="13" t="s">
        <v>161</v>
      </c>
      <c r="G290" s="13" t="s">
        <v>186</v>
      </c>
      <c r="H290" s="13" t="s">
        <v>1465</v>
      </c>
      <c r="I290" s="13" t="s">
        <v>1454</v>
      </c>
      <c r="J290" s="13" t="s">
        <v>1466</v>
      </c>
      <c r="K290" s="19" t="s">
        <v>1817</v>
      </c>
      <c r="L290" s="17"/>
      <c r="M290" s="17"/>
      <c r="N290" s="13" t="s">
        <v>244</v>
      </c>
      <c r="O290" s="13" t="s">
        <v>209</v>
      </c>
      <c r="P290" s="16"/>
      <c r="Q290" s="16"/>
      <c r="R290" s="16"/>
      <c r="S290" s="21">
        <f>IF($C290&lt;&gt;"Organisation","",IF(OR($P290&lt;&gt;"",$Q290&lt;&gt;""),IF($P290&lt;&gt;"",IF($Q290&lt;&gt;"",($P290+$Q290)/2,$P290),$Q290),ROUND(_xlfn.XLOOKUP($N290,Assumptions!$B$5:$B$9,Assumptions!$C$5:$C$9,0)*_xlfn.XLOOKUP($G290,Assumptions!$B$13:$B$26,Assumptions!$C$13:$C$26,0)*_xlfn.XLOOKUP($I290,Assumptions!$B$30:$B$50,Assumptions!$C$30:$C$50,0),0)))</f>
        <v>30</v>
      </c>
      <c r="T290" s="16" t="str">
        <f>IF($C290&lt;&gt;"Organisation","",IF(OR($P290&lt;&gt;"",$Q290&lt;&gt;""),"Documented in source - midpoint of annual_intake_low/high",IF($I290="","No confirmed programme - modelled as zero",$N290&amp;" base x "&amp;TEXT(_xlfn.XLOOKUP($G290,Assumptions!$B$13:$B$26,Assumptions!$C$13:$C$26,0),"0.0#")&amp;" sector x "&amp;TEXT(_xlfn.XLOOKUP($I290,Assumptions!$B$30:$B$50,Assumptions!$C$30:$C$50,0),"0.0#")&amp;" mechanism")))</f>
        <v>Mid base x 1.0 sector x 1.0 mechanism</v>
      </c>
      <c r="U290" s="13" t="s">
        <v>210</v>
      </c>
      <c r="V290" s="13" t="s">
        <v>211</v>
      </c>
      <c r="W290" s="13" t="s">
        <v>1440</v>
      </c>
      <c r="X290" s="13" t="s">
        <v>1467</v>
      </c>
    </row>
    <row r="291" spans="1:24" x14ac:dyDescent="0.2">
      <c r="A291" s="13" t="s">
        <v>1468</v>
      </c>
      <c r="B291" s="13" t="s">
        <v>1469</v>
      </c>
      <c r="C291" s="13" t="s">
        <v>205</v>
      </c>
      <c r="D291" s="13" t="s">
        <v>76</v>
      </c>
      <c r="E291" s="13" t="s">
        <v>76</v>
      </c>
      <c r="F291" s="13" t="s">
        <v>1456</v>
      </c>
      <c r="G291" s="13" t="s">
        <v>184</v>
      </c>
      <c r="H291" s="13" t="s">
        <v>1470</v>
      </c>
      <c r="I291" s="13" t="s">
        <v>1454</v>
      </c>
      <c r="J291" s="13" t="s">
        <v>1471</v>
      </c>
      <c r="K291" s="19" t="s">
        <v>1815</v>
      </c>
      <c r="L291" s="17"/>
      <c r="M291" s="17"/>
      <c r="N291" s="13" t="s">
        <v>244</v>
      </c>
      <c r="O291" s="13" t="s">
        <v>209</v>
      </c>
      <c r="P291" s="16"/>
      <c r="Q291" s="16"/>
      <c r="R291" s="16"/>
      <c r="S291" s="21">
        <f>IF($C291&lt;&gt;"Organisation","",IF(OR($P291&lt;&gt;"",$Q291&lt;&gt;""),IF($P291&lt;&gt;"",IF($Q291&lt;&gt;"",($P291+$Q291)/2,$P291),$Q291),ROUND(_xlfn.XLOOKUP($N291,Assumptions!$B$5:$B$9,Assumptions!$C$5:$C$9,0)*_xlfn.XLOOKUP($G291,Assumptions!$B$13:$B$26,Assumptions!$C$13:$C$26,0)*_xlfn.XLOOKUP($I291,Assumptions!$B$30:$B$50,Assumptions!$C$30:$C$50,0),0)))</f>
        <v>12</v>
      </c>
      <c r="T291" s="16" t="str">
        <f>IF($C291&lt;&gt;"Organisation","",IF(OR($P291&lt;&gt;"",$Q291&lt;&gt;""),"Documented in source - midpoint of annual_intake_low/high",IF($I291="","No confirmed programme - modelled as zero",$N291&amp;" base x "&amp;TEXT(_xlfn.XLOOKUP($G291,Assumptions!$B$13:$B$26,Assumptions!$C$13:$C$26,0),"0.0#")&amp;" sector x "&amp;TEXT(_xlfn.XLOOKUP($I291,Assumptions!$B$30:$B$50,Assumptions!$C$30:$C$50,0),"0.0#")&amp;" mechanism")))</f>
        <v>Mid base x 0.4 sector x 1.0 mechanism</v>
      </c>
      <c r="U291" s="13" t="s">
        <v>230</v>
      </c>
      <c r="V291" s="13" t="s">
        <v>231</v>
      </c>
      <c r="W291" s="13" t="s">
        <v>1440</v>
      </c>
      <c r="X291" s="13"/>
    </row>
    <row r="292" spans="1:24" x14ac:dyDescent="0.2">
      <c r="A292" s="13" t="s">
        <v>1472</v>
      </c>
      <c r="B292" s="13" t="s">
        <v>1473</v>
      </c>
      <c r="C292" s="13" t="s">
        <v>205</v>
      </c>
      <c r="D292" s="13" t="s">
        <v>76</v>
      </c>
      <c r="E292" s="13" t="s">
        <v>76</v>
      </c>
      <c r="F292" s="13" t="s">
        <v>161</v>
      </c>
      <c r="G292" s="13" t="s">
        <v>170</v>
      </c>
      <c r="H292" s="13" t="s">
        <v>1474</v>
      </c>
      <c r="I292" s="13" t="s">
        <v>1454</v>
      </c>
      <c r="J292" s="13" t="s">
        <v>1475</v>
      </c>
      <c r="K292" s="19" t="s">
        <v>1817</v>
      </c>
      <c r="L292" s="17"/>
      <c r="M292" s="17"/>
      <c r="N292" s="13" t="s">
        <v>218</v>
      </c>
      <c r="O292" s="13" t="s">
        <v>209</v>
      </c>
      <c r="P292" s="16"/>
      <c r="Q292" s="16"/>
      <c r="R292" s="16"/>
      <c r="S292" s="21">
        <f>IF($C292&lt;&gt;"Organisation","",IF(OR($P292&lt;&gt;"",$Q292&lt;&gt;""),IF($P292&lt;&gt;"",IF($Q292&lt;&gt;"",($P292+$Q292)/2,$P292),$Q292),ROUND(_xlfn.XLOOKUP($N292,Assumptions!$B$5:$B$9,Assumptions!$C$5:$C$9,0)*_xlfn.XLOOKUP($G292,Assumptions!$B$13:$B$26,Assumptions!$C$13:$C$26,0)*_xlfn.XLOOKUP($I292,Assumptions!$B$30:$B$50,Assumptions!$C$30:$C$50,0),0)))</f>
        <v>400</v>
      </c>
      <c r="T292" s="16" t="str">
        <f>IF($C292&lt;&gt;"Organisation","",IF(OR($P292&lt;&gt;"",$Q292&lt;&gt;""),"Documented in source - midpoint of annual_intake_low/high",IF($I292="","No confirmed programme - modelled as zero",$N292&amp;" base x "&amp;TEXT(_xlfn.XLOOKUP($G292,Assumptions!$B$13:$B$26,Assumptions!$C$13:$C$26,0),"0.0#")&amp;" sector x "&amp;TEXT(_xlfn.XLOOKUP($I292,Assumptions!$B$30:$B$50,Assumptions!$C$30:$C$50,0),"0.0#")&amp;" mechanism")))</f>
        <v>Mega base x 1.0 sector x 1.0 mechanism</v>
      </c>
      <c r="U292" s="13" t="s">
        <v>210</v>
      </c>
      <c r="V292" s="13" t="s">
        <v>211</v>
      </c>
      <c r="W292" s="13" t="s">
        <v>1440</v>
      </c>
      <c r="X292" s="13" t="s">
        <v>1476</v>
      </c>
    </row>
    <row r="293" spans="1:24" x14ac:dyDescent="0.2">
      <c r="A293" s="13" t="s">
        <v>1477</v>
      </c>
      <c r="B293" s="13" t="s">
        <v>1478</v>
      </c>
      <c r="C293" s="13" t="s">
        <v>205</v>
      </c>
      <c r="D293" s="13" t="s">
        <v>76</v>
      </c>
      <c r="E293" s="13" t="s">
        <v>76</v>
      </c>
      <c r="F293" s="13" t="s">
        <v>1439</v>
      </c>
      <c r="G293" s="13" t="s">
        <v>170</v>
      </c>
      <c r="H293" s="13" t="s">
        <v>1474</v>
      </c>
      <c r="I293" s="13" t="s">
        <v>1454</v>
      </c>
      <c r="J293" s="13" t="s">
        <v>1479</v>
      </c>
      <c r="K293" s="19" t="s">
        <v>1815</v>
      </c>
      <c r="L293" s="17"/>
      <c r="M293" s="17"/>
      <c r="N293" s="13" t="s">
        <v>218</v>
      </c>
      <c r="O293" s="13" t="s">
        <v>209</v>
      </c>
      <c r="P293" s="16"/>
      <c r="Q293" s="16"/>
      <c r="R293" s="16"/>
      <c r="S293" s="21">
        <f>IF($C293&lt;&gt;"Organisation","",IF(OR($P293&lt;&gt;"",$Q293&lt;&gt;""),IF($P293&lt;&gt;"",IF($Q293&lt;&gt;"",($P293+$Q293)/2,$P293),$Q293),ROUND(_xlfn.XLOOKUP($N293,Assumptions!$B$5:$B$9,Assumptions!$C$5:$C$9,0)*_xlfn.XLOOKUP($G293,Assumptions!$B$13:$B$26,Assumptions!$C$13:$C$26,0)*_xlfn.XLOOKUP($I293,Assumptions!$B$30:$B$50,Assumptions!$C$30:$C$50,0),0)))</f>
        <v>400</v>
      </c>
      <c r="T293" s="16" t="str">
        <f>IF($C293&lt;&gt;"Organisation","",IF(OR($P293&lt;&gt;"",$Q293&lt;&gt;""),"Documented in source - midpoint of annual_intake_low/high",IF($I293="","No confirmed programme - modelled as zero",$N293&amp;" base x "&amp;TEXT(_xlfn.XLOOKUP($G293,Assumptions!$B$13:$B$26,Assumptions!$C$13:$C$26,0),"0.0#")&amp;" sector x "&amp;TEXT(_xlfn.XLOOKUP($I293,Assumptions!$B$30:$B$50,Assumptions!$C$30:$C$50,0),"0.0#")&amp;" mechanism")))</f>
        <v>Mega base x 1.0 sector x 1.0 mechanism</v>
      </c>
      <c r="U293" s="13" t="s">
        <v>210</v>
      </c>
      <c r="V293" s="13" t="s">
        <v>211</v>
      </c>
      <c r="W293" s="13" t="s">
        <v>1440</v>
      </c>
      <c r="X293" s="13" t="s">
        <v>1480</v>
      </c>
    </row>
    <row r="294" spans="1:24" x14ac:dyDescent="0.2">
      <c r="A294" s="13" t="s">
        <v>1481</v>
      </c>
      <c r="B294" s="13" t="s">
        <v>1482</v>
      </c>
      <c r="C294" s="13" t="s">
        <v>205</v>
      </c>
      <c r="D294" s="13" t="s">
        <v>76</v>
      </c>
      <c r="E294" s="13" t="s">
        <v>76</v>
      </c>
      <c r="F294" s="13" t="s">
        <v>161</v>
      </c>
      <c r="G294" s="13" t="s">
        <v>170</v>
      </c>
      <c r="H294" s="13" t="s">
        <v>1483</v>
      </c>
      <c r="I294" s="13" t="s">
        <v>1454</v>
      </c>
      <c r="J294" s="13" t="s">
        <v>1484</v>
      </c>
      <c r="K294" s="19" t="s">
        <v>1815</v>
      </c>
      <c r="L294" s="17"/>
      <c r="M294" s="17"/>
      <c r="N294" s="13" t="s">
        <v>208</v>
      </c>
      <c r="O294" s="13" t="s">
        <v>209</v>
      </c>
      <c r="P294" s="16"/>
      <c r="Q294" s="16"/>
      <c r="R294" s="16"/>
      <c r="S294" s="21">
        <f>IF($C294&lt;&gt;"Organisation","",IF(OR($P294&lt;&gt;"",$Q294&lt;&gt;""),IF($P294&lt;&gt;"",IF($Q294&lt;&gt;"",($P294+$Q294)/2,$P294),$Q294),ROUND(_xlfn.XLOOKUP($N294,Assumptions!$B$5:$B$9,Assumptions!$C$5:$C$9,0)*_xlfn.XLOOKUP($G294,Assumptions!$B$13:$B$26,Assumptions!$C$13:$C$26,0)*_xlfn.XLOOKUP($I294,Assumptions!$B$30:$B$50,Assumptions!$C$30:$C$50,0),0)))</f>
        <v>120</v>
      </c>
      <c r="T294" s="16" t="str">
        <f>IF($C294&lt;&gt;"Organisation","",IF(OR($P294&lt;&gt;"",$Q294&lt;&gt;""),"Documented in source - midpoint of annual_intake_low/high",IF($I294="","No confirmed programme - modelled as zero",$N294&amp;" base x "&amp;TEXT(_xlfn.XLOOKUP($G294,Assumptions!$B$13:$B$26,Assumptions!$C$13:$C$26,0),"0.0#")&amp;" sector x "&amp;TEXT(_xlfn.XLOOKUP($I294,Assumptions!$B$30:$B$50,Assumptions!$C$30:$C$50,0),"0.0#")&amp;" mechanism")))</f>
        <v>Large base x 1.0 sector x 1.0 mechanism</v>
      </c>
      <c r="U294" s="13" t="s">
        <v>230</v>
      </c>
      <c r="V294" s="13" t="s">
        <v>231</v>
      </c>
      <c r="W294" s="13" t="s">
        <v>1440</v>
      </c>
      <c r="X294" s="13"/>
    </row>
    <row r="295" spans="1:24" x14ac:dyDescent="0.2">
      <c r="A295" s="13" t="s">
        <v>1485</v>
      </c>
      <c r="B295" s="13" t="s">
        <v>1486</v>
      </c>
      <c r="C295" s="13" t="s">
        <v>205</v>
      </c>
      <c r="D295" s="13" t="s">
        <v>76</v>
      </c>
      <c r="E295" s="13" t="s">
        <v>76</v>
      </c>
      <c r="F295" s="13" t="s">
        <v>1456</v>
      </c>
      <c r="G295" s="13" t="s">
        <v>170</v>
      </c>
      <c r="H295" s="13" t="s">
        <v>1487</v>
      </c>
      <c r="I295" s="13" t="s">
        <v>1454</v>
      </c>
      <c r="J295" s="13" t="s">
        <v>1471</v>
      </c>
      <c r="K295" s="19" t="s">
        <v>1815</v>
      </c>
      <c r="L295" s="17"/>
      <c r="M295" s="17"/>
      <c r="N295" s="13" t="s">
        <v>208</v>
      </c>
      <c r="O295" s="13" t="s">
        <v>209</v>
      </c>
      <c r="P295" s="16"/>
      <c r="Q295" s="16"/>
      <c r="R295" s="16"/>
      <c r="S295" s="21">
        <f>IF($C295&lt;&gt;"Organisation","",IF(OR($P295&lt;&gt;"",$Q295&lt;&gt;""),IF($P295&lt;&gt;"",IF($Q295&lt;&gt;"",($P295+$Q295)/2,$P295),$Q295),ROUND(_xlfn.XLOOKUP($N295,Assumptions!$B$5:$B$9,Assumptions!$C$5:$C$9,0)*_xlfn.XLOOKUP($G295,Assumptions!$B$13:$B$26,Assumptions!$C$13:$C$26,0)*_xlfn.XLOOKUP($I295,Assumptions!$B$30:$B$50,Assumptions!$C$30:$C$50,0),0)))</f>
        <v>120</v>
      </c>
      <c r="T295" s="16" t="str">
        <f>IF($C295&lt;&gt;"Organisation","",IF(OR($P295&lt;&gt;"",$Q295&lt;&gt;""),"Documented in source - midpoint of annual_intake_low/high",IF($I295="","No confirmed programme - modelled as zero",$N295&amp;" base x "&amp;TEXT(_xlfn.XLOOKUP($G295,Assumptions!$B$13:$B$26,Assumptions!$C$13:$C$26,0),"0.0#")&amp;" sector x "&amp;TEXT(_xlfn.XLOOKUP($I295,Assumptions!$B$30:$B$50,Assumptions!$C$30:$C$50,0),"0.0#")&amp;" mechanism")))</f>
        <v>Large base x 1.0 sector x 1.0 mechanism</v>
      </c>
      <c r="U295" s="13" t="s">
        <v>230</v>
      </c>
      <c r="V295" s="13" t="s">
        <v>231</v>
      </c>
      <c r="W295" s="13" t="s">
        <v>1440</v>
      </c>
      <c r="X295" s="13"/>
    </row>
    <row r="296" spans="1:24" x14ac:dyDescent="0.2">
      <c r="A296" s="13" t="s">
        <v>1488</v>
      </c>
      <c r="B296" s="13" t="s">
        <v>1489</v>
      </c>
      <c r="C296" s="13" t="s">
        <v>205</v>
      </c>
      <c r="D296" s="13" t="s">
        <v>76</v>
      </c>
      <c r="E296" s="13" t="s">
        <v>76</v>
      </c>
      <c r="F296" s="13" t="s">
        <v>1439</v>
      </c>
      <c r="G296" s="13" t="s">
        <v>170</v>
      </c>
      <c r="H296" s="13" t="s">
        <v>1490</v>
      </c>
      <c r="I296" s="13" t="s">
        <v>1454</v>
      </c>
      <c r="K296" s="19" t="s">
        <v>1815</v>
      </c>
      <c r="L296" s="17"/>
      <c r="M296" s="17"/>
      <c r="N296" s="13" t="s">
        <v>244</v>
      </c>
      <c r="O296" s="13" t="s">
        <v>209</v>
      </c>
      <c r="P296" s="16"/>
      <c r="Q296" s="16"/>
      <c r="R296" s="16"/>
      <c r="S296" s="21">
        <f>IF($C296&lt;&gt;"Organisation","",IF(OR($P296&lt;&gt;"",$Q296&lt;&gt;""),IF($P296&lt;&gt;"",IF($Q296&lt;&gt;"",($P296+$Q296)/2,$P296),$Q296),ROUND(_xlfn.XLOOKUP($N296,Assumptions!$B$5:$B$9,Assumptions!$C$5:$C$9,0)*_xlfn.XLOOKUP($G296,Assumptions!$B$13:$B$26,Assumptions!$C$13:$C$26,0)*_xlfn.XLOOKUP($I296,Assumptions!$B$30:$B$50,Assumptions!$C$30:$C$50,0),0)))</f>
        <v>30</v>
      </c>
      <c r="T296" s="16" t="str">
        <f>IF($C296&lt;&gt;"Organisation","",IF(OR($P296&lt;&gt;"",$Q296&lt;&gt;""),"Documented in source - midpoint of annual_intake_low/high",IF($I296="","No confirmed programme - modelled as zero",$N296&amp;" base x "&amp;TEXT(_xlfn.XLOOKUP($G296,Assumptions!$B$13:$B$26,Assumptions!$C$13:$C$26,0),"0.0#")&amp;" sector x "&amp;TEXT(_xlfn.XLOOKUP($I296,Assumptions!$B$30:$B$50,Assumptions!$C$30:$C$50,0),"0.0#")&amp;" mechanism")))</f>
        <v>Mid base x 1.0 sector x 1.0 mechanism</v>
      </c>
      <c r="U296" s="13" t="s">
        <v>230</v>
      </c>
      <c r="V296" s="13" t="s">
        <v>231</v>
      </c>
      <c r="W296" s="13" t="s">
        <v>1440</v>
      </c>
      <c r="X296" s="13"/>
    </row>
    <row r="297" spans="1:24" x14ac:dyDescent="0.2">
      <c r="A297" s="13" t="s">
        <v>1491</v>
      </c>
      <c r="B297" s="13" t="s">
        <v>1492</v>
      </c>
      <c r="C297" s="13" t="s">
        <v>205</v>
      </c>
      <c r="D297" s="13" t="s">
        <v>76</v>
      </c>
      <c r="E297" s="13" t="s">
        <v>76</v>
      </c>
      <c r="F297" s="13" t="s">
        <v>1444</v>
      </c>
      <c r="G297" s="13" t="s">
        <v>170</v>
      </c>
      <c r="H297" s="13" t="s">
        <v>1490</v>
      </c>
      <c r="I297" s="13" t="s">
        <v>1454</v>
      </c>
      <c r="J297" s="13" t="s">
        <v>1471</v>
      </c>
      <c r="K297" s="19" t="s">
        <v>1815</v>
      </c>
      <c r="L297" s="17"/>
      <c r="M297" s="17"/>
      <c r="N297" s="13" t="s">
        <v>244</v>
      </c>
      <c r="O297" s="13" t="s">
        <v>209</v>
      </c>
      <c r="P297" s="16"/>
      <c r="Q297" s="16"/>
      <c r="R297" s="16"/>
      <c r="S297" s="21">
        <f>IF($C297&lt;&gt;"Organisation","",IF(OR($P297&lt;&gt;"",$Q297&lt;&gt;""),IF($P297&lt;&gt;"",IF($Q297&lt;&gt;"",($P297+$Q297)/2,$P297),$Q297),ROUND(_xlfn.XLOOKUP($N297,Assumptions!$B$5:$B$9,Assumptions!$C$5:$C$9,0)*_xlfn.XLOOKUP($G297,Assumptions!$B$13:$B$26,Assumptions!$C$13:$C$26,0)*_xlfn.XLOOKUP($I297,Assumptions!$B$30:$B$50,Assumptions!$C$30:$C$50,0),0)))</f>
        <v>30</v>
      </c>
      <c r="T297" s="16" t="str">
        <f>IF($C297&lt;&gt;"Organisation","",IF(OR($P297&lt;&gt;"",$Q297&lt;&gt;""),"Documented in source - midpoint of annual_intake_low/high",IF($I297="","No confirmed programme - modelled as zero",$N297&amp;" base x "&amp;TEXT(_xlfn.XLOOKUP($G297,Assumptions!$B$13:$B$26,Assumptions!$C$13:$C$26,0),"0.0#")&amp;" sector x "&amp;TEXT(_xlfn.XLOOKUP($I297,Assumptions!$B$30:$B$50,Assumptions!$C$30:$C$50,0),"0.0#")&amp;" mechanism")))</f>
        <v>Mid base x 1.0 sector x 1.0 mechanism</v>
      </c>
      <c r="U297" s="13" t="s">
        <v>230</v>
      </c>
      <c r="V297" s="13" t="s">
        <v>231</v>
      </c>
      <c r="W297" s="13" t="s">
        <v>1440</v>
      </c>
      <c r="X297" s="13"/>
    </row>
    <row r="298" spans="1:24" x14ac:dyDescent="0.2">
      <c r="A298" s="13" t="s">
        <v>1493</v>
      </c>
      <c r="B298" s="13" t="s">
        <v>1494</v>
      </c>
      <c r="C298" s="13" t="s">
        <v>205</v>
      </c>
      <c r="D298" s="13" t="s">
        <v>76</v>
      </c>
      <c r="E298" s="13" t="s">
        <v>76</v>
      </c>
      <c r="F298" s="13" t="s">
        <v>161</v>
      </c>
      <c r="G298" s="13" t="s">
        <v>170</v>
      </c>
      <c r="H298" s="13" t="s">
        <v>1490</v>
      </c>
      <c r="I298" s="13" t="s">
        <v>1454</v>
      </c>
      <c r="K298" s="19" t="s">
        <v>1815</v>
      </c>
      <c r="L298" s="17"/>
      <c r="M298" s="17"/>
      <c r="N298" s="13" t="s">
        <v>244</v>
      </c>
      <c r="O298" s="13" t="s">
        <v>209</v>
      </c>
      <c r="P298" s="16"/>
      <c r="Q298" s="16"/>
      <c r="R298" s="16"/>
      <c r="S298" s="21">
        <f>IF($C298&lt;&gt;"Organisation","",IF(OR($P298&lt;&gt;"",$Q298&lt;&gt;""),IF($P298&lt;&gt;"",IF($Q298&lt;&gt;"",($P298+$Q298)/2,$P298),$Q298),ROUND(_xlfn.XLOOKUP($N298,Assumptions!$B$5:$B$9,Assumptions!$C$5:$C$9,0)*_xlfn.XLOOKUP($G298,Assumptions!$B$13:$B$26,Assumptions!$C$13:$C$26,0)*_xlfn.XLOOKUP($I298,Assumptions!$B$30:$B$50,Assumptions!$C$30:$C$50,0),0)))</f>
        <v>30</v>
      </c>
      <c r="T298" s="16" t="str">
        <f>IF($C298&lt;&gt;"Organisation","",IF(OR($P298&lt;&gt;"",$Q298&lt;&gt;""),"Documented in source - midpoint of annual_intake_low/high",IF($I298="","No confirmed programme - modelled as zero",$N298&amp;" base x "&amp;TEXT(_xlfn.XLOOKUP($G298,Assumptions!$B$13:$B$26,Assumptions!$C$13:$C$26,0),"0.0#")&amp;" sector x "&amp;TEXT(_xlfn.XLOOKUP($I298,Assumptions!$B$30:$B$50,Assumptions!$C$30:$C$50,0),"0.0#")&amp;" mechanism")))</f>
        <v>Mid base x 1.0 sector x 1.0 mechanism</v>
      </c>
      <c r="U298" s="13" t="s">
        <v>230</v>
      </c>
      <c r="V298" s="13" t="s">
        <v>231</v>
      </c>
      <c r="W298" s="13" t="s">
        <v>1440</v>
      </c>
      <c r="X298" s="13"/>
    </row>
    <row r="299" spans="1:24" x14ac:dyDescent="0.2">
      <c r="A299" s="13" t="s">
        <v>1495</v>
      </c>
      <c r="B299" s="13" t="s">
        <v>1496</v>
      </c>
      <c r="C299" s="13" t="s">
        <v>205</v>
      </c>
      <c r="D299" s="13" t="s">
        <v>76</v>
      </c>
      <c r="E299" s="13" t="s">
        <v>76</v>
      </c>
      <c r="F299" s="13" t="s">
        <v>1446</v>
      </c>
      <c r="G299" s="13" t="s">
        <v>170</v>
      </c>
      <c r="H299" s="13" t="s">
        <v>1490</v>
      </c>
      <c r="I299" s="13" t="s">
        <v>1454</v>
      </c>
      <c r="K299" s="19" t="s">
        <v>1815</v>
      </c>
      <c r="L299" s="17"/>
      <c r="M299" s="17"/>
      <c r="N299" s="13" t="s">
        <v>244</v>
      </c>
      <c r="O299" s="13" t="s">
        <v>209</v>
      </c>
      <c r="P299" s="16"/>
      <c r="Q299" s="16"/>
      <c r="R299" s="16"/>
      <c r="S299" s="21">
        <f>IF($C299&lt;&gt;"Organisation","",IF(OR($P299&lt;&gt;"",$Q299&lt;&gt;""),IF($P299&lt;&gt;"",IF($Q299&lt;&gt;"",($P299+$Q299)/2,$P299),$Q299),ROUND(_xlfn.XLOOKUP($N299,Assumptions!$B$5:$B$9,Assumptions!$C$5:$C$9,0)*_xlfn.XLOOKUP($G299,Assumptions!$B$13:$B$26,Assumptions!$C$13:$C$26,0)*_xlfn.XLOOKUP($I299,Assumptions!$B$30:$B$50,Assumptions!$C$30:$C$50,0),0)))</f>
        <v>30</v>
      </c>
      <c r="T299" s="16" t="str">
        <f>IF($C299&lt;&gt;"Organisation","",IF(OR($P299&lt;&gt;"",$Q299&lt;&gt;""),"Documented in source - midpoint of annual_intake_low/high",IF($I299="","No confirmed programme - modelled as zero",$N299&amp;" base x "&amp;TEXT(_xlfn.XLOOKUP($G299,Assumptions!$B$13:$B$26,Assumptions!$C$13:$C$26,0),"0.0#")&amp;" sector x "&amp;TEXT(_xlfn.XLOOKUP($I299,Assumptions!$B$30:$B$50,Assumptions!$C$30:$C$50,0),"0.0#")&amp;" mechanism")))</f>
        <v>Mid base x 1.0 sector x 1.0 mechanism</v>
      </c>
      <c r="U299" s="13" t="s">
        <v>230</v>
      </c>
      <c r="V299" s="13" t="s">
        <v>231</v>
      </c>
      <c r="W299" s="13" t="s">
        <v>1440</v>
      </c>
      <c r="X299" s="13"/>
    </row>
    <row r="300" spans="1:24" x14ac:dyDescent="0.2">
      <c r="A300" s="13" t="s">
        <v>1497</v>
      </c>
      <c r="B300" s="13" t="s">
        <v>1498</v>
      </c>
      <c r="C300" s="13" t="s">
        <v>205</v>
      </c>
      <c r="D300" s="13" t="s">
        <v>76</v>
      </c>
      <c r="E300" s="13" t="s">
        <v>76</v>
      </c>
      <c r="F300" s="13" t="s">
        <v>161</v>
      </c>
      <c r="G300" s="13" t="s">
        <v>170</v>
      </c>
      <c r="H300" s="13" t="s">
        <v>1499</v>
      </c>
      <c r="I300" s="13" t="s">
        <v>1453</v>
      </c>
      <c r="J300" s="13" t="s">
        <v>1471</v>
      </c>
      <c r="K300" s="19" t="s">
        <v>1815</v>
      </c>
      <c r="L300" s="17"/>
      <c r="M300" s="17"/>
      <c r="N300" s="13" t="s">
        <v>244</v>
      </c>
      <c r="O300" s="13" t="s">
        <v>209</v>
      </c>
      <c r="P300" s="16"/>
      <c r="Q300" s="16"/>
      <c r="R300" s="16"/>
      <c r="S300" s="21">
        <f>IF($C300&lt;&gt;"Organisation","",IF(OR($P300&lt;&gt;"",$Q300&lt;&gt;""),IF($P300&lt;&gt;"",IF($Q300&lt;&gt;"",($P300+$Q300)/2,$P300),$Q300),ROUND(_xlfn.XLOOKUP($N300,Assumptions!$B$5:$B$9,Assumptions!$C$5:$C$9,0)*_xlfn.XLOOKUP($G300,Assumptions!$B$13:$B$26,Assumptions!$C$13:$C$26,0)*_xlfn.XLOOKUP($I300,Assumptions!$B$30:$B$50,Assumptions!$C$30:$C$50,0),0)))</f>
        <v>30</v>
      </c>
      <c r="T300" s="16" t="str">
        <f>IF($C300&lt;&gt;"Organisation","",IF(OR($P300&lt;&gt;"",$Q300&lt;&gt;""),"Documented in source - midpoint of annual_intake_low/high",IF($I300="","No confirmed programme - modelled as zero",$N300&amp;" base x "&amp;TEXT(_xlfn.XLOOKUP($G300,Assumptions!$B$13:$B$26,Assumptions!$C$13:$C$26,0),"0.0#")&amp;" sector x "&amp;TEXT(_xlfn.XLOOKUP($I300,Assumptions!$B$30:$B$50,Assumptions!$C$30:$C$50,0),"0.0#")&amp;" mechanism")))</f>
        <v>Mid base x 1.0 sector x 1.0 mechanism</v>
      </c>
      <c r="U300" s="13" t="s">
        <v>230</v>
      </c>
      <c r="V300" s="13" t="s">
        <v>231</v>
      </c>
      <c r="W300" s="13" t="s">
        <v>1440</v>
      </c>
      <c r="X300" s="13"/>
    </row>
    <row r="301" spans="1:24" x14ac:dyDescent="0.2">
      <c r="A301" s="13" t="s">
        <v>1500</v>
      </c>
      <c r="B301" s="13" t="s">
        <v>1501</v>
      </c>
      <c r="C301" s="13" t="s">
        <v>205</v>
      </c>
      <c r="D301" s="13" t="s">
        <v>76</v>
      </c>
      <c r="E301" s="13" t="s">
        <v>76</v>
      </c>
      <c r="F301" s="13" t="s">
        <v>161</v>
      </c>
      <c r="G301" s="13" t="s">
        <v>170</v>
      </c>
      <c r="H301" s="13" t="s">
        <v>1502</v>
      </c>
      <c r="I301" s="13" t="s">
        <v>1453</v>
      </c>
      <c r="J301" s="13" t="s">
        <v>1471</v>
      </c>
      <c r="K301" s="19" t="s">
        <v>1815</v>
      </c>
      <c r="L301" s="17"/>
      <c r="M301" s="17"/>
      <c r="N301" s="13" t="s">
        <v>244</v>
      </c>
      <c r="O301" s="13" t="s">
        <v>209</v>
      </c>
      <c r="P301" s="16"/>
      <c r="Q301" s="16"/>
      <c r="R301" s="16"/>
      <c r="S301" s="21">
        <f>IF($C301&lt;&gt;"Organisation","",IF(OR($P301&lt;&gt;"",$Q301&lt;&gt;""),IF($P301&lt;&gt;"",IF($Q301&lt;&gt;"",($P301+$Q301)/2,$P301),$Q301),ROUND(_xlfn.XLOOKUP($N301,Assumptions!$B$5:$B$9,Assumptions!$C$5:$C$9,0)*_xlfn.XLOOKUP($G301,Assumptions!$B$13:$B$26,Assumptions!$C$13:$C$26,0)*_xlfn.XLOOKUP($I301,Assumptions!$B$30:$B$50,Assumptions!$C$30:$C$50,0),0)))</f>
        <v>30</v>
      </c>
      <c r="T301" s="16" t="str">
        <f>IF($C301&lt;&gt;"Organisation","",IF(OR($P301&lt;&gt;"",$Q301&lt;&gt;""),"Documented in source - midpoint of annual_intake_low/high",IF($I301="","No confirmed programme - modelled as zero",$N301&amp;" base x "&amp;TEXT(_xlfn.XLOOKUP($G301,Assumptions!$B$13:$B$26,Assumptions!$C$13:$C$26,0),"0.0#")&amp;" sector x "&amp;TEXT(_xlfn.XLOOKUP($I301,Assumptions!$B$30:$B$50,Assumptions!$C$30:$C$50,0),"0.0#")&amp;" mechanism")))</f>
        <v>Mid base x 1.0 sector x 1.0 mechanism</v>
      </c>
      <c r="U301" s="13" t="s">
        <v>230</v>
      </c>
      <c r="V301" s="13" t="s">
        <v>231</v>
      </c>
      <c r="W301" s="13" t="s">
        <v>1440</v>
      </c>
      <c r="X301" s="13"/>
    </row>
    <row r="302" spans="1:24" x14ac:dyDescent="0.2">
      <c r="A302" s="13" t="s">
        <v>1503</v>
      </c>
      <c r="B302" s="13" t="s">
        <v>1504</v>
      </c>
      <c r="C302" s="13" t="s">
        <v>205</v>
      </c>
      <c r="D302" s="13" t="s">
        <v>76</v>
      </c>
      <c r="E302" s="13" t="s">
        <v>76</v>
      </c>
      <c r="F302" s="13" t="s">
        <v>161</v>
      </c>
      <c r="G302" s="13" t="s">
        <v>182</v>
      </c>
      <c r="H302" s="13" t="s">
        <v>1505</v>
      </c>
      <c r="I302" s="13" t="s">
        <v>1454</v>
      </c>
      <c r="J302" s="13" t="s">
        <v>1506</v>
      </c>
      <c r="K302" s="19" t="s">
        <v>1815</v>
      </c>
      <c r="L302" s="17"/>
      <c r="M302" s="17"/>
      <c r="N302" s="13" t="s">
        <v>208</v>
      </c>
      <c r="O302" s="13" t="s">
        <v>209</v>
      </c>
      <c r="P302" s="16"/>
      <c r="Q302" s="16"/>
      <c r="R302" s="16"/>
      <c r="S302" s="21">
        <f>IF($C302&lt;&gt;"Organisation","",IF(OR($P302&lt;&gt;"",$Q302&lt;&gt;""),IF($P302&lt;&gt;"",IF($Q302&lt;&gt;"",($P302+$Q302)/2,$P302),$Q302),ROUND(_xlfn.XLOOKUP($N302,Assumptions!$B$5:$B$9,Assumptions!$C$5:$C$9,0)*_xlfn.XLOOKUP($G302,Assumptions!$B$13:$B$26,Assumptions!$C$13:$C$26,0)*_xlfn.XLOOKUP($I302,Assumptions!$B$30:$B$50,Assumptions!$C$30:$C$50,0),0)))</f>
        <v>120</v>
      </c>
      <c r="T302" s="16" t="str">
        <f>IF($C302&lt;&gt;"Organisation","",IF(OR($P302&lt;&gt;"",$Q302&lt;&gt;""),"Documented in source - midpoint of annual_intake_low/high",IF($I302="","No confirmed programme - modelled as zero",$N302&amp;" base x "&amp;TEXT(_xlfn.XLOOKUP($G302,Assumptions!$B$13:$B$26,Assumptions!$C$13:$C$26,0),"0.0#")&amp;" sector x "&amp;TEXT(_xlfn.XLOOKUP($I302,Assumptions!$B$30:$B$50,Assumptions!$C$30:$C$50,0),"0.0#")&amp;" mechanism")))</f>
        <v>Large base x 1.0 sector x 1.0 mechanism</v>
      </c>
      <c r="U302" s="13" t="s">
        <v>230</v>
      </c>
      <c r="V302" s="13" t="s">
        <v>231</v>
      </c>
      <c r="W302" s="13" t="s">
        <v>1440</v>
      </c>
      <c r="X302" s="13"/>
    </row>
    <row r="303" spans="1:24" x14ac:dyDescent="0.2">
      <c r="A303" s="13" t="s">
        <v>1507</v>
      </c>
      <c r="B303" s="13" t="s">
        <v>1508</v>
      </c>
      <c r="C303" s="13" t="s">
        <v>205</v>
      </c>
      <c r="D303" s="13" t="s">
        <v>76</v>
      </c>
      <c r="E303" s="13" t="s">
        <v>76</v>
      </c>
      <c r="F303" s="13" t="s">
        <v>161</v>
      </c>
      <c r="G303" s="13" t="s">
        <v>182</v>
      </c>
      <c r="H303" s="13" t="s">
        <v>1505</v>
      </c>
      <c r="I303" s="13" t="s">
        <v>1454</v>
      </c>
      <c r="K303" s="19" t="s">
        <v>1815</v>
      </c>
      <c r="L303" s="17"/>
      <c r="M303" s="17"/>
      <c r="N303" s="13" t="s">
        <v>244</v>
      </c>
      <c r="O303" s="13" t="s">
        <v>209</v>
      </c>
      <c r="P303" s="16"/>
      <c r="Q303" s="16"/>
      <c r="R303" s="16"/>
      <c r="S303" s="21">
        <f>IF($C303&lt;&gt;"Organisation","",IF(OR($P303&lt;&gt;"",$Q303&lt;&gt;""),IF($P303&lt;&gt;"",IF($Q303&lt;&gt;"",($P303+$Q303)/2,$P303),$Q303),ROUND(_xlfn.XLOOKUP($N303,Assumptions!$B$5:$B$9,Assumptions!$C$5:$C$9,0)*_xlfn.XLOOKUP($G303,Assumptions!$B$13:$B$26,Assumptions!$C$13:$C$26,0)*_xlfn.XLOOKUP($I303,Assumptions!$B$30:$B$50,Assumptions!$C$30:$C$50,0),0)))</f>
        <v>30</v>
      </c>
      <c r="T303" s="16" t="str">
        <f>IF($C303&lt;&gt;"Organisation","",IF(OR($P303&lt;&gt;"",$Q303&lt;&gt;""),"Documented in source - midpoint of annual_intake_low/high",IF($I303="","No confirmed programme - modelled as zero",$N303&amp;" base x "&amp;TEXT(_xlfn.XLOOKUP($G303,Assumptions!$B$13:$B$26,Assumptions!$C$13:$C$26,0),"0.0#")&amp;" sector x "&amp;TEXT(_xlfn.XLOOKUP($I303,Assumptions!$B$30:$B$50,Assumptions!$C$30:$C$50,0),"0.0#")&amp;" mechanism")))</f>
        <v>Mid base x 1.0 sector x 1.0 mechanism</v>
      </c>
      <c r="U303" s="13" t="s">
        <v>230</v>
      </c>
      <c r="V303" s="13" t="s">
        <v>231</v>
      </c>
      <c r="W303" s="13" t="s">
        <v>1440</v>
      </c>
      <c r="X303" s="13"/>
    </row>
    <row r="304" spans="1:24" x14ac:dyDescent="0.2">
      <c r="A304" s="13" t="s">
        <v>1509</v>
      </c>
      <c r="B304" s="13" t="s">
        <v>1510</v>
      </c>
      <c r="C304" s="13" t="s">
        <v>205</v>
      </c>
      <c r="D304" s="13" t="s">
        <v>76</v>
      </c>
      <c r="E304" s="13" t="s">
        <v>76</v>
      </c>
      <c r="F304" s="13" t="s">
        <v>161</v>
      </c>
      <c r="G304" s="13" t="s">
        <v>182</v>
      </c>
      <c r="H304" s="13" t="s">
        <v>1505</v>
      </c>
      <c r="I304" s="13" t="s">
        <v>1454</v>
      </c>
      <c r="K304" s="19" t="s">
        <v>1815</v>
      </c>
      <c r="L304" s="17"/>
      <c r="M304" s="17"/>
      <c r="N304" s="13" t="s">
        <v>244</v>
      </c>
      <c r="O304" s="13" t="s">
        <v>209</v>
      </c>
      <c r="P304" s="16"/>
      <c r="Q304" s="16"/>
      <c r="R304" s="16"/>
      <c r="S304" s="21">
        <f>IF($C304&lt;&gt;"Organisation","",IF(OR($P304&lt;&gt;"",$Q304&lt;&gt;""),IF($P304&lt;&gt;"",IF($Q304&lt;&gt;"",($P304+$Q304)/2,$P304),$Q304),ROUND(_xlfn.XLOOKUP($N304,Assumptions!$B$5:$B$9,Assumptions!$C$5:$C$9,0)*_xlfn.XLOOKUP($G304,Assumptions!$B$13:$B$26,Assumptions!$C$13:$C$26,0)*_xlfn.XLOOKUP($I304,Assumptions!$B$30:$B$50,Assumptions!$C$30:$C$50,0),0)))</f>
        <v>30</v>
      </c>
      <c r="T304" s="16" t="str">
        <f>IF($C304&lt;&gt;"Organisation","",IF(OR($P304&lt;&gt;"",$Q304&lt;&gt;""),"Documented in source - midpoint of annual_intake_low/high",IF($I304="","No confirmed programme - modelled as zero",$N304&amp;" base x "&amp;TEXT(_xlfn.XLOOKUP($G304,Assumptions!$B$13:$B$26,Assumptions!$C$13:$C$26,0),"0.0#")&amp;" sector x "&amp;TEXT(_xlfn.XLOOKUP($I304,Assumptions!$B$30:$B$50,Assumptions!$C$30:$C$50,0),"0.0#")&amp;" mechanism")))</f>
        <v>Mid base x 1.0 sector x 1.0 mechanism</v>
      </c>
      <c r="U304" s="13" t="s">
        <v>230</v>
      </c>
      <c r="V304" s="13" t="s">
        <v>231</v>
      </c>
      <c r="W304" s="13" t="s">
        <v>1440</v>
      </c>
      <c r="X304" s="13"/>
    </row>
    <row r="305" spans="1:24" x14ac:dyDescent="0.2">
      <c r="A305" s="13" t="s">
        <v>1511</v>
      </c>
      <c r="B305" s="13" t="s">
        <v>1512</v>
      </c>
      <c r="C305" s="13" t="s">
        <v>205</v>
      </c>
      <c r="D305" s="13" t="s">
        <v>76</v>
      </c>
      <c r="E305" s="13" t="s">
        <v>76</v>
      </c>
      <c r="F305" s="13" t="s">
        <v>161</v>
      </c>
      <c r="G305" s="13" t="s">
        <v>182</v>
      </c>
      <c r="H305" s="13" t="s">
        <v>1513</v>
      </c>
      <c r="I305" s="13" t="s">
        <v>1454</v>
      </c>
      <c r="K305" s="19" t="s">
        <v>1815</v>
      </c>
      <c r="L305" s="17"/>
      <c r="M305" s="17"/>
      <c r="N305" s="13" t="s">
        <v>244</v>
      </c>
      <c r="O305" s="13" t="s">
        <v>209</v>
      </c>
      <c r="P305" s="16"/>
      <c r="Q305" s="16"/>
      <c r="R305" s="16"/>
      <c r="S305" s="21">
        <f>IF($C305&lt;&gt;"Organisation","",IF(OR($P305&lt;&gt;"",$Q305&lt;&gt;""),IF($P305&lt;&gt;"",IF($Q305&lt;&gt;"",($P305+$Q305)/2,$P305),$Q305),ROUND(_xlfn.XLOOKUP($N305,Assumptions!$B$5:$B$9,Assumptions!$C$5:$C$9,0)*_xlfn.XLOOKUP($G305,Assumptions!$B$13:$B$26,Assumptions!$C$13:$C$26,0)*_xlfn.XLOOKUP($I305,Assumptions!$B$30:$B$50,Assumptions!$C$30:$C$50,0),0)))</f>
        <v>30</v>
      </c>
      <c r="T305" s="16" t="str">
        <f>IF($C305&lt;&gt;"Organisation","",IF(OR($P305&lt;&gt;"",$Q305&lt;&gt;""),"Documented in source - midpoint of annual_intake_low/high",IF($I305="","No confirmed programme - modelled as zero",$N305&amp;" base x "&amp;TEXT(_xlfn.XLOOKUP($G305,Assumptions!$B$13:$B$26,Assumptions!$C$13:$C$26,0),"0.0#")&amp;" sector x "&amp;TEXT(_xlfn.XLOOKUP($I305,Assumptions!$B$30:$B$50,Assumptions!$C$30:$C$50,0),"0.0#")&amp;" mechanism")))</f>
        <v>Mid base x 1.0 sector x 1.0 mechanism</v>
      </c>
      <c r="U305" s="13" t="s">
        <v>230</v>
      </c>
      <c r="V305" s="13" t="s">
        <v>231</v>
      </c>
      <c r="W305" s="13" t="s">
        <v>1440</v>
      </c>
      <c r="X305" s="13"/>
    </row>
    <row r="306" spans="1:24" x14ac:dyDescent="0.2">
      <c r="A306" s="13" t="s">
        <v>1514</v>
      </c>
      <c r="B306" s="13" t="s">
        <v>1515</v>
      </c>
      <c r="C306" s="13" t="s">
        <v>205</v>
      </c>
      <c r="D306" s="13" t="s">
        <v>76</v>
      </c>
      <c r="E306" s="13" t="s">
        <v>76</v>
      </c>
      <c r="F306" s="13" t="s">
        <v>161</v>
      </c>
      <c r="G306" s="13" t="s">
        <v>166</v>
      </c>
      <c r="H306" s="13" t="s">
        <v>1516</v>
      </c>
      <c r="I306" s="13" t="s">
        <v>1453</v>
      </c>
      <c r="J306" s="13" t="s">
        <v>1517</v>
      </c>
      <c r="K306" s="19" t="s">
        <v>1815</v>
      </c>
      <c r="L306" s="17"/>
      <c r="M306" s="17"/>
      <c r="N306" s="13" t="s">
        <v>244</v>
      </c>
      <c r="O306" s="13" t="s">
        <v>209</v>
      </c>
      <c r="P306" s="16"/>
      <c r="Q306" s="16"/>
      <c r="R306" s="16"/>
      <c r="S306" s="21">
        <f>IF($C306&lt;&gt;"Organisation","",IF(OR($P306&lt;&gt;"",$Q306&lt;&gt;""),IF($P306&lt;&gt;"",IF($Q306&lt;&gt;"",($P306+$Q306)/2,$P306),$Q306),ROUND(_xlfn.XLOOKUP($N306,Assumptions!$B$5:$B$9,Assumptions!$C$5:$C$9,0)*_xlfn.XLOOKUP($G306,Assumptions!$B$13:$B$26,Assumptions!$C$13:$C$26,0)*_xlfn.XLOOKUP($I306,Assumptions!$B$30:$B$50,Assumptions!$C$30:$C$50,0),0)))</f>
        <v>24</v>
      </c>
      <c r="T306" s="16" t="str">
        <f>IF($C306&lt;&gt;"Organisation","",IF(OR($P306&lt;&gt;"",$Q306&lt;&gt;""),"Documented in source - midpoint of annual_intake_low/high",IF($I306="","No confirmed programme - modelled as zero",$N306&amp;" base x "&amp;TEXT(_xlfn.XLOOKUP($G306,Assumptions!$B$13:$B$26,Assumptions!$C$13:$C$26,0),"0.0#")&amp;" sector x "&amp;TEXT(_xlfn.XLOOKUP($I306,Assumptions!$B$30:$B$50,Assumptions!$C$30:$C$50,0),"0.0#")&amp;" mechanism")))</f>
        <v>Mid base x 0.8 sector x 1.0 mechanism</v>
      </c>
      <c r="U306" s="13" t="s">
        <v>222</v>
      </c>
      <c r="V306" s="13" t="s">
        <v>223</v>
      </c>
      <c r="W306" s="13" t="s">
        <v>1440</v>
      </c>
      <c r="X306" s="13" t="s">
        <v>1518</v>
      </c>
    </row>
    <row r="307" spans="1:24" x14ac:dyDescent="0.2">
      <c r="A307" s="13" t="s">
        <v>1519</v>
      </c>
      <c r="B307" s="13" t="s">
        <v>1520</v>
      </c>
      <c r="C307" s="13" t="s">
        <v>205</v>
      </c>
      <c r="D307" s="13" t="s">
        <v>76</v>
      </c>
      <c r="E307" s="13" t="s">
        <v>76</v>
      </c>
      <c r="F307" s="13" t="s">
        <v>161</v>
      </c>
      <c r="G307" s="13" t="s">
        <v>166</v>
      </c>
      <c r="H307" s="13" t="s">
        <v>1521</v>
      </c>
      <c r="I307" s="13" t="s">
        <v>1453</v>
      </c>
      <c r="K307" s="19" t="s">
        <v>1815</v>
      </c>
      <c r="L307" s="17"/>
      <c r="M307" s="17"/>
      <c r="N307" s="13" t="s">
        <v>236</v>
      </c>
      <c r="O307" s="13" t="s">
        <v>209</v>
      </c>
      <c r="P307" s="16"/>
      <c r="Q307" s="16"/>
      <c r="R307" s="16"/>
      <c r="S307" s="21">
        <f>IF($C307&lt;&gt;"Organisation","",IF(OR($P307&lt;&gt;"",$Q307&lt;&gt;""),IF($P307&lt;&gt;"",IF($Q307&lt;&gt;"",($P307+$Q307)/2,$P307),$Q307),ROUND(_xlfn.XLOOKUP($N307,Assumptions!$B$5:$B$9,Assumptions!$C$5:$C$9,0)*_xlfn.XLOOKUP($G307,Assumptions!$B$13:$B$26,Assumptions!$C$13:$C$26,0)*_xlfn.XLOOKUP($I307,Assumptions!$B$30:$B$50,Assumptions!$C$30:$C$50,0),0)))</f>
        <v>6</v>
      </c>
      <c r="T307" s="16" t="str">
        <f>IF($C307&lt;&gt;"Organisation","",IF(OR($P307&lt;&gt;"",$Q307&lt;&gt;""),"Documented in source - midpoint of annual_intake_low/high",IF($I307="","No confirmed programme - modelled as zero",$N307&amp;" base x "&amp;TEXT(_xlfn.XLOOKUP($G307,Assumptions!$B$13:$B$26,Assumptions!$C$13:$C$26,0),"0.0#")&amp;" sector x "&amp;TEXT(_xlfn.XLOOKUP($I307,Assumptions!$B$30:$B$50,Assumptions!$C$30:$C$50,0),"0.0#")&amp;" mechanism")))</f>
        <v>Boutique base x 0.8 sector x 1.0 mechanism</v>
      </c>
      <c r="U307" s="13" t="s">
        <v>230</v>
      </c>
      <c r="V307" s="13" t="s">
        <v>231</v>
      </c>
      <c r="W307" s="13" t="s">
        <v>1440</v>
      </c>
      <c r="X307" s="13" t="s">
        <v>1522</v>
      </c>
    </row>
    <row r="308" spans="1:24" x14ac:dyDescent="0.2">
      <c r="A308" s="13" t="s">
        <v>1523</v>
      </c>
      <c r="B308" s="13" t="s">
        <v>1524</v>
      </c>
      <c r="C308" s="13" t="s">
        <v>205</v>
      </c>
      <c r="D308" s="13" t="s">
        <v>76</v>
      </c>
      <c r="E308" s="13" t="s">
        <v>76</v>
      </c>
      <c r="F308" s="13" t="s">
        <v>161</v>
      </c>
      <c r="G308" s="13" t="s">
        <v>166</v>
      </c>
      <c r="H308" s="13" t="s">
        <v>1525</v>
      </c>
      <c r="I308" s="13" t="s">
        <v>1453</v>
      </c>
      <c r="J308" s="13" t="s">
        <v>1526</v>
      </c>
      <c r="K308" s="19" t="s">
        <v>1815</v>
      </c>
      <c r="L308" s="17"/>
      <c r="M308" s="17"/>
      <c r="N308" s="13" t="s">
        <v>236</v>
      </c>
      <c r="O308" s="13" t="s">
        <v>209</v>
      </c>
      <c r="P308" s="16"/>
      <c r="Q308" s="16"/>
      <c r="R308" s="16"/>
      <c r="S308" s="21">
        <f>IF($C308&lt;&gt;"Organisation","",IF(OR($P308&lt;&gt;"",$Q308&lt;&gt;""),IF($P308&lt;&gt;"",IF($Q308&lt;&gt;"",($P308+$Q308)/2,$P308),$Q308),ROUND(_xlfn.XLOOKUP($N308,Assumptions!$B$5:$B$9,Assumptions!$C$5:$C$9,0)*_xlfn.XLOOKUP($G308,Assumptions!$B$13:$B$26,Assumptions!$C$13:$C$26,0)*_xlfn.XLOOKUP($I308,Assumptions!$B$30:$B$50,Assumptions!$C$30:$C$50,0),0)))</f>
        <v>6</v>
      </c>
      <c r="T308" s="16" t="str">
        <f>IF($C308&lt;&gt;"Organisation","",IF(OR($P308&lt;&gt;"",$Q308&lt;&gt;""),"Documented in source - midpoint of annual_intake_low/high",IF($I308="","No confirmed programme - modelled as zero",$N308&amp;" base x "&amp;TEXT(_xlfn.XLOOKUP($G308,Assumptions!$B$13:$B$26,Assumptions!$C$13:$C$26,0),"0.0#")&amp;" sector x "&amp;TEXT(_xlfn.XLOOKUP($I308,Assumptions!$B$30:$B$50,Assumptions!$C$30:$C$50,0),"0.0#")&amp;" mechanism")))</f>
        <v>Boutique base x 0.8 sector x 1.0 mechanism</v>
      </c>
      <c r="U308" s="13" t="s">
        <v>230</v>
      </c>
      <c r="V308" s="13" t="s">
        <v>231</v>
      </c>
      <c r="W308" s="13" t="s">
        <v>1440</v>
      </c>
      <c r="X308" s="13"/>
    </row>
    <row r="309" spans="1:24" x14ac:dyDescent="0.2">
      <c r="A309" s="13" t="s">
        <v>1527</v>
      </c>
      <c r="B309" s="13" t="s">
        <v>1528</v>
      </c>
      <c r="C309" s="13" t="s">
        <v>205</v>
      </c>
      <c r="D309" s="13" t="s">
        <v>76</v>
      </c>
      <c r="E309" s="13" t="s">
        <v>76</v>
      </c>
      <c r="F309" s="13" t="s">
        <v>161</v>
      </c>
      <c r="G309" s="13" t="s">
        <v>166</v>
      </c>
      <c r="H309" s="13" t="s">
        <v>1529</v>
      </c>
      <c r="I309" s="13" t="s">
        <v>1453</v>
      </c>
      <c r="J309" s="13" t="s">
        <v>1526</v>
      </c>
      <c r="K309" s="19" t="s">
        <v>1815</v>
      </c>
      <c r="L309" s="17"/>
      <c r="M309" s="17"/>
      <c r="N309" s="13" t="s">
        <v>236</v>
      </c>
      <c r="O309" s="13" t="s">
        <v>209</v>
      </c>
      <c r="P309" s="16"/>
      <c r="Q309" s="16"/>
      <c r="R309" s="16"/>
      <c r="S309" s="21">
        <f>IF($C309&lt;&gt;"Organisation","",IF(OR($P309&lt;&gt;"",$Q309&lt;&gt;""),IF($P309&lt;&gt;"",IF($Q309&lt;&gt;"",($P309+$Q309)/2,$P309),$Q309),ROUND(_xlfn.XLOOKUP($N309,Assumptions!$B$5:$B$9,Assumptions!$C$5:$C$9,0)*_xlfn.XLOOKUP($G309,Assumptions!$B$13:$B$26,Assumptions!$C$13:$C$26,0)*_xlfn.XLOOKUP($I309,Assumptions!$B$30:$B$50,Assumptions!$C$30:$C$50,0),0)))</f>
        <v>6</v>
      </c>
      <c r="T309" s="16" t="str">
        <f>IF($C309&lt;&gt;"Organisation","",IF(OR($P309&lt;&gt;"",$Q309&lt;&gt;""),"Documented in source - midpoint of annual_intake_low/high",IF($I309="","No confirmed programme - modelled as zero",$N309&amp;" base x "&amp;TEXT(_xlfn.XLOOKUP($G309,Assumptions!$B$13:$B$26,Assumptions!$C$13:$C$26,0),"0.0#")&amp;" sector x "&amp;TEXT(_xlfn.XLOOKUP($I309,Assumptions!$B$30:$B$50,Assumptions!$C$30:$C$50,0),"0.0#")&amp;" mechanism")))</f>
        <v>Boutique base x 0.8 sector x 1.0 mechanism</v>
      </c>
      <c r="U309" s="13" t="s">
        <v>230</v>
      </c>
      <c r="V309" s="13" t="s">
        <v>231</v>
      </c>
      <c r="W309" s="13" t="s">
        <v>1440</v>
      </c>
      <c r="X309" s="13"/>
    </row>
    <row r="310" spans="1:24" x14ac:dyDescent="0.2">
      <c r="A310" s="13" t="s">
        <v>1530</v>
      </c>
      <c r="B310" s="13" t="s">
        <v>1531</v>
      </c>
      <c r="C310" s="13" t="s">
        <v>205</v>
      </c>
      <c r="D310" s="13" t="s">
        <v>76</v>
      </c>
      <c r="E310" s="13" t="s">
        <v>76</v>
      </c>
      <c r="F310" s="13" t="s">
        <v>161</v>
      </c>
      <c r="G310" s="13" t="s">
        <v>168</v>
      </c>
      <c r="H310" s="13" t="s">
        <v>1532</v>
      </c>
      <c r="I310" s="13" t="s">
        <v>1453</v>
      </c>
      <c r="J310" s="13" t="s">
        <v>1533</v>
      </c>
      <c r="K310" s="19" t="s">
        <v>1815</v>
      </c>
      <c r="L310" s="17"/>
      <c r="M310" s="17"/>
      <c r="N310" s="13" t="s">
        <v>244</v>
      </c>
      <c r="O310" s="13" t="s">
        <v>209</v>
      </c>
      <c r="P310" s="16"/>
      <c r="Q310" s="16"/>
      <c r="R310" s="16"/>
      <c r="S310" s="21">
        <f>IF($C310&lt;&gt;"Organisation","",IF(OR($P310&lt;&gt;"",$Q310&lt;&gt;""),IF($P310&lt;&gt;"",IF($Q310&lt;&gt;"",($P310+$Q310)/2,$P310),$Q310),ROUND(_xlfn.XLOOKUP($N310,Assumptions!$B$5:$B$9,Assumptions!$C$5:$C$9,0)*_xlfn.XLOOKUP($G310,Assumptions!$B$13:$B$26,Assumptions!$C$13:$C$26,0)*_xlfn.XLOOKUP($I310,Assumptions!$B$30:$B$50,Assumptions!$C$30:$C$50,0),0)))</f>
        <v>60</v>
      </c>
      <c r="T310" s="16" t="str">
        <f>IF($C310&lt;&gt;"Organisation","",IF(OR($P310&lt;&gt;"",$Q310&lt;&gt;""),"Documented in source - midpoint of annual_intake_low/high",IF($I310="","No confirmed programme - modelled as zero",$N310&amp;" base x "&amp;TEXT(_xlfn.XLOOKUP($G310,Assumptions!$B$13:$B$26,Assumptions!$C$13:$C$26,0),"0.0#")&amp;" sector x "&amp;TEXT(_xlfn.XLOOKUP($I310,Assumptions!$B$30:$B$50,Assumptions!$C$30:$C$50,0),"0.0#")&amp;" mechanism")))</f>
        <v>Mid base x 2.0 sector x 1.0 mechanism</v>
      </c>
      <c r="U310" s="13" t="s">
        <v>230</v>
      </c>
      <c r="V310" s="13" t="s">
        <v>231</v>
      </c>
      <c r="W310" s="13" t="s">
        <v>1440</v>
      </c>
      <c r="X310" s="13"/>
    </row>
    <row r="311" spans="1:24" x14ac:dyDescent="0.2">
      <c r="A311" s="13" t="s">
        <v>1534</v>
      </c>
      <c r="B311" s="13" t="s">
        <v>1535</v>
      </c>
      <c r="C311" s="13" t="s">
        <v>205</v>
      </c>
      <c r="D311" s="13" t="s">
        <v>76</v>
      </c>
      <c r="E311" s="13" t="s">
        <v>76</v>
      </c>
      <c r="F311" s="13" t="s">
        <v>161</v>
      </c>
      <c r="G311" s="13" t="s">
        <v>168</v>
      </c>
      <c r="H311" s="13" t="s">
        <v>1536</v>
      </c>
      <c r="I311" s="13" t="s">
        <v>1453</v>
      </c>
      <c r="J311" s="13" t="s">
        <v>1533</v>
      </c>
      <c r="K311" s="19" t="s">
        <v>1815</v>
      </c>
      <c r="L311" s="17"/>
      <c r="M311" s="17"/>
      <c r="N311" s="13" t="s">
        <v>244</v>
      </c>
      <c r="O311" s="13" t="s">
        <v>209</v>
      </c>
      <c r="P311" s="16"/>
      <c r="Q311" s="16"/>
      <c r="R311" s="16"/>
      <c r="S311" s="21">
        <f>IF($C311&lt;&gt;"Organisation","",IF(OR($P311&lt;&gt;"",$Q311&lt;&gt;""),IF($P311&lt;&gt;"",IF($Q311&lt;&gt;"",($P311+$Q311)/2,$P311),$Q311),ROUND(_xlfn.XLOOKUP($N311,Assumptions!$B$5:$B$9,Assumptions!$C$5:$C$9,0)*_xlfn.XLOOKUP($G311,Assumptions!$B$13:$B$26,Assumptions!$C$13:$C$26,0)*_xlfn.XLOOKUP($I311,Assumptions!$B$30:$B$50,Assumptions!$C$30:$C$50,0),0)))</f>
        <v>60</v>
      </c>
      <c r="T311" s="16" t="str">
        <f>IF($C311&lt;&gt;"Organisation","",IF(OR($P311&lt;&gt;"",$Q311&lt;&gt;""),"Documented in source - midpoint of annual_intake_low/high",IF($I311="","No confirmed programme - modelled as zero",$N311&amp;" base x "&amp;TEXT(_xlfn.XLOOKUP($G311,Assumptions!$B$13:$B$26,Assumptions!$C$13:$C$26,0),"0.0#")&amp;" sector x "&amp;TEXT(_xlfn.XLOOKUP($I311,Assumptions!$B$30:$B$50,Assumptions!$C$30:$C$50,0),"0.0#")&amp;" mechanism")))</f>
        <v>Mid base x 2.0 sector x 1.0 mechanism</v>
      </c>
      <c r="U311" s="13" t="s">
        <v>230</v>
      </c>
      <c r="V311" s="13" t="s">
        <v>231</v>
      </c>
      <c r="W311" s="13" t="s">
        <v>1440</v>
      </c>
      <c r="X311" s="13"/>
    </row>
    <row r="312" spans="1:24" x14ac:dyDescent="0.2">
      <c r="A312" s="13" t="s">
        <v>1537</v>
      </c>
      <c r="B312" s="13" t="s">
        <v>1538</v>
      </c>
      <c r="C312" s="13" t="s">
        <v>205</v>
      </c>
      <c r="D312" s="13" t="s">
        <v>76</v>
      </c>
      <c r="E312" s="13" t="s">
        <v>76</v>
      </c>
      <c r="F312" s="13" t="s">
        <v>161</v>
      </c>
      <c r="G312" s="13" t="s">
        <v>168</v>
      </c>
      <c r="H312" s="13" t="s">
        <v>1539</v>
      </c>
      <c r="I312" s="13" t="s">
        <v>1453</v>
      </c>
      <c r="K312" s="19" t="s">
        <v>1815</v>
      </c>
      <c r="L312" s="17"/>
      <c r="M312" s="17"/>
      <c r="N312" s="13" t="s">
        <v>236</v>
      </c>
      <c r="O312" s="13" t="s">
        <v>209</v>
      </c>
      <c r="P312" s="16"/>
      <c r="Q312" s="16"/>
      <c r="R312" s="16"/>
      <c r="S312" s="21">
        <f>IF($C312&lt;&gt;"Organisation","",IF(OR($P312&lt;&gt;"",$Q312&lt;&gt;""),IF($P312&lt;&gt;"",IF($Q312&lt;&gt;"",($P312+$Q312)/2,$P312),$Q312),ROUND(_xlfn.XLOOKUP($N312,Assumptions!$B$5:$B$9,Assumptions!$C$5:$C$9,0)*_xlfn.XLOOKUP($G312,Assumptions!$B$13:$B$26,Assumptions!$C$13:$C$26,0)*_xlfn.XLOOKUP($I312,Assumptions!$B$30:$B$50,Assumptions!$C$30:$C$50,0),0)))</f>
        <v>16</v>
      </c>
      <c r="T312" s="16" t="str">
        <f>IF($C312&lt;&gt;"Organisation","",IF(OR($P312&lt;&gt;"",$Q312&lt;&gt;""),"Documented in source - midpoint of annual_intake_low/high",IF($I312="","No confirmed programme - modelled as zero",$N312&amp;" base x "&amp;TEXT(_xlfn.XLOOKUP($G312,Assumptions!$B$13:$B$26,Assumptions!$C$13:$C$26,0),"0.0#")&amp;" sector x "&amp;TEXT(_xlfn.XLOOKUP($I312,Assumptions!$B$30:$B$50,Assumptions!$C$30:$C$50,0),"0.0#")&amp;" mechanism")))</f>
        <v>Boutique base x 2.0 sector x 1.0 mechanism</v>
      </c>
      <c r="U312" s="13" t="s">
        <v>230</v>
      </c>
      <c r="V312" s="13" t="s">
        <v>231</v>
      </c>
      <c r="W312" s="13" t="s">
        <v>1440</v>
      </c>
      <c r="X312" s="13"/>
    </row>
    <row r="313" spans="1:24" x14ac:dyDescent="0.2">
      <c r="A313" s="13" t="s">
        <v>1540</v>
      </c>
      <c r="B313" s="13" t="s">
        <v>1541</v>
      </c>
      <c r="C313" s="13" t="s">
        <v>205</v>
      </c>
      <c r="D313" s="13" t="s">
        <v>76</v>
      </c>
      <c r="E313" s="13" t="s">
        <v>76</v>
      </c>
      <c r="F313" s="13" t="s">
        <v>161</v>
      </c>
      <c r="G313" s="13" t="s">
        <v>168</v>
      </c>
      <c r="H313" s="13" t="s">
        <v>1542</v>
      </c>
      <c r="I313" s="13" t="s">
        <v>1453</v>
      </c>
      <c r="K313" s="19" t="s">
        <v>1815</v>
      </c>
      <c r="L313" s="17"/>
      <c r="M313" s="17"/>
      <c r="N313" s="13" t="s">
        <v>236</v>
      </c>
      <c r="O313" s="13" t="s">
        <v>209</v>
      </c>
      <c r="P313" s="16"/>
      <c r="Q313" s="16"/>
      <c r="R313" s="16"/>
      <c r="S313" s="21">
        <f>IF($C313&lt;&gt;"Organisation","",IF(OR($P313&lt;&gt;"",$Q313&lt;&gt;""),IF($P313&lt;&gt;"",IF($Q313&lt;&gt;"",($P313+$Q313)/2,$P313),$Q313),ROUND(_xlfn.XLOOKUP($N313,Assumptions!$B$5:$B$9,Assumptions!$C$5:$C$9,0)*_xlfn.XLOOKUP($G313,Assumptions!$B$13:$B$26,Assumptions!$C$13:$C$26,0)*_xlfn.XLOOKUP($I313,Assumptions!$B$30:$B$50,Assumptions!$C$30:$C$50,0),0)))</f>
        <v>16</v>
      </c>
      <c r="T313" s="16" t="str">
        <f>IF($C313&lt;&gt;"Organisation","",IF(OR($P313&lt;&gt;"",$Q313&lt;&gt;""),"Documented in source - midpoint of annual_intake_low/high",IF($I313="","No confirmed programme - modelled as zero",$N313&amp;" base x "&amp;TEXT(_xlfn.XLOOKUP($G313,Assumptions!$B$13:$B$26,Assumptions!$C$13:$C$26,0),"0.0#")&amp;" sector x "&amp;TEXT(_xlfn.XLOOKUP($I313,Assumptions!$B$30:$B$50,Assumptions!$C$30:$C$50,0),"0.0#")&amp;" mechanism")))</f>
        <v>Boutique base x 2.0 sector x 1.0 mechanism</v>
      </c>
      <c r="U313" s="13" t="s">
        <v>230</v>
      </c>
      <c r="V313" s="13" t="s">
        <v>231</v>
      </c>
      <c r="W313" s="13" t="s">
        <v>1440</v>
      </c>
      <c r="X313" s="13"/>
    </row>
    <row r="314" spans="1:24" x14ac:dyDescent="0.2">
      <c r="A314" s="13" t="s">
        <v>1543</v>
      </c>
      <c r="B314" s="13" t="s">
        <v>1544</v>
      </c>
      <c r="C314" s="13" t="s">
        <v>205</v>
      </c>
      <c r="D314" s="13" t="s">
        <v>76</v>
      </c>
      <c r="E314" s="13" t="s">
        <v>76</v>
      </c>
      <c r="F314" s="13" t="s">
        <v>161</v>
      </c>
      <c r="G314" s="13" t="s">
        <v>168</v>
      </c>
      <c r="H314" s="13" t="s">
        <v>1536</v>
      </c>
      <c r="I314" s="13" t="s">
        <v>1453</v>
      </c>
      <c r="K314" s="19" t="s">
        <v>1815</v>
      </c>
      <c r="L314" s="17"/>
      <c r="M314" s="17"/>
      <c r="N314" s="13" t="s">
        <v>236</v>
      </c>
      <c r="O314" s="13" t="s">
        <v>209</v>
      </c>
      <c r="P314" s="16"/>
      <c r="Q314" s="16"/>
      <c r="R314" s="16"/>
      <c r="S314" s="21">
        <f>IF($C314&lt;&gt;"Organisation","",IF(OR($P314&lt;&gt;"",$Q314&lt;&gt;""),IF($P314&lt;&gt;"",IF($Q314&lt;&gt;"",($P314+$Q314)/2,$P314),$Q314),ROUND(_xlfn.XLOOKUP($N314,Assumptions!$B$5:$B$9,Assumptions!$C$5:$C$9,0)*_xlfn.XLOOKUP($G314,Assumptions!$B$13:$B$26,Assumptions!$C$13:$C$26,0)*_xlfn.XLOOKUP($I314,Assumptions!$B$30:$B$50,Assumptions!$C$30:$C$50,0),0)))</f>
        <v>16</v>
      </c>
      <c r="T314" s="16" t="str">
        <f>IF($C314&lt;&gt;"Organisation","",IF(OR($P314&lt;&gt;"",$Q314&lt;&gt;""),"Documented in source - midpoint of annual_intake_low/high",IF($I314="","No confirmed programme - modelled as zero",$N314&amp;" base x "&amp;TEXT(_xlfn.XLOOKUP($G314,Assumptions!$B$13:$B$26,Assumptions!$C$13:$C$26,0),"0.0#")&amp;" sector x "&amp;TEXT(_xlfn.XLOOKUP($I314,Assumptions!$B$30:$B$50,Assumptions!$C$30:$C$50,0),"0.0#")&amp;" mechanism")))</f>
        <v>Boutique base x 2.0 sector x 1.0 mechanism</v>
      </c>
      <c r="U314" s="13" t="s">
        <v>230</v>
      </c>
      <c r="V314" s="13" t="s">
        <v>231</v>
      </c>
      <c r="W314" s="13" t="s">
        <v>1440</v>
      </c>
      <c r="X314" s="13"/>
    </row>
    <row r="315" spans="1:24" x14ac:dyDescent="0.2">
      <c r="A315" s="13" t="s">
        <v>1545</v>
      </c>
      <c r="B315" s="13" t="s">
        <v>1546</v>
      </c>
      <c r="C315" s="13" t="s">
        <v>205</v>
      </c>
      <c r="D315" s="13" t="s">
        <v>76</v>
      </c>
      <c r="E315" s="13" t="s">
        <v>76</v>
      </c>
      <c r="F315" s="13" t="s">
        <v>161</v>
      </c>
      <c r="G315" s="13" t="s">
        <v>168</v>
      </c>
      <c r="H315" s="13" t="s">
        <v>1547</v>
      </c>
      <c r="I315" s="13" t="s">
        <v>1453</v>
      </c>
      <c r="K315" s="19" t="s">
        <v>1815</v>
      </c>
      <c r="L315" s="17"/>
      <c r="M315" s="17"/>
      <c r="N315" s="13" t="s">
        <v>244</v>
      </c>
      <c r="O315" s="13" t="s">
        <v>209</v>
      </c>
      <c r="P315" s="16"/>
      <c r="Q315" s="16"/>
      <c r="R315" s="16"/>
      <c r="S315" s="21">
        <f>IF($C315&lt;&gt;"Organisation","",IF(OR($P315&lt;&gt;"",$Q315&lt;&gt;""),IF($P315&lt;&gt;"",IF($Q315&lt;&gt;"",($P315+$Q315)/2,$P315),$Q315),ROUND(_xlfn.XLOOKUP($N315,Assumptions!$B$5:$B$9,Assumptions!$C$5:$C$9,0)*_xlfn.XLOOKUP($G315,Assumptions!$B$13:$B$26,Assumptions!$C$13:$C$26,0)*_xlfn.XLOOKUP($I315,Assumptions!$B$30:$B$50,Assumptions!$C$30:$C$50,0),0)))</f>
        <v>60</v>
      </c>
      <c r="T315" s="16" t="str">
        <f>IF($C315&lt;&gt;"Organisation","",IF(OR($P315&lt;&gt;"",$Q315&lt;&gt;""),"Documented in source - midpoint of annual_intake_low/high",IF($I315="","No confirmed programme - modelled as zero",$N315&amp;" base x "&amp;TEXT(_xlfn.XLOOKUP($G315,Assumptions!$B$13:$B$26,Assumptions!$C$13:$C$26,0),"0.0#")&amp;" sector x "&amp;TEXT(_xlfn.XLOOKUP($I315,Assumptions!$B$30:$B$50,Assumptions!$C$30:$C$50,0),"0.0#")&amp;" mechanism")))</f>
        <v>Mid base x 2.0 sector x 1.0 mechanism</v>
      </c>
      <c r="U315" s="13" t="s">
        <v>230</v>
      </c>
      <c r="V315" s="13" t="s">
        <v>231</v>
      </c>
      <c r="W315" s="13" t="s">
        <v>1440</v>
      </c>
      <c r="X315" s="13"/>
    </row>
    <row r="316" spans="1:24" x14ac:dyDescent="0.2">
      <c r="A316" s="13" t="s">
        <v>1548</v>
      </c>
      <c r="B316" s="13" t="s">
        <v>1549</v>
      </c>
      <c r="C316" s="13" t="s">
        <v>205</v>
      </c>
      <c r="D316" s="13" t="s">
        <v>76</v>
      </c>
      <c r="E316" s="13" t="s">
        <v>76</v>
      </c>
      <c r="F316" s="13" t="s">
        <v>161</v>
      </c>
      <c r="G316" s="13" t="s">
        <v>174</v>
      </c>
      <c r="H316" s="13" t="s">
        <v>1550</v>
      </c>
      <c r="I316" s="13" t="s">
        <v>1453</v>
      </c>
      <c r="J316" s="13" t="s">
        <v>1484</v>
      </c>
      <c r="K316" s="19" t="s">
        <v>1815</v>
      </c>
      <c r="L316" s="17"/>
      <c r="M316" s="17"/>
      <c r="N316" s="13" t="s">
        <v>208</v>
      </c>
      <c r="O316" s="13" t="s">
        <v>209</v>
      </c>
      <c r="P316" s="16"/>
      <c r="Q316" s="16"/>
      <c r="R316" s="16"/>
      <c r="S316" s="21">
        <f>IF($C316&lt;&gt;"Organisation","",IF(OR($P316&lt;&gt;"",$Q316&lt;&gt;""),IF($P316&lt;&gt;"",IF($Q316&lt;&gt;"",($P316+$Q316)/2,$P316),$Q316),ROUND(_xlfn.XLOOKUP($N316,Assumptions!$B$5:$B$9,Assumptions!$C$5:$C$9,0)*_xlfn.XLOOKUP($G316,Assumptions!$B$13:$B$26,Assumptions!$C$13:$C$26,0)*_xlfn.XLOOKUP($I316,Assumptions!$B$30:$B$50,Assumptions!$C$30:$C$50,0),0)))</f>
        <v>96</v>
      </c>
      <c r="T316" s="16" t="str">
        <f>IF($C316&lt;&gt;"Organisation","",IF(OR($P316&lt;&gt;"",$Q316&lt;&gt;""),"Documented in source - midpoint of annual_intake_low/high",IF($I316="","No confirmed programme - modelled as zero",$N316&amp;" base x "&amp;TEXT(_xlfn.XLOOKUP($G316,Assumptions!$B$13:$B$26,Assumptions!$C$13:$C$26,0),"0.0#")&amp;" sector x "&amp;TEXT(_xlfn.XLOOKUP($I316,Assumptions!$B$30:$B$50,Assumptions!$C$30:$C$50,0),"0.0#")&amp;" mechanism")))</f>
        <v>Large base x 0.8 sector x 1.0 mechanism</v>
      </c>
      <c r="U316" s="13" t="s">
        <v>230</v>
      </c>
      <c r="V316" s="13" t="s">
        <v>231</v>
      </c>
      <c r="W316" s="13" t="s">
        <v>1440</v>
      </c>
      <c r="X316" s="13"/>
    </row>
    <row r="317" spans="1:24" x14ac:dyDescent="0.2">
      <c r="A317" s="13" t="s">
        <v>1551</v>
      </c>
      <c r="B317" s="13" t="s">
        <v>1552</v>
      </c>
      <c r="C317" s="13" t="s">
        <v>205</v>
      </c>
      <c r="D317" s="13" t="s">
        <v>76</v>
      </c>
      <c r="E317" s="13" t="s">
        <v>76</v>
      </c>
      <c r="F317" s="13" t="s">
        <v>1439</v>
      </c>
      <c r="G317" s="13" t="s">
        <v>174</v>
      </c>
      <c r="H317" s="13" t="s">
        <v>1550</v>
      </c>
      <c r="I317" s="13" t="s">
        <v>1454</v>
      </c>
      <c r="J317" s="13" t="s">
        <v>1471</v>
      </c>
      <c r="K317" s="19" t="s">
        <v>1815</v>
      </c>
      <c r="L317" s="17"/>
      <c r="M317" s="17"/>
      <c r="N317" s="13" t="s">
        <v>208</v>
      </c>
      <c r="O317" s="13" t="s">
        <v>209</v>
      </c>
      <c r="P317" s="16"/>
      <c r="Q317" s="16"/>
      <c r="R317" s="16"/>
      <c r="S317" s="21">
        <f>IF($C317&lt;&gt;"Organisation","",IF(OR($P317&lt;&gt;"",$Q317&lt;&gt;""),IF($P317&lt;&gt;"",IF($Q317&lt;&gt;"",($P317+$Q317)/2,$P317),$Q317),ROUND(_xlfn.XLOOKUP($N317,Assumptions!$B$5:$B$9,Assumptions!$C$5:$C$9,0)*_xlfn.XLOOKUP($G317,Assumptions!$B$13:$B$26,Assumptions!$C$13:$C$26,0)*_xlfn.XLOOKUP($I317,Assumptions!$B$30:$B$50,Assumptions!$C$30:$C$50,0),0)))</f>
        <v>96</v>
      </c>
      <c r="T317" s="16" t="str">
        <f>IF($C317&lt;&gt;"Organisation","",IF(OR($P317&lt;&gt;"",$Q317&lt;&gt;""),"Documented in source - midpoint of annual_intake_low/high",IF($I317="","No confirmed programme - modelled as zero",$N317&amp;" base x "&amp;TEXT(_xlfn.XLOOKUP($G317,Assumptions!$B$13:$B$26,Assumptions!$C$13:$C$26,0),"0.0#")&amp;" sector x "&amp;TEXT(_xlfn.XLOOKUP($I317,Assumptions!$B$30:$B$50,Assumptions!$C$30:$C$50,0),"0.0#")&amp;" mechanism")))</f>
        <v>Large base x 0.8 sector x 1.0 mechanism</v>
      </c>
      <c r="U317" s="13" t="s">
        <v>230</v>
      </c>
      <c r="V317" s="13" t="s">
        <v>231</v>
      </c>
      <c r="W317" s="13" t="s">
        <v>1440</v>
      </c>
      <c r="X317" s="13"/>
    </row>
    <row r="318" spans="1:24" x14ac:dyDescent="0.2">
      <c r="A318" s="13" t="s">
        <v>1553</v>
      </c>
      <c r="B318" s="13" t="s">
        <v>1554</v>
      </c>
      <c r="C318" s="13" t="s">
        <v>205</v>
      </c>
      <c r="D318" s="13" t="s">
        <v>76</v>
      </c>
      <c r="E318" s="13" t="s">
        <v>76</v>
      </c>
      <c r="F318" s="13" t="s">
        <v>161</v>
      </c>
      <c r="G318" s="13" t="s">
        <v>174</v>
      </c>
      <c r="H318" s="13" t="s">
        <v>1550</v>
      </c>
      <c r="I318" s="13" t="s">
        <v>1454</v>
      </c>
      <c r="J318" s="13" t="s">
        <v>1471</v>
      </c>
      <c r="K318" s="19" t="s">
        <v>1815</v>
      </c>
      <c r="L318" s="17"/>
      <c r="M318" s="17"/>
      <c r="N318" s="13" t="s">
        <v>208</v>
      </c>
      <c r="O318" s="13" t="s">
        <v>209</v>
      </c>
      <c r="P318" s="16"/>
      <c r="Q318" s="16"/>
      <c r="R318" s="16"/>
      <c r="S318" s="21">
        <f>IF($C318&lt;&gt;"Organisation","",IF(OR($P318&lt;&gt;"",$Q318&lt;&gt;""),IF($P318&lt;&gt;"",IF($Q318&lt;&gt;"",($P318+$Q318)/2,$P318),$Q318),ROUND(_xlfn.XLOOKUP($N318,Assumptions!$B$5:$B$9,Assumptions!$C$5:$C$9,0)*_xlfn.XLOOKUP($G318,Assumptions!$B$13:$B$26,Assumptions!$C$13:$C$26,0)*_xlfn.XLOOKUP($I318,Assumptions!$B$30:$B$50,Assumptions!$C$30:$C$50,0),0)))</f>
        <v>96</v>
      </c>
      <c r="T318" s="16" t="str">
        <f>IF($C318&lt;&gt;"Organisation","",IF(OR($P318&lt;&gt;"",$Q318&lt;&gt;""),"Documented in source - midpoint of annual_intake_low/high",IF($I318="","No confirmed programme - modelled as zero",$N318&amp;" base x "&amp;TEXT(_xlfn.XLOOKUP($G318,Assumptions!$B$13:$B$26,Assumptions!$C$13:$C$26,0),"0.0#")&amp;" sector x "&amp;TEXT(_xlfn.XLOOKUP($I318,Assumptions!$B$30:$B$50,Assumptions!$C$30:$C$50,0),"0.0#")&amp;" mechanism")))</f>
        <v>Large base x 0.8 sector x 1.0 mechanism</v>
      </c>
      <c r="U318" s="13" t="s">
        <v>230</v>
      </c>
      <c r="V318" s="13" t="s">
        <v>231</v>
      </c>
      <c r="W318" s="13" t="s">
        <v>1440</v>
      </c>
      <c r="X318" s="13"/>
    </row>
    <row r="319" spans="1:24" x14ac:dyDescent="0.2">
      <c r="A319" s="13" t="s">
        <v>1555</v>
      </c>
      <c r="B319" s="13" t="s">
        <v>1556</v>
      </c>
      <c r="C319" s="13" t="s">
        <v>205</v>
      </c>
      <c r="D319" s="13" t="s">
        <v>76</v>
      </c>
      <c r="E319" s="13" t="s">
        <v>76</v>
      </c>
      <c r="F319" s="13" t="s">
        <v>161</v>
      </c>
      <c r="G319" s="13" t="s">
        <v>174</v>
      </c>
      <c r="H319" s="13" t="s">
        <v>1557</v>
      </c>
      <c r="I319" s="13" t="s">
        <v>1454</v>
      </c>
      <c r="J319" s="13" t="s">
        <v>1558</v>
      </c>
      <c r="K319" s="19" t="s">
        <v>1815</v>
      </c>
      <c r="L319" s="17"/>
      <c r="M319" s="17"/>
      <c r="N319" s="13" t="s">
        <v>218</v>
      </c>
      <c r="O319" s="13" t="s">
        <v>209</v>
      </c>
      <c r="P319" s="16"/>
      <c r="Q319" s="16"/>
      <c r="R319" s="16"/>
      <c r="S319" s="21">
        <f>IF($C319&lt;&gt;"Organisation","",IF(OR($P319&lt;&gt;"",$Q319&lt;&gt;""),IF($P319&lt;&gt;"",IF($Q319&lt;&gt;"",($P319+$Q319)/2,$P319),$Q319),ROUND(_xlfn.XLOOKUP($N319,Assumptions!$B$5:$B$9,Assumptions!$C$5:$C$9,0)*_xlfn.XLOOKUP($G319,Assumptions!$B$13:$B$26,Assumptions!$C$13:$C$26,0)*_xlfn.XLOOKUP($I319,Assumptions!$B$30:$B$50,Assumptions!$C$30:$C$50,0),0)))</f>
        <v>320</v>
      </c>
      <c r="T319" s="16" t="str">
        <f>IF($C319&lt;&gt;"Organisation","",IF(OR($P319&lt;&gt;"",$Q319&lt;&gt;""),"Documented in source - midpoint of annual_intake_low/high",IF($I319="","No confirmed programme - modelled as zero",$N319&amp;" base x "&amp;TEXT(_xlfn.XLOOKUP($G319,Assumptions!$B$13:$B$26,Assumptions!$C$13:$C$26,0),"0.0#")&amp;" sector x "&amp;TEXT(_xlfn.XLOOKUP($I319,Assumptions!$B$30:$B$50,Assumptions!$C$30:$C$50,0),"0.0#")&amp;" mechanism")))</f>
        <v>Mega base x 0.8 sector x 1.0 mechanism</v>
      </c>
      <c r="U319" s="13" t="s">
        <v>230</v>
      </c>
      <c r="V319" s="13" t="s">
        <v>231</v>
      </c>
      <c r="W319" s="13" t="s">
        <v>1440</v>
      </c>
      <c r="X319" s="13"/>
    </row>
    <row r="320" spans="1:24" x14ac:dyDescent="0.2">
      <c r="A320" s="13" t="s">
        <v>1559</v>
      </c>
      <c r="B320" s="13" t="s">
        <v>1560</v>
      </c>
      <c r="C320" s="13" t="s">
        <v>205</v>
      </c>
      <c r="D320" s="13" t="s">
        <v>76</v>
      </c>
      <c r="E320" s="13" t="s">
        <v>76</v>
      </c>
      <c r="F320" s="13" t="s">
        <v>1439</v>
      </c>
      <c r="G320" s="13" t="s">
        <v>174</v>
      </c>
      <c r="H320" s="13" t="s">
        <v>1561</v>
      </c>
      <c r="I320" s="13" t="s">
        <v>1454</v>
      </c>
      <c r="J320" s="13" t="s">
        <v>1471</v>
      </c>
      <c r="K320" s="19" t="s">
        <v>1815</v>
      </c>
      <c r="L320" s="17"/>
      <c r="M320" s="17"/>
      <c r="N320" s="13" t="s">
        <v>244</v>
      </c>
      <c r="O320" s="13" t="s">
        <v>209</v>
      </c>
      <c r="P320" s="16"/>
      <c r="Q320" s="16"/>
      <c r="R320" s="16"/>
      <c r="S320" s="21">
        <f>IF($C320&lt;&gt;"Organisation","",IF(OR($P320&lt;&gt;"",$Q320&lt;&gt;""),IF($P320&lt;&gt;"",IF($Q320&lt;&gt;"",($P320+$Q320)/2,$P320),$Q320),ROUND(_xlfn.XLOOKUP($N320,Assumptions!$B$5:$B$9,Assumptions!$C$5:$C$9,0)*_xlfn.XLOOKUP($G320,Assumptions!$B$13:$B$26,Assumptions!$C$13:$C$26,0)*_xlfn.XLOOKUP($I320,Assumptions!$B$30:$B$50,Assumptions!$C$30:$C$50,0),0)))</f>
        <v>24</v>
      </c>
      <c r="T320" s="16" t="str">
        <f>IF($C320&lt;&gt;"Organisation","",IF(OR($P320&lt;&gt;"",$Q320&lt;&gt;""),"Documented in source - midpoint of annual_intake_low/high",IF($I320="","No confirmed programme - modelled as zero",$N320&amp;" base x "&amp;TEXT(_xlfn.XLOOKUP($G320,Assumptions!$B$13:$B$26,Assumptions!$C$13:$C$26,0),"0.0#")&amp;" sector x "&amp;TEXT(_xlfn.XLOOKUP($I320,Assumptions!$B$30:$B$50,Assumptions!$C$30:$C$50,0),"0.0#")&amp;" mechanism")))</f>
        <v>Mid base x 0.8 sector x 1.0 mechanism</v>
      </c>
      <c r="U320" s="13" t="s">
        <v>230</v>
      </c>
      <c r="V320" s="13" t="s">
        <v>231</v>
      </c>
      <c r="W320" s="13" t="s">
        <v>1440</v>
      </c>
      <c r="X320" s="13"/>
    </row>
    <row r="321" spans="1:24" x14ac:dyDescent="0.2">
      <c r="A321" s="13" t="s">
        <v>1562</v>
      </c>
      <c r="B321" s="13" t="s">
        <v>1563</v>
      </c>
      <c r="C321" s="13" t="s">
        <v>205</v>
      </c>
      <c r="D321" s="13" t="s">
        <v>76</v>
      </c>
      <c r="E321" s="13" t="s">
        <v>76</v>
      </c>
      <c r="F321" s="13" t="s">
        <v>161</v>
      </c>
      <c r="G321" s="13" t="s">
        <v>174</v>
      </c>
      <c r="H321" s="13" t="s">
        <v>1550</v>
      </c>
      <c r="I321" s="13" t="s">
        <v>1454</v>
      </c>
      <c r="K321" s="19" t="s">
        <v>1815</v>
      </c>
      <c r="L321" s="17"/>
      <c r="M321" s="17"/>
      <c r="N321" s="13" t="s">
        <v>244</v>
      </c>
      <c r="O321" s="13" t="s">
        <v>209</v>
      </c>
      <c r="P321" s="16"/>
      <c r="Q321" s="16"/>
      <c r="R321" s="16"/>
      <c r="S321" s="21">
        <f>IF($C321&lt;&gt;"Organisation","",IF(OR($P321&lt;&gt;"",$Q321&lt;&gt;""),IF($P321&lt;&gt;"",IF($Q321&lt;&gt;"",($P321+$Q321)/2,$P321),$Q321),ROUND(_xlfn.XLOOKUP($N321,Assumptions!$B$5:$B$9,Assumptions!$C$5:$C$9,0)*_xlfn.XLOOKUP($G321,Assumptions!$B$13:$B$26,Assumptions!$C$13:$C$26,0)*_xlfn.XLOOKUP($I321,Assumptions!$B$30:$B$50,Assumptions!$C$30:$C$50,0),0)))</f>
        <v>24</v>
      </c>
      <c r="T321" s="16" t="str">
        <f>IF($C321&lt;&gt;"Organisation","",IF(OR($P321&lt;&gt;"",$Q321&lt;&gt;""),"Documented in source - midpoint of annual_intake_low/high",IF($I321="","No confirmed programme - modelled as zero",$N321&amp;" base x "&amp;TEXT(_xlfn.XLOOKUP($G321,Assumptions!$B$13:$B$26,Assumptions!$C$13:$C$26,0),"0.0#")&amp;" sector x "&amp;TEXT(_xlfn.XLOOKUP($I321,Assumptions!$B$30:$B$50,Assumptions!$C$30:$C$50,0),"0.0#")&amp;" mechanism")))</f>
        <v>Mid base x 0.8 sector x 1.0 mechanism</v>
      </c>
      <c r="U321" s="13" t="s">
        <v>230</v>
      </c>
      <c r="V321" s="13" t="s">
        <v>231</v>
      </c>
      <c r="W321" s="13" t="s">
        <v>1440</v>
      </c>
      <c r="X321" s="13"/>
    </row>
    <row r="322" spans="1:24" x14ac:dyDescent="0.2">
      <c r="A322" s="13" t="s">
        <v>1564</v>
      </c>
      <c r="B322" s="13" t="s">
        <v>1565</v>
      </c>
      <c r="C322" s="13" t="s">
        <v>205</v>
      </c>
      <c r="D322" s="13" t="s">
        <v>76</v>
      </c>
      <c r="E322" s="13" t="s">
        <v>76</v>
      </c>
      <c r="F322" s="13" t="s">
        <v>161</v>
      </c>
      <c r="G322" s="13" t="s">
        <v>174</v>
      </c>
      <c r="H322" s="13" t="s">
        <v>1566</v>
      </c>
      <c r="I322" s="13" t="s">
        <v>1454</v>
      </c>
      <c r="K322" s="19" t="s">
        <v>1815</v>
      </c>
      <c r="L322" s="17"/>
      <c r="M322" s="17"/>
      <c r="N322" s="13" t="s">
        <v>208</v>
      </c>
      <c r="O322" s="13" t="s">
        <v>209</v>
      </c>
      <c r="P322" s="16"/>
      <c r="Q322" s="16"/>
      <c r="R322" s="16"/>
      <c r="S322" s="21">
        <f>IF($C322&lt;&gt;"Organisation","",IF(OR($P322&lt;&gt;"",$Q322&lt;&gt;""),IF($P322&lt;&gt;"",IF($Q322&lt;&gt;"",($P322+$Q322)/2,$P322),$Q322),ROUND(_xlfn.XLOOKUP($N322,Assumptions!$B$5:$B$9,Assumptions!$C$5:$C$9,0)*_xlfn.XLOOKUP($G322,Assumptions!$B$13:$B$26,Assumptions!$C$13:$C$26,0)*_xlfn.XLOOKUP($I322,Assumptions!$B$30:$B$50,Assumptions!$C$30:$C$50,0),0)))</f>
        <v>96</v>
      </c>
      <c r="T322" s="16" t="str">
        <f>IF($C322&lt;&gt;"Organisation","",IF(OR($P322&lt;&gt;"",$Q322&lt;&gt;""),"Documented in source - midpoint of annual_intake_low/high",IF($I322="","No confirmed programme - modelled as zero",$N322&amp;" base x "&amp;TEXT(_xlfn.XLOOKUP($G322,Assumptions!$B$13:$B$26,Assumptions!$C$13:$C$26,0),"0.0#")&amp;" sector x "&amp;TEXT(_xlfn.XLOOKUP($I322,Assumptions!$B$30:$B$50,Assumptions!$C$30:$C$50,0),"0.0#")&amp;" mechanism")))</f>
        <v>Large base x 0.8 sector x 1.0 mechanism</v>
      </c>
      <c r="U322" s="13" t="s">
        <v>230</v>
      </c>
      <c r="V322" s="13" t="s">
        <v>231</v>
      </c>
      <c r="W322" s="13" t="s">
        <v>1440</v>
      </c>
      <c r="X322" s="13"/>
    </row>
    <row r="323" spans="1:24" x14ac:dyDescent="0.2">
      <c r="A323" s="13" t="s">
        <v>1567</v>
      </c>
      <c r="B323" s="13" t="s">
        <v>1568</v>
      </c>
      <c r="C323" s="13" t="s">
        <v>205</v>
      </c>
      <c r="D323" s="13" t="s">
        <v>76</v>
      </c>
      <c r="E323" s="13" t="s">
        <v>76</v>
      </c>
      <c r="F323" s="13" t="s">
        <v>1450</v>
      </c>
      <c r="G323" s="13" t="s">
        <v>174</v>
      </c>
      <c r="H323" s="13" t="s">
        <v>1569</v>
      </c>
      <c r="I323" s="13" t="s">
        <v>1454</v>
      </c>
      <c r="J323" s="13" t="s">
        <v>1471</v>
      </c>
      <c r="K323" s="19" t="s">
        <v>1815</v>
      </c>
      <c r="L323" s="17"/>
      <c r="M323" s="17"/>
      <c r="N323" s="13" t="s">
        <v>244</v>
      </c>
      <c r="O323" s="13" t="s">
        <v>209</v>
      </c>
      <c r="P323" s="16"/>
      <c r="Q323" s="16"/>
      <c r="R323" s="16"/>
      <c r="S323" s="21">
        <f>IF($C323&lt;&gt;"Organisation","",IF(OR($P323&lt;&gt;"",$Q323&lt;&gt;""),IF($P323&lt;&gt;"",IF($Q323&lt;&gt;"",($P323+$Q323)/2,$P323),$Q323),ROUND(_xlfn.XLOOKUP($N323,Assumptions!$B$5:$B$9,Assumptions!$C$5:$C$9,0)*_xlfn.XLOOKUP($G323,Assumptions!$B$13:$B$26,Assumptions!$C$13:$C$26,0)*_xlfn.XLOOKUP($I323,Assumptions!$B$30:$B$50,Assumptions!$C$30:$C$50,0),0)))</f>
        <v>24</v>
      </c>
      <c r="T323" s="16" t="str">
        <f>IF($C323&lt;&gt;"Organisation","",IF(OR($P323&lt;&gt;"",$Q323&lt;&gt;""),"Documented in source - midpoint of annual_intake_low/high",IF($I323="","No confirmed programme - modelled as zero",$N323&amp;" base x "&amp;TEXT(_xlfn.XLOOKUP($G323,Assumptions!$B$13:$B$26,Assumptions!$C$13:$C$26,0),"0.0#")&amp;" sector x "&amp;TEXT(_xlfn.XLOOKUP($I323,Assumptions!$B$30:$B$50,Assumptions!$C$30:$C$50,0),"0.0#")&amp;" mechanism")))</f>
        <v>Mid base x 0.8 sector x 1.0 mechanism</v>
      </c>
      <c r="U323" s="13" t="s">
        <v>230</v>
      </c>
      <c r="V323" s="13" t="s">
        <v>231</v>
      </c>
      <c r="W323" s="13" t="s">
        <v>1440</v>
      </c>
      <c r="X323" s="13"/>
    </row>
    <row r="324" spans="1:24" x14ac:dyDescent="0.2">
      <c r="A324" s="13" t="s">
        <v>1570</v>
      </c>
      <c r="B324" s="13" t="s">
        <v>1571</v>
      </c>
      <c r="C324" s="13" t="s">
        <v>205</v>
      </c>
      <c r="D324" s="13" t="s">
        <v>76</v>
      </c>
      <c r="E324" s="13" t="s">
        <v>76</v>
      </c>
      <c r="F324" s="13" t="s">
        <v>161</v>
      </c>
      <c r="G324" s="13" t="s">
        <v>176</v>
      </c>
      <c r="H324" s="13" t="s">
        <v>1572</v>
      </c>
      <c r="I324" s="13" t="s">
        <v>1454</v>
      </c>
      <c r="J324" s="13" t="s">
        <v>1573</v>
      </c>
      <c r="K324" s="19" t="s">
        <v>1817</v>
      </c>
      <c r="L324" s="17"/>
      <c r="M324" s="17"/>
      <c r="N324" s="13" t="s">
        <v>244</v>
      </c>
      <c r="O324" s="13" t="s">
        <v>209</v>
      </c>
      <c r="P324" s="16"/>
      <c r="Q324" s="16"/>
      <c r="R324" s="16"/>
      <c r="S324" s="21">
        <f>IF($C324&lt;&gt;"Organisation","",IF(OR($P324&lt;&gt;"",$Q324&lt;&gt;""),IF($P324&lt;&gt;"",IF($Q324&lt;&gt;"",($P324+$Q324)/2,$P324),$Q324),ROUND(_xlfn.XLOOKUP($N324,Assumptions!$B$5:$B$9,Assumptions!$C$5:$C$9,0)*_xlfn.XLOOKUP($G324,Assumptions!$B$13:$B$26,Assumptions!$C$13:$C$26,0)*_xlfn.XLOOKUP($I324,Assumptions!$B$30:$B$50,Assumptions!$C$30:$C$50,0),0)))</f>
        <v>30</v>
      </c>
      <c r="T324" s="16" t="str">
        <f>IF($C324&lt;&gt;"Organisation","",IF(OR($P324&lt;&gt;"",$Q324&lt;&gt;""),"Documented in source - midpoint of annual_intake_low/high",IF($I324="","No confirmed programme - modelled as zero",$N324&amp;" base x "&amp;TEXT(_xlfn.XLOOKUP($G324,Assumptions!$B$13:$B$26,Assumptions!$C$13:$C$26,0),"0.0#")&amp;" sector x "&amp;TEXT(_xlfn.XLOOKUP($I324,Assumptions!$B$30:$B$50,Assumptions!$C$30:$C$50,0),"0.0#")&amp;" mechanism")))</f>
        <v>Mid base x 1.0 sector x 1.0 mechanism</v>
      </c>
      <c r="U324" s="13" t="s">
        <v>210</v>
      </c>
      <c r="V324" s="13" t="s">
        <v>211</v>
      </c>
      <c r="W324" s="13" t="s">
        <v>1440</v>
      </c>
      <c r="X324" s="13" t="s">
        <v>1574</v>
      </c>
    </row>
    <row r="325" spans="1:24" x14ac:dyDescent="0.2">
      <c r="A325" s="13" t="s">
        <v>1575</v>
      </c>
      <c r="B325" s="13" t="s">
        <v>1576</v>
      </c>
      <c r="C325" s="13" t="s">
        <v>205</v>
      </c>
      <c r="D325" s="13" t="s">
        <v>76</v>
      </c>
      <c r="E325" s="13" t="s">
        <v>76</v>
      </c>
      <c r="F325" s="13" t="s">
        <v>161</v>
      </c>
      <c r="G325" s="13" t="s">
        <v>176</v>
      </c>
      <c r="H325" s="13" t="s">
        <v>1577</v>
      </c>
      <c r="I325" s="13" t="s">
        <v>1454</v>
      </c>
      <c r="J325" s="13" t="s">
        <v>1558</v>
      </c>
      <c r="K325" s="19" t="s">
        <v>1815</v>
      </c>
      <c r="L325" s="17"/>
      <c r="M325" s="17"/>
      <c r="N325" s="13" t="s">
        <v>218</v>
      </c>
      <c r="O325" s="13" t="s">
        <v>209</v>
      </c>
      <c r="P325" s="16"/>
      <c r="Q325" s="16"/>
      <c r="R325" s="16"/>
      <c r="S325" s="21">
        <f>IF($C325&lt;&gt;"Organisation","",IF(OR($P325&lt;&gt;"",$Q325&lt;&gt;""),IF($P325&lt;&gt;"",IF($Q325&lt;&gt;"",($P325+$Q325)/2,$P325),$Q325),ROUND(_xlfn.XLOOKUP($N325,Assumptions!$B$5:$B$9,Assumptions!$C$5:$C$9,0)*_xlfn.XLOOKUP($G325,Assumptions!$B$13:$B$26,Assumptions!$C$13:$C$26,0)*_xlfn.XLOOKUP($I325,Assumptions!$B$30:$B$50,Assumptions!$C$30:$C$50,0),0)))</f>
        <v>400</v>
      </c>
      <c r="T325" s="16" t="str">
        <f>IF($C325&lt;&gt;"Organisation","",IF(OR($P325&lt;&gt;"",$Q325&lt;&gt;""),"Documented in source - midpoint of annual_intake_low/high",IF($I325="","No confirmed programme - modelled as zero",$N325&amp;" base x "&amp;TEXT(_xlfn.XLOOKUP($G325,Assumptions!$B$13:$B$26,Assumptions!$C$13:$C$26,0),"0.0#")&amp;" sector x "&amp;TEXT(_xlfn.XLOOKUP($I325,Assumptions!$B$30:$B$50,Assumptions!$C$30:$C$50,0),"0.0#")&amp;" mechanism")))</f>
        <v>Mega base x 1.0 sector x 1.0 mechanism</v>
      </c>
      <c r="U325" s="13" t="s">
        <v>230</v>
      </c>
      <c r="V325" s="13" t="s">
        <v>231</v>
      </c>
      <c r="W325" s="13" t="s">
        <v>1440</v>
      </c>
      <c r="X325" s="13"/>
    </row>
    <row r="326" spans="1:24" x14ac:dyDescent="0.2">
      <c r="A326" s="13" t="s">
        <v>1578</v>
      </c>
      <c r="B326" s="13" t="s">
        <v>1579</v>
      </c>
      <c r="C326" s="13" t="s">
        <v>205</v>
      </c>
      <c r="D326" s="13" t="s">
        <v>76</v>
      </c>
      <c r="E326" s="13" t="s">
        <v>76</v>
      </c>
      <c r="F326" s="13" t="s">
        <v>161</v>
      </c>
      <c r="G326" s="13" t="s">
        <v>176</v>
      </c>
      <c r="H326" s="13" t="s">
        <v>1580</v>
      </c>
      <c r="I326" s="13" t="s">
        <v>1454</v>
      </c>
      <c r="J326" s="13" t="s">
        <v>1581</v>
      </c>
      <c r="K326" s="19" t="s">
        <v>1815</v>
      </c>
      <c r="L326" s="17"/>
      <c r="M326" s="17"/>
      <c r="N326" s="13" t="s">
        <v>208</v>
      </c>
      <c r="O326" s="13" t="s">
        <v>209</v>
      </c>
      <c r="P326" s="16"/>
      <c r="Q326" s="16"/>
      <c r="R326" s="16"/>
      <c r="S326" s="21">
        <f>IF($C326&lt;&gt;"Organisation","",IF(OR($P326&lt;&gt;"",$Q326&lt;&gt;""),IF($P326&lt;&gt;"",IF($Q326&lt;&gt;"",($P326+$Q326)/2,$P326),$Q326),ROUND(_xlfn.XLOOKUP($N326,Assumptions!$B$5:$B$9,Assumptions!$C$5:$C$9,0)*_xlfn.XLOOKUP($G326,Assumptions!$B$13:$B$26,Assumptions!$C$13:$C$26,0)*_xlfn.XLOOKUP($I326,Assumptions!$B$30:$B$50,Assumptions!$C$30:$C$50,0),0)))</f>
        <v>120</v>
      </c>
      <c r="T326" s="16" t="str">
        <f>IF($C326&lt;&gt;"Organisation","",IF(OR($P326&lt;&gt;"",$Q326&lt;&gt;""),"Documented in source - midpoint of annual_intake_low/high",IF($I326="","No confirmed programme - modelled as zero",$N326&amp;" base x "&amp;TEXT(_xlfn.XLOOKUP($G326,Assumptions!$B$13:$B$26,Assumptions!$C$13:$C$26,0),"0.0#")&amp;" sector x "&amp;TEXT(_xlfn.XLOOKUP($I326,Assumptions!$B$30:$B$50,Assumptions!$C$30:$C$50,0),"0.0#")&amp;" mechanism")))</f>
        <v>Large base x 1.0 sector x 1.0 mechanism</v>
      </c>
      <c r="U326" s="13" t="s">
        <v>230</v>
      </c>
      <c r="V326" s="13" t="s">
        <v>231</v>
      </c>
      <c r="W326" s="13" t="s">
        <v>1440</v>
      </c>
      <c r="X326" s="13" t="s">
        <v>1582</v>
      </c>
    </row>
    <row r="327" spans="1:24" x14ac:dyDescent="0.2">
      <c r="A327" s="13" t="s">
        <v>1583</v>
      </c>
      <c r="B327" s="13" t="s">
        <v>1584</v>
      </c>
      <c r="C327" s="13" t="s">
        <v>205</v>
      </c>
      <c r="D327" s="13" t="s">
        <v>76</v>
      </c>
      <c r="E327" s="13" t="s">
        <v>76</v>
      </c>
      <c r="F327" s="13" t="s">
        <v>1456</v>
      </c>
      <c r="G327" s="13" t="s">
        <v>176</v>
      </c>
      <c r="H327" s="13" t="s">
        <v>1585</v>
      </c>
      <c r="I327" s="13" t="s">
        <v>1454</v>
      </c>
      <c r="J327" s="13" t="s">
        <v>1558</v>
      </c>
      <c r="K327" s="19" t="s">
        <v>1815</v>
      </c>
      <c r="L327" s="17"/>
      <c r="M327" s="17"/>
      <c r="N327" s="13" t="s">
        <v>208</v>
      </c>
      <c r="O327" s="13" t="s">
        <v>209</v>
      </c>
      <c r="P327" s="16"/>
      <c r="Q327" s="16"/>
      <c r="R327" s="16"/>
      <c r="S327" s="21">
        <f>IF($C327&lt;&gt;"Organisation","",IF(OR($P327&lt;&gt;"",$Q327&lt;&gt;""),IF($P327&lt;&gt;"",IF($Q327&lt;&gt;"",($P327+$Q327)/2,$P327),$Q327),ROUND(_xlfn.XLOOKUP($N327,Assumptions!$B$5:$B$9,Assumptions!$C$5:$C$9,0)*_xlfn.XLOOKUP($G327,Assumptions!$B$13:$B$26,Assumptions!$C$13:$C$26,0)*_xlfn.XLOOKUP($I327,Assumptions!$B$30:$B$50,Assumptions!$C$30:$C$50,0),0)))</f>
        <v>120</v>
      </c>
      <c r="T327" s="16" t="str">
        <f>IF($C327&lt;&gt;"Organisation","",IF(OR($P327&lt;&gt;"",$Q327&lt;&gt;""),"Documented in source - midpoint of annual_intake_low/high",IF($I327="","No confirmed programme - modelled as zero",$N327&amp;" base x "&amp;TEXT(_xlfn.XLOOKUP($G327,Assumptions!$B$13:$B$26,Assumptions!$C$13:$C$26,0),"0.0#")&amp;" sector x "&amp;TEXT(_xlfn.XLOOKUP($I327,Assumptions!$B$30:$B$50,Assumptions!$C$30:$C$50,0),"0.0#")&amp;" mechanism")))</f>
        <v>Large base x 1.0 sector x 1.0 mechanism</v>
      </c>
      <c r="U327" s="13" t="s">
        <v>230</v>
      </c>
      <c r="V327" s="13" t="s">
        <v>231</v>
      </c>
      <c r="W327" s="13" t="s">
        <v>1440</v>
      </c>
      <c r="X327" s="13"/>
    </row>
    <row r="328" spans="1:24" x14ac:dyDescent="0.2">
      <c r="A328" s="13" t="s">
        <v>1586</v>
      </c>
      <c r="B328" s="13" t="s">
        <v>1587</v>
      </c>
      <c r="C328" s="13" t="s">
        <v>205</v>
      </c>
      <c r="D328" s="13" t="s">
        <v>76</v>
      </c>
      <c r="E328" s="13" t="s">
        <v>76</v>
      </c>
      <c r="F328" s="13" t="s">
        <v>161</v>
      </c>
      <c r="G328" s="13" t="s">
        <v>176</v>
      </c>
      <c r="H328" s="13" t="s">
        <v>1588</v>
      </c>
      <c r="I328" s="13" t="s">
        <v>1454</v>
      </c>
      <c r="J328" s="13" t="s">
        <v>1581</v>
      </c>
      <c r="K328" s="19" t="s">
        <v>1815</v>
      </c>
      <c r="L328" s="17"/>
      <c r="M328" s="17"/>
      <c r="N328" s="13" t="s">
        <v>208</v>
      </c>
      <c r="O328" s="13" t="s">
        <v>209</v>
      </c>
      <c r="P328" s="16"/>
      <c r="Q328" s="16"/>
      <c r="R328" s="16"/>
      <c r="S328" s="21">
        <f>IF($C328&lt;&gt;"Organisation","",IF(OR($P328&lt;&gt;"",$Q328&lt;&gt;""),IF($P328&lt;&gt;"",IF($Q328&lt;&gt;"",($P328+$Q328)/2,$P328),$Q328),ROUND(_xlfn.XLOOKUP($N328,Assumptions!$B$5:$B$9,Assumptions!$C$5:$C$9,0)*_xlfn.XLOOKUP($G328,Assumptions!$B$13:$B$26,Assumptions!$C$13:$C$26,0)*_xlfn.XLOOKUP($I328,Assumptions!$B$30:$B$50,Assumptions!$C$30:$C$50,0),0)))</f>
        <v>120</v>
      </c>
      <c r="T328" s="16" t="str">
        <f>IF($C328&lt;&gt;"Organisation","",IF(OR($P328&lt;&gt;"",$Q328&lt;&gt;""),"Documented in source - midpoint of annual_intake_low/high",IF($I328="","No confirmed programme - modelled as zero",$N328&amp;" base x "&amp;TEXT(_xlfn.XLOOKUP($G328,Assumptions!$B$13:$B$26,Assumptions!$C$13:$C$26,0),"0.0#")&amp;" sector x "&amp;TEXT(_xlfn.XLOOKUP($I328,Assumptions!$B$30:$B$50,Assumptions!$C$30:$C$50,0),"0.0#")&amp;" mechanism")))</f>
        <v>Large base x 1.0 sector x 1.0 mechanism</v>
      </c>
      <c r="U328" s="13" t="s">
        <v>230</v>
      </c>
      <c r="V328" s="13" t="s">
        <v>231</v>
      </c>
      <c r="W328" s="13" t="s">
        <v>1440</v>
      </c>
      <c r="X328" s="13"/>
    </row>
    <row r="329" spans="1:24" x14ac:dyDescent="0.2">
      <c r="A329" s="13" t="s">
        <v>1589</v>
      </c>
      <c r="B329" s="13" t="s">
        <v>1590</v>
      </c>
      <c r="C329" s="13" t="s">
        <v>205</v>
      </c>
      <c r="D329" s="13" t="s">
        <v>76</v>
      </c>
      <c r="E329" s="13" t="s">
        <v>76</v>
      </c>
      <c r="F329" s="13" t="s">
        <v>161</v>
      </c>
      <c r="G329" s="13" t="s">
        <v>176</v>
      </c>
      <c r="H329" s="13" t="s">
        <v>1591</v>
      </c>
      <c r="I329" s="13" t="s">
        <v>1454</v>
      </c>
      <c r="J329" s="13" t="s">
        <v>1592</v>
      </c>
      <c r="K329" s="19" t="s">
        <v>1815</v>
      </c>
      <c r="L329" s="17"/>
      <c r="M329" s="17"/>
      <c r="N329" s="13" t="s">
        <v>244</v>
      </c>
      <c r="O329" s="13" t="s">
        <v>209</v>
      </c>
      <c r="P329" s="16"/>
      <c r="Q329" s="16"/>
      <c r="R329" s="16"/>
      <c r="S329" s="21">
        <f>IF($C329&lt;&gt;"Organisation","",IF(OR($P329&lt;&gt;"",$Q329&lt;&gt;""),IF($P329&lt;&gt;"",IF($Q329&lt;&gt;"",($P329+$Q329)/2,$P329),$Q329),ROUND(_xlfn.XLOOKUP($N329,Assumptions!$B$5:$B$9,Assumptions!$C$5:$C$9,0)*_xlfn.XLOOKUP($G329,Assumptions!$B$13:$B$26,Assumptions!$C$13:$C$26,0)*_xlfn.XLOOKUP($I329,Assumptions!$B$30:$B$50,Assumptions!$C$30:$C$50,0),0)))</f>
        <v>30</v>
      </c>
      <c r="T329" s="16" t="str">
        <f>IF($C329&lt;&gt;"Organisation","",IF(OR($P329&lt;&gt;"",$Q329&lt;&gt;""),"Documented in source - midpoint of annual_intake_low/high",IF($I329="","No confirmed programme - modelled as zero",$N329&amp;" base x "&amp;TEXT(_xlfn.XLOOKUP($G329,Assumptions!$B$13:$B$26,Assumptions!$C$13:$C$26,0),"0.0#")&amp;" sector x "&amp;TEXT(_xlfn.XLOOKUP($I329,Assumptions!$B$30:$B$50,Assumptions!$C$30:$C$50,0),"0.0#")&amp;" mechanism")))</f>
        <v>Mid base x 1.0 sector x 1.0 mechanism</v>
      </c>
      <c r="U329" s="13" t="s">
        <v>230</v>
      </c>
      <c r="V329" s="13" t="s">
        <v>231</v>
      </c>
      <c r="W329" s="13" t="s">
        <v>1440</v>
      </c>
      <c r="X329" s="13"/>
    </row>
    <row r="330" spans="1:24" x14ac:dyDescent="0.2">
      <c r="A330" s="13" t="s">
        <v>1593</v>
      </c>
      <c r="B330" s="13" t="s">
        <v>1594</v>
      </c>
      <c r="C330" s="13" t="s">
        <v>205</v>
      </c>
      <c r="D330" s="13" t="s">
        <v>76</v>
      </c>
      <c r="E330" s="13" t="s">
        <v>76</v>
      </c>
      <c r="F330" s="13" t="s">
        <v>161</v>
      </c>
      <c r="G330" s="13" t="s">
        <v>176</v>
      </c>
      <c r="H330" s="13" t="s">
        <v>1591</v>
      </c>
      <c r="I330" s="13" t="s">
        <v>1454</v>
      </c>
      <c r="J330" s="13" t="s">
        <v>1592</v>
      </c>
      <c r="K330" s="19" t="s">
        <v>1815</v>
      </c>
      <c r="L330" s="17"/>
      <c r="M330" s="17"/>
      <c r="N330" s="13" t="s">
        <v>244</v>
      </c>
      <c r="O330" s="13" t="s">
        <v>209</v>
      </c>
      <c r="P330" s="16"/>
      <c r="Q330" s="16"/>
      <c r="R330" s="16"/>
      <c r="S330" s="21">
        <f>IF($C330&lt;&gt;"Organisation","",IF(OR($P330&lt;&gt;"",$Q330&lt;&gt;""),IF($P330&lt;&gt;"",IF($Q330&lt;&gt;"",($P330+$Q330)/2,$P330),$Q330),ROUND(_xlfn.XLOOKUP($N330,Assumptions!$B$5:$B$9,Assumptions!$C$5:$C$9,0)*_xlfn.XLOOKUP($G330,Assumptions!$B$13:$B$26,Assumptions!$C$13:$C$26,0)*_xlfn.XLOOKUP($I330,Assumptions!$B$30:$B$50,Assumptions!$C$30:$C$50,0),0)))</f>
        <v>30</v>
      </c>
      <c r="T330" s="16" t="str">
        <f>IF($C330&lt;&gt;"Organisation","",IF(OR($P330&lt;&gt;"",$Q330&lt;&gt;""),"Documented in source - midpoint of annual_intake_low/high",IF($I330="","No confirmed programme - modelled as zero",$N330&amp;" base x "&amp;TEXT(_xlfn.XLOOKUP($G330,Assumptions!$B$13:$B$26,Assumptions!$C$13:$C$26,0),"0.0#")&amp;" sector x "&amp;TEXT(_xlfn.XLOOKUP($I330,Assumptions!$B$30:$B$50,Assumptions!$C$30:$C$50,0),"0.0#")&amp;" mechanism")))</f>
        <v>Mid base x 1.0 sector x 1.0 mechanism</v>
      </c>
      <c r="U330" s="13" t="s">
        <v>230</v>
      </c>
      <c r="V330" s="13" t="s">
        <v>231</v>
      </c>
      <c r="W330" s="13" t="s">
        <v>1440</v>
      </c>
      <c r="X330" s="13"/>
    </row>
    <row r="331" spans="1:24" x14ac:dyDescent="0.2">
      <c r="A331" s="13" t="s">
        <v>1595</v>
      </c>
      <c r="B331" s="13" t="s">
        <v>1596</v>
      </c>
      <c r="C331" s="13" t="s">
        <v>205</v>
      </c>
      <c r="D331" s="13" t="s">
        <v>76</v>
      </c>
      <c r="E331" s="13" t="s">
        <v>76</v>
      </c>
      <c r="F331" s="13" t="s">
        <v>161</v>
      </c>
      <c r="G331" s="13" t="s">
        <v>176</v>
      </c>
      <c r="H331" s="13" t="s">
        <v>1597</v>
      </c>
      <c r="I331" s="13" t="s">
        <v>1454</v>
      </c>
      <c r="J331" s="13" t="s">
        <v>1471</v>
      </c>
      <c r="K331" s="19" t="s">
        <v>1815</v>
      </c>
      <c r="L331" s="17"/>
      <c r="M331" s="17"/>
      <c r="N331" s="13" t="s">
        <v>208</v>
      </c>
      <c r="O331" s="13" t="s">
        <v>209</v>
      </c>
      <c r="P331" s="16"/>
      <c r="Q331" s="16"/>
      <c r="R331" s="16"/>
      <c r="S331" s="21">
        <f>IF($C331&lt;&gt;"Organisation","",IF(OR($P331&lt;&gt;"",$Q331&lt;&gt;""),IF($P331&lt;&gt;"",IF($Q331&lt;&gt;"",($P331+$Q331)/2,$P331),$Q331),ROUND(_xlfn.XLOOKUP($N331,Assumptions!$B$5:$B$9,Assumptions!$C$5:$C$9,0)*_xlfn.XLOOKUP($G331,Assumptions!$B$13:$B$26,Assumptions!$C$13:$C$26,0)*_xlfn.XLOOKUP($I331,Assumptions!$B$30:$B$50,Assumptions!$C$30:$C$50,0),0)))</f>
        <v>120</v>
      </c>
      <c r="T331" s="16" t="str">
        <f>IF($C331&lt;&gt;"Organisation","",IF(OR($P331&lt;&gt;"",$Q331&lt;&gt;""),"Documented in source - midpoint of annual_intake_low/high",IF($I331="","No confirmed programme - modelled as zero",$N331&amp;" base x "&amp;TEXT(_xlfn.XLOOKUP($G331,Assumptions!$B$13:$B$26,Assumptions!$C$13:$C$26,0),"0.0#")&amp;" sector x "&amp;TEXT(_xlfn.XLOOKUP($I331,Assumptions!$B$30:$B$50,Assumptions!$C$30:$C$50,0),"0.0#")&amp;" mechanism")))</f>
        <v>Large base x 1.0 sector x 1.0 mechanism</v>
      </c>
      <c r="U331" s="13" t="s">
        <v>230</v>
      </c>
      <c r="V331" s="13" t="s">
        <v>231</v>
      </c>
      <c r="W331" s="13" t="s">
        <v>1440</v>
      </c>
      <c r="X331" s="13"/>
    </row>
    <row r="332" spans="1:24" x14ac:dyDescent="0.2">
      <c r="A332" s="13" t="s">
        <v>1598</v>
      </c>
      <c r="B332" s="13" t="s">
        <v>1599</v>
      </c>
      <c r="C332" s="13" t="s">
        <v>205</v>
      </c>
      <c r="D332" s="13" t="s">
        <v>76</v>
      </c>
      <c r="E332" s="13" t="s">
        <v>76</v>
      </c>
      <c r="F332" s="13" t="s">
        <v>161</v>
      </c>
      <c r="G332" s="13" t="s">
        <v>176</v>
      </c>
      <c r="H332" s="13" t="s">
        <v>1600</v>
      </c>
      <c r="I332" s="13" t="s">
        <v>1454</v>
      </c>
      <c r="J332" s="13" t="s">
        <v>1558</v>
      </c>
      <c r="K332" s="19" t="s">
        <v>1815</v>
      </c>
      <c r="L332" s="17"/>
      <c r="M332" s="17"/>
      <c r="N332" s="13" t="s">
        <v>208</v>
      </c>
      <c r="O332" s="13" t="s">
        <v>209</v>
      </c>
      <c r="P332" s="16"/>
      <c r="Q332" s="16"/>
      <c r="R332" s="16"/>
      <c r="S332" s="21">
        <f>IF($C332&lt;&gt;"Organisation","",IF(OR($P332&lt;&gt;"",$Q332&lt;&gt;""),IF($P332&lt;&gt;"",IF($Q332&lt;&gt;"",($P332+$Q332)/2,$P332),$Q332),ROUND(_xlfn.XLOOKUP($N332,Assumptions!$B$5:$B$9,Assumptions!$C$5:$C$9,0)*_xlfn.XLOOKUP($G332,Assumptions!$B$13:$B$26,Assumptions!$C$13:$C$26,0)*_xlfn.XLOOKUP($I332,Assumptions!$B$30:$B$50,Assumptions!$C$30:$C$50,0),0)))</f>
        <v>120</v>
      </c>
      <c r="T332" s="16" t="str">
        <f>IF($C332&lt;&gt;"Organisation","",IF(OR($P332&lt;&gt;"",$Q332&lt;&gt;""),"Documented in source - midpoint of annual_intake_low/high",IF($I332="","No confirmed programme - modelled as zero",$N332&amp;" base x "&amp;TEXT(_xlfn.XLOOKUP($G332,Assumptions!$B$13:$B$26,Assumptions!$C$13:$C$26,0),"0.0#")&amp;" sector x "&amp;TEXT(_xlfn.XLOOKUP($I332,Assumptions!$B$30:$B$50,Assumptions!$C$30:$C$50,0),"0.0#")&amp;" mechanism")))</f>
        <v>Large base x 1.0 sector x 1.0 mechanism</v>
      </c>
      <c r="U332" s="13" t="s">
        <v>230</v>
      </c>
      <c r="V332" s="13" t="s">
        <v>231</v>
      </c>
      <c r="W332" s="13" t="s">
        <v>1440</v>
      </c>
      <c r="X332" s="13"/>
    </row>
    <row r="333" spans="1:24" x14ac:dyDescent="0.2">
      <c r="A333" s="13" t="s">
        <v>1601</v>
      </c>
      <c r="B333" s="13" t="s">
        <v>1602</v>
      </c>
      <c r="C333" s="13" t="s">
        <v>205</v>
      </c>
      <c r="D333" s="13" t="s">
        <v>76</v>
      </c>
      <c r="E333" s="13" t="s">
        <v>76</v>
      </c>
      <c r="F333" s="13" t="s">
        <v>161</v>
      </c>
      <c r="G333" s="13" t="s">
        <v>176</v>
      </c>
      <c r="H333" s="13" t="s">
        <v>1603</v>
      </c>
      <c r="I333" s="13" t="s">
        <v>1454</v>
      </c>
      <c r="J333" s="13" t="s">
        <v>1471</v>
      </c>
      <c r="K333" s="19" t="s">
        <v>1815</v>
      </c>
      <c r="L333" s="17"/>
      <c r="M333" s="17"/>
      <c r="N333" s="13" t="s">
        <v>208</v>
      </c>
      <c r="O333" s="13" t="s">
        <v>209</v>
      </c>
      <c r="P333" s="16"/>
      <c r="Q333" s="16"/>
      <c r="R333" s="16"/>
      <c r="S333" s="21">
        <f>IF($C333&lt;&gt;"Organisation","",IF(OR($P333&lt;&gt;"",$Q333&lt;&gt;""),IF($P333&lt;&gt;"",IF($Q333&lt;&gt;"",($P333+$Q333)/2,$P333),$Q333),ROUND(_xlfn.XLOOKUP($N333,Assumptions!$B$5:$B$9,Assumptions!$C$5:$C$9,0)*_xlfn.XLOOKUP($G333,Assumptions!$B$13:$B$26,Assumptions!$C$13:$C$26,0)*_xlfn.XLOOKUP($I333,Assumptions!$B$30:$B$50,Assumptions!$C$30:$C$50,0),0)))</f>
        <v>120</v>
      </c>
      <c r="T333" s="16" t="str">
        <f>IF($C333&lt;&gt;"Organisation","",IF(OR($P333&lt;&gt;"",$Q333&lt;&gt;""),"Documented in source - midpoint of annual_intake_low/high",IF($I333="","No confirmed programme - modelled as zero",$N333&amp;" base x "&amp;TEXT(_xlfn.XLOOKUP($G333,Assumptions!$B$13:$B$26,Assumptions!$C$13:$C$26,0),"0.0#")&amp;" sector x "&amp;TEXT(_xlfn.XLOOKUP($I333,Assumptions!$B$30:$B$50,Assumptions!$C$30:$C$50,0),"0.0#")&amp;" mechanism")))</f>
        <v>Large base x 1.0 sector x 1.0 mechanism</v>
      </c>
      <c r="U333" s="13" t="s">
        <v>230</v>
      </c>
      <c r="V333" s="13" t="s">
        <v>231</v>
      </c>
      <c r="W333" s="13" t="s">
        <v>1440</v>
      </c>
      <c r="X333" s="13"/>
    </row>
    <row r="334" spans="1:24" x14ac:dyDescent="0.2">
      <c r="A334" s="13" t="s">
        <v>1604</v>
      </c>
      <c r="B334" s="13" t="s">
        <v>1605</v>
      </c>
      <c r="C334" s="13" t="s">
        <v>205</v>
      </c>
      <c r="D334" s="13" t="s">
        <v>76</v>
      </c>
      <c r="E334" s="13" t="s">
        <v>76</v>
      </c>
      <c r="F334" s="13" t="s">
        <v>161</v>
      </c>
      <c r="G334" s="13" t="s">
        <v>178</v>
      </c>
      <c r="H334" s="13" t="s">
        <v>1606</v>
      </c>
      <c r="I334" s="13" t="s">
        <v>1454</v>
      </c>
      <c r="J334" s="13" t="s">
        <v>1484</v>
      </c>
      <c r="K334" s="19" t="s">
        <v>1815</v>
      </c>
      <c r="L334" s="17"/>
      <c r="M334" s="17"/>
      <c r="N334" s="13" t="s">
        <v>208</v>
      </c>
      <c r="O334" s="13" t="s">
        <v>209</v>
      </c>
      <c r="P334" s="16"/>
      <c r="Q334" s="16"/>
      <c r="R334" s="16"/>
      <c r="S334" s="21">
        <f>IF($C334&lt;&gt;"Organisation","",IF(OR($P334&lt;&gt;"",$Q334&lt;&gt;""),IF($P334&lt;&gt;"",IF($Q334&lt;&gt;"",($P334+$Q334)/2,$P334),$Q334),ROUND(_xlfn.XLOOKUP($N334,Assumptions!$B$5:$B$9,Assumptions!$C$5:$C$9,0)*_xlfn.XLOOKUP($G334,Assumptions!$B$13:$B$26,Assumptions!$C$13:$C$26,0)*_xlfn.XLOOKUP($I334,Assumptions!$B$30:$B$50,Assumptions!$C$30:$C$50,0),0)))</f>
        <v>180</v>
      </c>
      <c r="T334" s="16" t="str">
        <f>IF($C334&lt;&gt;"Organisation","",IF(OR($P334&lt;&gt;"",$Q334&lt;&gt;""),"Documented in source - midpoint of annual_intake_low/high",IF($I334="","No confirmed programme - modelled as zero",$N334&amp;" base x "&amp;TEXT(_xlfn.XLOOKUP($G334,Assumptions!$B$13:$B$26,Assumptions!$C$13:$C$26,0),"0.0#")&amp;" sector x "&amp;TEXT(_xlfn.XLOOKUP($I334,Assumptions!$B$30:$B$50,Assumptions!$C$30:$C$50,0),"0.0#")&amp;" mechanism")))</f>
        <v>Large base x 1.5 sector x 1.0 mechanism</v>
      </c>
      <c r="U334" s="13" t="s">
        <v>230</v>
      </c>
      <c r="V334" s="13" t="s">
        <v>231</v>
      </c>
      <c r="W334" s="13" t="s">
        <v>1440</v>
      </c>
      <c r="X334" s="13"/>
    </row>
    <row r="335" spans="1:24" x14ac:dyDescent="0.2">
      <c r="A335" s="13" t="s">
        <v>1607</v>
      </c>
      <c r="B335" s="13" t="s">
        <v>1608</v>
      </c>
      <c r="C335" s="13" t="s">
        <v>205</v>
      </c>
      <c r="D335" s="13" t="s">
        <v>76</v>
      </c>
      <c r="E335" s="13" t="s">
        <v>76</v>
      </c>
      <c r="F335" s="13" t="s">
        <v>161</v>
      </c>
      <c r="G335" s="13" t="s">
        <v>180</v>
      </c>
      <c r="H335" s="13" t="s">
        <v>1609</v>
      </c>
      <c r="I335" s="13" t="s">
        <v>1454</v>
      </c>
      <c r="J335" s="13" t="s">
        <v>1610</v>
      </c>
      <c r="K335" s="19" t="s">
        <v>1815</v>
      </c>
      <c r="L335" s="17"/>
      <c r="M335" s="17"/>
      <c r="N335" s="13" t="s">
        <v>218</v>
      </c>
      <c r="O335" s="13" t="s">
        <v>209</v>
      </c>
      <c r="P335" s="16"/>
      <c r="Q335" s="16"/>
      <c r="R335" s="16"/>
      <c r="S335" s="21">
        <f>IF($C335&lt;&gt;"Organisation","",IF(OR($P335&lt;&gt;"",$Q335&lt;&gt;""),IF($P335&lt;&gt;"",IF($Q335&lt;&gt;"",($P335+$Q335)/2,$P335),$Q335),ROUND(_xlfn.XLOOKUP($N335,Assumptions!$B$5:$B$9,Assumptions!$C$5:$C$9,0)*_xlfn.XLOOKUP($G335,Assumptions!$B$13:$B$26,Assumptions!$C$13:$C$26,0)*_xlfn.XLOOKUP($I335,Assumptions!$B$30:$B$50,Assumptions!$C$30:$C$50,0),0)))</f>
        <v>1200</v>
      </c>
      <c r="T335" s="16" t="str">
        <f>IF($C335&lt;&gt;"Organisation","",IF(OR($P335&lt;&gt;"",$Q335&lt;&gt;""),"Documented in source - midpoint of annual_intake_low/high",IF($I335="","No confirmed programme - modelled as zero",$N335&amp;" base x "&amp;TEXT(_xlfn.XLOOKUP($G335,Assumptions!$B$13:$B$26,Assumptions!$C$13:$C$26,0),"0.0#")&amp;" sector x "&amp;TEXT(_xlfn.XLOOKUP($I335,Assumptions!$B$30:$B$50,Assumptions!$C$30:$C$50,0),"0.0#")&amp;" mechanism")))</f>
        <v>Mega base x 3.0 sector x 1.0 mechanism</v>
      </c>
      <c r="U335" s="13" t="s">
        <v>222</v>
      </c>
      <c r="V335" s="13" t="s">
        <v>223</v>
      </c>
      <c r="W335" s="13" t="s">
        <v>1440</v>
      </c>
      <c r="X335" s="13" t="s">
        <v>1611</v>
      </c>
    </row>
    <row r="336" spans="1:24" x14ac:dyDescent="0.2">
      <c r="A336" s="13" t="s">
        <v>1612</v>
      </c>
      <c r="B336" s="13" t="s">
        <v>1613</v>
      </c>
      <c r="C336" s="13" t="s">
        <v>205</v>
      </c>
      <c r="D336" s="13" t="s">
        <v>76</v>
      </c>
      <c r="E336" s="13" t="s">
        <v>76</v>
      </c>
      <c r="F336" s="13" t="s">
        <v>161</v>
      </c>
      <c r="G336" s="13" t="s">
        <v>180</v>
      </c>
      <c r="H336" s="13" t="s">
        <v>1614</v>
      </c>
      <c r="I336" s="13" t="s">
        <v>1454</v>
      </c>
      <c r="J336" s="13" t="s">
        <v>1615</v>
      </c>
      <c r="K336" s="19" t="s">
        <v>1815</v>
      </c>
      <c r="L336" s="17"/>
      <c r="M336" s="17"/>
      <c r="N336" s="13" t="s">
        <v>208</v>
      </c>
      <c r="O336" s="13" t="s">
        <v>209</v>
      </c>
      <c r="P336" s="16"/>
      <c r="Q336" s="16"/>
      <c r="R336" s="16"/>
      <c r="S336" s="21">
        <f>IF($C336&lt;&gt;"Organisation","",IF(OR($P336&lt;&gt;"",$Q336&lt;&gt;""),IF($P336&lt;&gt;"",IF($Q336&lt;&gt;"",($P336+$Q336)/2,$P336),$Q336),ROUND(_xlfn.XLOOKUP($N336,Assumptions!$B$5:$B$9,Assumptions!$C$5:$C$9,0)*_xlfn.XLOOKUP($G336,Assumptions!$B$13:$B$26,Assumptions!$C$13:$C$26,0)*_xlfn.XLOOKUP($I336,Assumptions!$B$30:$B$50,Assumptions!$C$30:$C$50,0),0)))</f>
        <v>360</v>
      </c>
      <c r="T336" s="16" t="str">
        <f>IF($C336&lt;&gt;"Organisation","",IF(OR($P336&lt;&gt;"",$Q336&lt;&gt;""),"Documented in source - midpoint of annual_intake_low/high",IF($I336="","No confirmed programme - modelled as zero",$N336&amp;" base x "&amp;TEXT(_xlfn.XLOOKUP($G336,Assumptions!$B$13:$B$26,Assumptions!$C$13:$C$26,0),"0.0#")&amp;" sector x "&amp;TEXT(_xlfn.XLOOKUP($I336,Assumptions!$B$30:$B$50,Assumptions!$C$30:$C$50,0),"0.0#")&amp;" mechanism")))</f>
        <v>Large base x 3.0 sector x 1.0 mechanism</v>
      </c>
      <c r="U336" s="13" t="s">
        <v>222</v>
      </c>
      <c r="V336" s="13" t="s">
        <v>223</v>
      </c>
      <c r="W336" s="13" t="s">
        <v>1440</v>
      </c>
      <c r="X336" s="13" t="s">
        <v>1616</v>
      </c>
    </row>
    <row r="337" spans="1:24" x14ac:dyDescent="0.2">
      <c r="A337" s="13" t="s">
        <v>1617</v>
      </c>
      <c r="B337" s="13" t="s">
        <v>1618</v>
      </c>
      <c r="C337" s="13" t="s">
        <v>205</v>
      </c>
      <c r="D337" s="13" t="s">
        <v>76</v>
      </c>
      <c r="E337" s="13" t="s">
        <v>76</v>
      </c>
      <c r="F337" s="13" t="s">
        <v>161</v>
      </c>
      <c r="G337" s="13" t="s">
        <v>180</v>
      </c>
      <c r="H337" s="13" t="s">
        <v>1619</v>
      </c>
      <c r="I337" s="13" t="s">
        <v>1454</v>
      </c>
      <c r="J337" s="13" t="s">
        <v>1620</v>
      </c>
      <c r="K337" s="19" t="s">
        <v>1815</v>
      </c>
      <c r="L337" s="17"/>
      <c r="M337" s="17"/>
      <c r="N337" s="13" t="s">
        <v>208</v>
      </c>
      <c r="O337" s="13" t="s">
        <v>209</v>
      </c>
      <c r="P337" s="16"/>
      <c r="Q337" s="16"/>
      <c r="R337" s="16"/>
      <c r="S337" s="21">
        <f>IF($C337&lt;&gt;"Organisation","",IF(OR($P337&lt;&gt;"",$Q337&lt;&gt;""),IF($P337&lt;&gt;"",IF($Q337&lt;&gt;"",($P337+$Q337)/2,$P337),$Q337),ROUND(_xlfn.XLOOKUP($N337,Assumptions!$B$5:$B$9,Assumptions!$C$5:$C$9,0)*_xlfn.XLOOKUP($G337,Assumptions!$B$13:$B$26,Assumptions!$C$13:$C$26,0)*_xlfn.XLOOKUP($I337,Assumptions!$B$30:$B$50,Assumptions!$C$30:$C$50,0),0)))</f>
        <v>360</v>
      </c>
      <c r="T337" s="16" t="str">
        <f>IF($C337&lt;&gt;"Organisation","",IF(OR($P337&lt;&gt;"",$Q337&lt;&gt;""),"Documented in source - midpoint of annual_intake_low/high",IF($I337="","No confirmed programme - modelled as zero",$N337&amp;" base x "&amp;TEXT(_xlfn.XLOOKUP($G337,Assumptions!$B$13:$B$26,Assumptions!$C$13:$C$26,0),"0.0#")&amp;" sector x "&amp;TEXT(_xlfn.XLOOKUP($I337,Assumptions!$B$30:$B$50,Assumptions!$C$30:$C$50,0),"0.0#")&amp;" mechanism")))</f>
        <v>Large base x 3.0 sector x 1.0 mechanism</v>
      </c>
      <c r="U337" s="13" t="s">
        <v>230</v>
      </c>
      <c r="V337" s="13" t="s">
        <v>231</v>
      </c>
      <c r="W337" s="13" t="s">
        <v>1440</v>
      </c>
      <c r="X337" s="13" t="s">
        <v>1621</v>
      </c>
    </row>
    <row r="338" spans="1:24" x14ac:dyDescent="0.2">
      <c r="A338" s="13" t="s">
        <v>2933</v>
      </c>
      <c r="B338" s="13" t="s">
        <v>2934</v>
      </c>
      <c r="C338" s="13" t="s">
        <v>24</v>
      </c>
      <c r="D338" s="13" t="s">
        <v>2934</v>
      </c>
      <c r="K338" s="19"/>
      <c r="L338" s="17"/>
      <c r="M338" s="17"/>
      <c r="P338" s="16"/>
      <c r="Q338" s="16"/>
      <c r="R338" s="16"/>
      <c r="S338" s="21" t="str">
        <f>IF($C338&lt;&gt;"Organisation","",IF(OR($P338&lt;&gt;"",$Q338&lt;&gt;""),IF($P338&lt;&gt;"",IF($Q338&lt;&gt;"",($P338+$Q338)/2,$P338),$Q338),ROUND(_xlfn.XLOOKUP($N338,Assumptions!$B$5:$B$9,Assumptions!$C$5:$C$9,0)*_xlfn.XLOOKUP($G338,Assumptions!$B$13:$B$26,Assumptions!$C$13:$C$26,0)*_xlfn.XLOOKUP($I338,Assumptions!$B$30:$B$50,Assumptions!$C$30:$C$50,0),0)))</f>
        <v/>
      </c>
      <c r="T338" s="16" t="str">
        <f>IF($C338&lt;&gt;"Organisation","",IF(OR($P338&lt;&gt;"",$Q338&lt;&gt;""),"Documented in source - midpoint of annual_intake_low/high",IF($I338="","No confirmed programme - modelled as zero",$N338&amp;" base x "&amp;TEXT(_xlfn.XLOOKUP($G338,Assumptions!$B$13:$B$26,Assumptions!$C$13:$C$26,0),"0.0#")&amp;" sector x "&amp;TEXT(_xlfn.XLOOKUP($I338,Assumptions!$B$30:$B$50,Assumptions!$C$30:$C$50,0),"0.0#")&amp;" mechanism")))</f>
        <v/>
      </c>
      <c r="W338" s="13"/>
      <c r="X338" s="13" t="s">
        <v>2935</v>
      </c>
    </row>
    <row r="339" spans="1:24" x14ac:dyDescent="0.2">
      <c r="A339" s="13" t="s">
        <v>2936</v>
      </c>
      <c r="B339" s="13" t="s">
        <v>2937</v>
      </c>
      <c r="C339" s="13" t="s">
        <v>24</v>
      </c>
      <c r="D339" s="13" t="s">
        <v>2937</v>
      </c>
      <c r="K339" s="19"/>
      <c r="L339" s="17"/>
      <c r="M339" s="17"/>
      <c r="P339" s="16"/>
      <c r="Q339" s="16"/>
      <c r="R339" s="16"/>
      <c r="S339" s="21" t="str">
        <f>IF($C339&lt;&gt;"Organisation","",IF(OR($P339&lt;&gt;"",$Q339&lt;&gt;""),IF($P339&lt;&gt;"",IF($Q339&lt;&gt;"",($P339+$Q339)/2,$P339),$Q339),ROUND(_xlfn.XLOOKUP($N339,Assumptions!$B$5:$B$9,Assumptions!$C$5:$C$9,0)*_xlfn.XLOOKUP($G339,Assumptions!$B$13:$B$26,Assumptions!$C$13:$C$26,0)*_xlfn.XLOOKUP($I339,Assumptions!$B$30:$B$50,Assumptions!$C$30:$C$50,0),0)))</f>
        <v/>
      </c>
      <c r="T339" s="16" t="str">
        <f>IF($C339&lt;&gt;"Organisation","",IF(OR($P339&lt;&gt;"",$Q339&lt;&gt;""),"Documented in source - midpoint of annual_intake_low/high",IF($I339="","No confirmed programme - modelled as zero",$N339&amp;" base x "&amp;TEXT(_xlfn.XLOOKUP($G339,Assumptions!$B$13:$B$26,Assumptions!$C$13:$C$26,0),"0.0#")&amp;" sector x "&amp;TEXT(_xlfn.XLOOKUP($I339,Assumptions!$B$30:$B$50,Assumptions!$C$30:$C$50,0),"0.0#")&amp;" mechanism")))</f>
        <v/>
      </c>
      <c r="W339" s="13"/>
      <c r="X339" s="13" t="s">
        <v>2935</v>
      </c>
    </row>
    <row r="340" spans="1:24" x14ac:dyDescent="0.2">
      <c r="A340" s="13" t="s">
        <v>2938</v>
      </c>
      <c r="B340" s="13" t="s">
        <v>2939</v>
      </c>
      <c r="C340" s="13" t="s">
        <v>24</v>
      </c>
      <c r="D340" s="13" t="s">
        <v>2939</v>
      </c>
      <c r="K340" s="19"/>
      <c r="L340" s="17"/>
      <c r="M340" s="17"/>
      <c r="P340" s="16"/>
      <c r="Q340" s="16"/>
      <c r="R340" s="16"/>
      <c r="S340" s="21" t="str">
        <f>IF($C340&lt;&gt;"Organisation","",IF(OR($P340&lt;&gt;"",$Q340&lt;&gt;""),IF($P340&lt;&gt;"",IF($Q340&lt;&gt;"",($P340+$Q340)/2,$P340),$Q340),ROUND(_xlfn.XLOOKUP($N340,Assumptions!$B$5:$B$9,Assumptions!$C$5:$C$9,0)*_xlfn.XLOOKUP($G340,Assumptions!$B$13:$B$26,Assumptions!$C$13:$C$26,0)*_xlfn.XLOOKUP($I340,Assumptions!$B$30:$B$50,Assumptions!$C$30:$C$50,0),0)))</f>
        <v/>
      </c>
      <c r="T340" s="16" t="str">
        <f>IF($C340&lt;&gt;"Organisation","",IF(OR($P340&lt;&gt;"",$Q340&lt;&gt;""),"Documented in source - midpoint of annual_intake_low/high",IF($I340="","No confirmed programme - modelled as zero",$N340&amp;" base x "&amp;TEXT(_xlfn.XLOOKUP($G340,Assumptions!$B$13:$B$26,Assumptions!$C$13:$C$26,0),"0.0#")&amp;" sector x "&amp;TEXT(_xlfn.XLOOKUP($I340,Assumptions!$B$30:$B$50,Assumptions!$C$30:$C$50,0),"0.0#")&amp;" mechanism")))</f>
        <v/>
      </c>
      <c r="W340" s="13"/>
      <c r="X340" s="13" t="s">
        <v>2935</v>
      </c>
    </row>
    <row r="341" spans="1:24" x14ac:dyDescent="0.2">
      <c r="A341" s="13" t="s">
        <v>2940</v>
      </c>
      <c r="B341" s="13" t="s">
        <v>2941</v>
      </c>
      <c r="C341" s="13" t="s">
        <v>36</v>
      </c>
      <c r="D341" s="13" t="s">
        <v>2934</v>
      </c>
      <c r="E341" s="13" t="s">
        <v>2941</v>
      </c>
      <c r="K341" s="19"/>
      <c r="L341" s="17"/>
      <c r="M341" s="17"/>
      <c r="P341" s="16"/>
      <c r="Q341" s="16"/>
      <c r="R341" s="16"/>
      <c r="S341" s="21" t="str">
        <f>IF($C341&lt;&gt;"Organisation","",IF(OR($P341&lt;&gt;"",$Q341&lt;&gt;""),IF($P341&lt;&gt;"",IF($Q341&lt;&gt;"",($P341+$Q341)/2,$P341),$Q341),ROUND(_xlfn.XLOOKUP($N341,Assumptions!$B$5:$B$9,Assumptions!$C$5:$C$9,0)*_xlfn.XLOOKUP($G341,Assumptions!$B$13:$B$26,Assumptions!$C$13:$C$26,0)*_xlfn.XLOOKUP($I341,Assumptions!$B$30:$B$50,Assumptions!$C$30:$C$50,0),0)))</f>
        <v/>
      </c>
      <c r="T341" s="16" t="str">
        <f>IF($C341&lt;&gt;"Organisation","",IF(OR($P341&lt;&gt;"",$Q341&lt;&gt;""),"Documented in source - midpoint of annual_intake_low/high",IF($I341="","No confirmed programme - modelled as zero",$N341&amp;" base x "&amp;TEXT(_xlfn.XLOOKUP($G341,Assumptions!$B$13:$B$26,Assumptions!$C$13:$C$26,0),"0.0#")&amp;" sector x "&amp;TEXT(_xlfn.XLOOKUP($I341,Assumptions!$B$30:$B$50,Assumptions!$C$30:$C$50,0),"0.0#")&amp;" mechanism")))</f>
        <v/>
      </c>
      <c r="W341" s="13"/>
      <c r="X341" s="13"/>
    </row>
    <row r="342" spans="1:24" x14ac:dyDescent="0.2">
      <c r="A342" s="13" t="s">
        <v>2942</v>
      </c>
      <c r="B342" s="13" t="s">
        <v>2943</v>
      </c>
      <c r="C342" s="13" t="s">
        <v>36</v>
      </c>
      <c r="D342" s="13" t="s">
        <v>2934</v>
      </c>
      <c r="E342" s="13" t="s">
        <v>2943</v>
      </c>
      <c r="K342" s="19"/>
      <c r="L342" s="17"/>
      <c r="M342" s="17"/>
      <c r="P342" s="16"/>
      <c r="Q342" s="16"/>
      <c r="R342" s="16"/>
      <c r="S342" s="21" t="str">
        <f>IF($C342&lt;&gt;"Organisation","",IF(OR($P342&lt;&gt;"",$Q342&lt;&gt;""),IF($P342&lt;&gt;"",IF($Q342&lt;&gt;"",($P342+$Q342)/2,$P342),$Q342),ROUND(_xlfn.XLOOKUP($N342,Assumptions!$B$5:$B$9,Assumptions!$C$5:$C$9,0)*_xlfn.XLOOKUP($G342,Assumptions!$B$13:$B$26,Assumptions!$C$13:$C$26,0)*_xlfn.XLOOKUP($I342,Assumptions!$B$30:$B$50,Assumptions!$C$30:$C$50,0),0)))</f>
        <v/>
      </c>
      <c r="T342" s="16" t="str">
        <f>IF($C342&lt;&gt;"Organisation","",IF(OR($P342&lt;&gt;"",$Q342&lt;&gt;""),"Documented in source - midpoint of annual_intake_low/high",IF($I342="","No confirmed programme - modelled as zero",$N342&amp;" base x "&amp;TEXT(_xlfn.XLOOKUP($G342,Assumptions!$B$13:$B$26,Assumptions!$C$13:$C$26,0),"0.0#")&amp;" sector x "&amp;TEXT(_xlfn.XLOOKUP($I342,Assumptions!$B$30:$B$50,Assumptions!$C$30:$C$50,0),"0.0#")&amp;" mechanism")))</f>
        <v/>
      </c>
      <c r="W342" s="13"/>
      <c r="X342" s="13"/>
    </row>
    <row r="343" spans="1:24" x14ac:dyDescent="0.2">
      <c r="A343" s="13" t="s">
        <v>2944</v>
      </c>
      <c r="B343" s="13" t="s">
        <v>2945</v>
      </c>
      <c r="C343" s="13" t="s">
        <v>36</v>
      </c>
      <c r="D343" s="13" t="s">
        <v>2934</v>
      </c>
      <c r="E343" s="13" t="s">
        <v>2945</v>
      </c>
      <c r="K343" s="19"/>
      <c r="L343" s="17"/>
      <c r="M343" s="17"/>
      <c r="P343" s="16"/>
      <c r="Q343" s="16"/>
      <c r="R343" s="16"/>
      <c r="S343" s="21" t="str">
        <f>IF($C343&lt;&gt;"Organisation","",IF(OR($P343&lt;&gt;"",$Q343&lt;&gt;""),IF($P343&lt;&gt;"",IF($Q343&lt;&gt;"",($P343+$Q343)/2,$P343),$Q343),ROUND(_xlfn.XLOOKUP($N343,Assumptions!$B$5:$B$9,Assumptions!$C$5:$C$9,0)*_xlfn.XLOOKUP($G343,Assumptions!$B$13:$B$26,Assumptions!$C$13:$C$26,0)*_xlfn.XLOOKUP($I343,Assumptions!$B$30:$B$50,Assumptions!$C$30:$C$50,0),0)))</f>
        <v/>
      </c>
      <c r="T343" s="16" t="str">
        <f>IF($C343&lt;&gt;"Organisation","",IF(OR($P343&lt;&gt;"",$Q343&lt;&gt;""),"Documented in source - midpoint of annual_intake_low/high",IF($I343="","No confirmed programme - modelled as zero",$N343&amp;" base x "&amp;TEXT(_xlfn.XLOOKUP($G343,Assumptions!$B$13:$B$26,Assumptions!$C$13:$C$26,0),"0.0#")&amp;" sector x "&amp;TEXT(_xlfn.XLOOKUP($I343,Assumptions!$B$30:$B$50,Assumptions!$C$30:$C$50,0),"0.0#")&amp;" mechanism")))</f>
        <v/>
      </c>
      <c r="W343" s="13"/>
      <c r="X343" s="13"/>
    </row>
    <row r="344" spans="1:24" x14ac:dyDescent="0.2">
      <c r="A344" s="13" t="s">
        <v>2946</v>
      </c>
      <c r="B344" s="13" t="s">
        <v>2947</v>
      </c>
      <c r="C344" s="13" t="s">
        <v>36</v>
      </c>
      <c r="D344" s="13" t="s">
        <v>2937</v>
      </c>
      <c r="E344" s="13" t="s">
        <v>2947</v>
      </c>
      <c r="K344" s="19"/>
      <c r="L344" s="17"/>
      <c r="M344" s="17"/>
      <c r="P344" s="16"/>
      <c r="Q344" s="16"/>
      <c r="R344" s="16"/>
      <c r="S344" s="21" t="str">
        <f>IF($C344&lt;&gt;"Organisation","",IF(OR($P344&lt;&gt;"",$Q344&lt;&gt;""),IF($P344&lt;&gt;"",IF($Q344&lt;&gt;"",($P344+$Q344)/2,$P344),$Q344),ROUND(_xlfn.XLOOKUP($N344,Assumptions!$B$5:$B$9,Assumptions!$C$5:$C$9,0)*_xlfn.XLOOKUP($G344,Assumptions!$B$13:$B$26,Assumptions!$C$13:$C$26,0)*_xlfn.XLOOKUP($I344,Assumptions!$B$30:$B$50,Assumptions!$C$30:$C$50,0),0)))</f>
        <v/>
      </c>
      <c r="T344" s="16" t="str">
        <f>IF($C344&lt;&gt;"Organisation","",IF(OR($P344&lt;&gt;"",$Q344&lt;&gt;""),"Documented in source - midpoint of annual_intake_low/high",IF($I344="","No confirmed programme - modelled as zero",$N344&amp;" base x "&amp;TEXT(_xlfn.XLOOKUP($G344,Assumptions!$B$13:$B$26,Assumptions!$C$13:$C$26,0),"0.0#")&amp;" sector x "&amp;TEXT(_xlfn.XLOOKUP($I344,Assumptions!$B$30:$B$50,Assumptions!$C$30:$C$50,0),"0.0#")&amp;" mechanism")))</f>
        <v/>
      </c>
      <c r="W344" s="13"/>
      <c r="X344" s="13"/>
    </row>
    <row r="345" spans="1:24" x14ac:dyDescent="0.2">
      <c r="A345" s="13" t="s">
        <v>2948</v>
      </c>
      <c r="B345" s="13" t="s">
        <v>2939</v>
      </c>
      <c r="C345" s="13" t="s">
        <v>36</v>
      </c>
      <c r="D345" s="13" t="s">
        <v>2939</v>
      </c>
      <c r="E345" s="13" t="s">
        <v>2939</v>
      </c>
      <c r="K345" s="19"/>
      <c r="L345" s="17"/>
      <c r="M345" s="17"/>
      <c r="P345" s="16"/>
      <c r="Q345" s="16"/>
      <c r="R345" s="16"/>
      <c r="S345" s="21" t="str">
        <f>IF($C345&lt;&gt;"Organisation","",IF(OR($P345&lt;&gt;"",$Q345&lt;&gt;""),IF($P345&lt;&gt;"",IF($Q345&lt;&gt;"",($P345+$Q345)/2,$P345),$Q345),ROUND(_xlfn.XLOOKUP($N345,Assumptions!$B$5:$B$9,Assumptions!$C$5:$C$9,0)*_xlfn.XLOOKUP($G345,Assumptions!$B$13:$B$26,Assumptions!$C$13:$C$26,0)*_xlfn.XLOOKUP($I345,Assumptions!$B$30:$B$50,Assumptions!$C$30:$C$50,0),0)))</f>
        <v/>
      </c>
      <c r="T345" s="16" t="str">
        <f>IF($C345&lt;&gt;"Organisation","",IF(OR($P345&lt;&gt;"",$Q345&lt;&gt;""),"Documented in source - midpoint of annual_intake_low/high",IF($I345="","No confirmed programme - modelled as zero",$N345&amp;" base x "&amp;TEXT(_xlfn.XLOOKUP($G345,Assumptions!$B$13:$B$26,Assumptions!$C$13:$C$26,0),"0.0#")&amp;" sector x "&amp;TEXT(_xlfn.XLOOKUP($I345,Assumptions!$B$30:$B$50,Assumptions!$C$30:$C$50,0),"0.0#")&amp;" mechanism")))</f>
        <v/>
      </c>
      <c r="W345" s="13"/>
      <c r="X345" s="13"/>
    </row>
    <row r="346" spans="1:24" x14ac:dyDescent="0.2">
      <c r="A346" s="13" t="s">
        <v>2949</v>
      </c>
      <c r="B346" s="13" t="s">
        <v>2941</v>
      </c>
      <c r="C346" s="13" t="s">
        <v>79</v>
      </c>
      <c r="D346" s="13" t="s">
        <v>2934</v>
      </c>
      <c r="E346" s="13" t="s">
        <v>2941</v>
      </c>
      <c r="F346" s="13" t="s">
        <v>2941</v>
      </c>
      <c r="K346" s="19"/>
      <c r="L346" s="17"/>
      <c r="M346" s="17"/>
      <c r="P346" s="16"/>
      <c r="Q346" s="16"/>
      <c r="R346" s="16"/>
      <c r="S346" s="21" t="str">
        <f>IF($C346&lt;&gt;"Organisation","",IF(OR($P346&lt;&gt;"",$Q346&lt;&gt;""),IF($P346&lt;&gt;"",IF($Q346&lt;&gt;"",($P346+$Q346)/2,$P346),$Q346),ROUND(_xlfn.XLOOKUP($N346,Assumptions!$B$5:$B$9,Assumptions!$C$5:$C$9,0)*_xlfn.XLOOKUP($G346,Assumptions!$B$13:$B$26,Assumptions!$C$13:$C$26,0)*_xlfn.XLOOKUP($I346,Assumptions!$B$30:$B$50,Assumptions!$C$30:$C$50,0),0)))</f>
        <v/>
      </c>
      <c r="T346" s="16" t="str">
        <f>IF($C346&lt;&gt;"Organisation","",IF(OR($P346&lt;&gt;"",$Q346&lt;&gt;""),"Documented in source - midpoint of annual_intake_low/high",IF($I346="","No confirmed programme - modelled as zero",$N346&amp;" base x "&amp;TEXT(_xlfn.XLOOKUP($G346,Assumptions!$B$13:$B$26,Assumptions!$C$13:$C$26,0),"0.0#")&amp;" sector x "&amp;TEXT(_xlfn.XLOOKUP($I346,Assumptions!$B$30:$B$50,Assumptions!$C$30:$C$50,0),"0.0#")&amp;" mechanism")))</f>
        <v/>
      </c>
      <c r="W346" s="13" t="s">
        <v>99</v>
      </c>
      <c r="X346" s="13"/>
    </row>
    <row r="347" spans="1:24" x14ac:dyDescent="0.2">
      <c r="A347" s="13" t="s">
        <v>2950</v>
      </c>
      <c r="B347" s="13" t="s">
        <v>2951</v>
      </c>
      <c r="C347" s="13" t="s">
        <v>79</v>
      </c>
      <c r="D347" s="13" t="s">
        <v>2934</v>
      </c>
      <c r="E347" s="13" t="s">
        <v>2943</v>
      </c>
      <c r="F347" s="13" t="s">
        <v>2951</v>
      </c>
      <c r="K347" s="19"/>
      <c r="L347" s="17"/>
      <c r="M347" s="17"/>
      <c r="P347" s="16"/>
      <c r="Q347" s="16"/>
      <c r="R347" s="16"/>
      <c r="S347" s="21" t="str">
        <f>IF($C347&lt;&gt;"Organisation","",IF(OR($P347&lt;&gt;"",$Q347&lt;&gt;""),IF($P347&lt;&gt;"",IF($Q347&lt;&gt;"",($P347+$Q347)/2,$P347),$Q347),ROUND(_xlfn.XLOOKUP($N347,Assumptions!$B$5:$B$9,Assumptions!$C$5:$C$9,0)*_xlfn.XLOOKUP($G347,Assumptions!$B$13:$B$26,Assumptions!$C$13:$C$26,0)*_xlfn.XLOOKUP($I347,Assumptions!$B$30:$B$50,Assumptions!$C$30:$C$50,0),0)))</f>
        <v/>
      </c>
      <c r="T347" s="16" t="str">
        <f>IF($C347&lt;&gt;"Organisation","",IF(OR($P347&lt;&gt;"",$Q347&lt;&gt;""),"Documented in source - midpoint of annual_intake_low/high",IF($I347="","No confirmed programme - modelled as zero",$N347&amp;" base x "&amp;TEXT(_xlfn.XLOOKUP($G347,Assumptions!$B$13:$B$26,Assumptions!$C$13:$C$26,0),"0.0#")&amp;" sector x "&amp;TEXT(_xlfn.XLOOKUP($I347,Assumptions!$B$30:$B$50,Assumptions!$C$30:$C$50,0),"0.0#")&amp;" mechanism")))</f>
        <v/>
      </c>
      <c r="W347" s="13" t="s">
        <v>99</v>
      </c>
      <c r="X347" s="13"/>
    </row>
    <row r="348" spans="1:24" x14ac:dyDescent="0.2">
      <c r="A348" s="13" t="s">
        <v>2952</v>
      </c>
      <c r="B348" s="13" t="s">
        <v>2953</v>
      </c>
      <c r="C348" s="13" t="s">
        <v>79</v>
      </c>
      <c r="D348" s="13" t="s">
        <v>2934</v>
      </c>
      <c r="E348" s="13" t="s">
        <v>2945</v>
      </c>
      <c r="F348" s="13" t="s">
        <v>2953</v>
      </c>
      <c r="K348" s="19"/>
      <c r="L348" s="17"/>
      <c r="M348" s="17"/>
      <c r="P348" s="16"/>
      <c r="Q348" s="16"/>
      <c r="R348" s="16"/>
      <c r="S348" s="21" t="str">
        <f>IF($C348&lt;&gt;"Organisation","",IF(OR($P348&lt;&gt;"",$Q348&lt;&gt;""),IF($P348&lt;&gt;"",IF($Q348&lt;&gt;"",($P348+$Q348)/2,$P348),$Q348),ROUND(_xlfn.XLOOKUP($N348,Assumptions!$B$5:$B$9,Assumptions!$C$5:$C$9,0)*_xlfn.XLOOKUP($G348,Assumptions!$B$13:$B$26,Assumptions!$C$13:$C$26,0)*_xlfn.XLOOKUP($I348,Assumptions!$B$30:$B$50,Assumptions!$C$30:$C$50,0),0)))</f>
        <v/>
      </c>
      <c r="T348" s="16" t="str">
        <f>IF($C348&lt;&gt;"Organisation","",IF(OR($P348&lt;&gt;"",$Q348&lt;&gt;""),"Documented in source - midpoint of annual_intake_low/high",IF($I348="","No confirmed programme - modelled as zero",$N348&amp;" base x "&amp;TEXT(_xlfn.XLOOKUP($G348,Assumptions!$B$13:$B$26,Assumptions!$C$13:$C$26,0),"0.0#")&amp;" sector x "&amp;TEXT(_xlfn.XLOOKUP($I348,Assumptions!$B$30:$B$50,Assumptions!$C$30:$C$50,0),"0.0#")&amp;" mechanism")))</f>
        <v/>
      </c>
      <c r="W348" s="13" t="s">
        <v>99</v>
      </c>
      <c r="X348" s="13"/>
    </row>
    <row r="349" spans="1:24" x14ac:dyDescent="0.2">
      <c r="A349" s="13" t="s">
        <v>2954</v>
      </c>
      <c r="B349" s="13" t="s">
        <v>2955</v>
      </c>
      <c r="C349" s="13" t="s">
        <v>79</v>
      </c>
      <c r="D349" s="13" t="s">
        <v>2934</v>
      </c>
      <c r="E349" s="13" t="s">
        <v>2945</v>
      </c>
      <c r="F349" s="13" t="s">
        <v>2955</v>
      </c>
      <c r="K349" s="19"/>
      <c r="L349" s="17"/>
      <c r="M349" s="17"/>
      <c r="P349" s="16"/>
      <c r="Q349" s="16"/>
      <c r="R349" s="16"/>
      <c r="S349" s="21" t="str">
        <f>IF($C349&lt;&gt;"Organisation","",IF(OR($P349&lt;&gt;"",$Q349&lt;&gt;""),IF($P349&lt;&gt;"",IF($Q349&lt;&gt;"",($P349+$Q349)/2,$P349),$Q349),ROUND(_xlfn.XLOOKUP($N349,Assumptions!$B$5:$B$9,Assumptions!$C$5:$C$9,0)*_xlfn.XLOOKUP($G349,Assumptions!$B$13:$B$26,Assumptions!$C$13:$C$26,0)*_xlfn.XLOOKUP($I349,Assumptions!$B$30:$B$50,Assumptions!$C$30:$C$50,0),0)))</f>
        <v/>
      </c>
      <c r="T349" s="16" t="str">
        <f>IF($C349&lt;&gt;"Organisation","",IF(OR($P349&lt;&gt;"",$Q349&lt;&gt;""),"Documented in source - midpoint of annual_intake_low/high",IF($I349="","No confirmed programme - modelled as zero",$N349&amp;" base x "&amp;TEXT(_xlfn.XLOOKUP($G349,Assumptions!$B$13:$B$26,Assumptions!$C$13:$C$26,0),"0.0#")&amp;" sector x "&amp;TEXT(_xlfn.XLOOKUP($I349,Assumptions!$B$30:$B$50,Assumptions!$C$30:$C$50,0),"0.0#")&amp;" mechanism")))</f>
        <v/>
      </c>
      <c r="W349" s="13" t="s">
        <v>80</v>
      </c>
      <c r="X349" s="13" t="s">
        <v>2956</v>
      </c>
    </row>
    <row r="350" spans="1:24" x14ac:dyDescent="0.2">
      <c r="A350" s="13" t="s">
        <v>2957</v>
      </c>
      <c r="B350" s="13" t="s">
        <v>2958</v>
      </c>
      <c r="C350" s="13" t="s">
        <v>79</v>
      </c>
      <c r="D350" s="13" t="s">
        <v>2937</v>
      </c>
      <c r="E350" s="13" t="s">
        <v>2947</v>
      </c>
      <c r="F350" s="13" t="s">
        <v>2958</v>
      </c>
      <c r="K350" s="19"/>
      <c r="L350" s="17"/>
      <c r="M350" s="17"/>
      <c r="P350" s="16"/>
      <c r="Q350" s="16"/>
      <c r="R350" s="16"/>
      <c r="S350" s="21" t="str">
        <f>IF($C350&lt;&gt;"Organisation","",IF(OR($P350&lt;&gt;"",$Q350&lt;&gt;""),IF($P350&lt;&gt;"",IF($Q350&lt;&gt;"",($P350+$Q350)/2,$P350),$Q350),ROUND(_xlfn.XLOOKUP($N350,Assumptions!$B$5:$B$9,Assumptions!$C$5:$C$9,0)*_xlfn.XLOOKUP($G350,Assumptions!$B$13:$B$26,Assumptions!$C$13:$C$26,0)*_xlfn.XLOOKUP($I350,Assumptions!$B$30:$B$50,Assumptions!$C$30:$C$50,0),0)))</f>
        <v/>
      </c>
      <c r="T350" s="16" t="str">
        <f>IF($C350&lt;&gt;"Organisation","",IF(OR($P350&lt;&gt;"",$Q350&lt;&gt;""),"Documented in source - midpoint of annual_intake_low/high",IF($I350="","No confirmed programme - modelled as zero",$N350&amp;" base x "&amp;TEXT(_xlfn.XLOOKUP($G350,Assumptions!$B$13:$B$26,Assumptions!$C$13:$C$26,0),"0.0#")&amp;" sector x "&amp;TEXT(_xlfn.XLOOKUP($I350,Assumptions!$B$30:$B$50,Assumptions!$C$30:$C$50,0),"0.0#")&amp;" mechanism")))</f>
        <v/>
      </c>
      <c r="W350" s="13" t="s">
        <v>99</v>
      </c>
      <c r="X350" s="13"/>
    </row>
    <row r="351" spans="1:24" x14ac:dyDescent="0.2">
      <c r="A351" s="13" t="s">
        <v>2959</v>
      </c>
      <c r="B351" s="13" t="s">
        <v>2960</v>
      </c>
      <c r="C351" s="13" t="s">
        <v>79</v>
      </c>
      <c r="D351" s="13" t="s">
        <v>2937</v>
      </c>
      <c r="E351" s="13" t="s">
        <v>2947</v>
      </c>
      <c r="F351" s="13" t="s">
        <v>2960</v>
      </c>
      <c r="K351" s="19"/>
      <c r="L351" s="17"/>
      <c r="M351" s="17"/>
      <c r="P351" s="16"/>
      <c r="Q351" s="16"/>
      <c r="R351" s="16"/>
      <c r="S351" s="21" t="str">
        <f>IF($C351&lt;&gt;"Organisation","",IF(OR($P351&lt;&gt;"",$Q351&lt;&gt;""),IF($P351&lt;&gt;"",IF($Q351&lt;&gt;"",($P351+$Q351)/2,$P351),$Q351),ROUND(_xlfn.XLOOKUP($N351,Assumptions!$B$5:$B$9,Assumptions!$C$5:$C$9,0)*_xlfn.XLOOKUP($G351,Assumptions!$B$13:$B$26,Assumptions!$C$13:$C$26,0)*_xlfn.XLOOKUP($I351,Assumptions!$B$30:$B$50,Assumptions!$C$30:$C$50,0),0)))</f>
        <v/>
      </c>
      <c r="T351" s="16" t="str">
        <f>IF($C351&lt;&gt;"Organisation","",IF(OR($P351&lt;&gt;"",$Q351&lt;&gt;""),"Documented in source - midpoint of annual_intake_low/high",IF($I351="","No confirmed programme - modelled as zero",$N351&amp;" base x "&amp;TEXT(_xlfn.XLOOKUP($G351,Assumptions!$B$13:$B$26,Assumptions!$C$13:$C$26,0),"0.0#")&amp;" sector x "&amp;TEXT(_xlfn.XLOOKUP($I351,Assumptions!$B$30:$B$50,Assumptions!$C$30:$C$50,0),"0.0#")&amp;" mechanism")))</f>
        <v/>
      </c>
      <c r="W351" s="13" t="s">
        <v>99</v>
      </c>
      <c r="X351" s="13" t="s">
        <v>2961</v>
      </c>
    </row>
    <row r="352" spans="1:24" x14ac:dyDescent="0.2">
      <c r="A352" s="13" t="s">
        <v>2962</v>
      </c>
      <c r="B352" s="13" t="s">
        <v>2963</v>
      </c>
      <c r="C352" s="13" t="s">
        <v>79</v>
      </c>
      <c r="D352" s="13" t="s">
        <v>2939</v>
      </c>
      <c r="E352" s="13" t="s">
        <v>2939</v>
      </c>
      <c r="F352" s="13" t="s">
        <v>2963</v>
      </c>
      <c r="K352" s="19"/>
      <c r="L352" s="17"/>
      <c r="M352" s="17"/>
      <c r="P352" s="16"/>
      <c r="Q352" s="16"/>
      <c r="R352" s="16"/>
      <c r="S352" s="21" t="str">
        <f>IF($C352&lt;&gt;"Organisation","",IF(OR($P352&lt;&gt;"",$Q352&lt;&gt;""),IF($P352&lt;&gt;"",IF($Q352&lt;&gt;"",($P352+$Q352)/2,$P352),$Q352),ROUND(_xlfn.XLOOKUP($N352,Assumptions!$B$5:$B$9,Assumptions!$C$5:$C$9,0)*_xlfn.XLOOKUP($G352,Assumptions!$B$13:$B$26,Assumptions!$C$13:$C$26,0)*_xlfn.XLOOKUP($I352,Assumptions!$B$30:$B$50,Assumptions!$C$30:$C$50,0),0)))</f>
        <v/>
      </c>
      <c r="T352" s="16" t="str">
        <f>IF($C352&lt;&gt;"Organisation","",IF(OR($P352&lt;&gt;"",$Q352&lt;&gt;""),"Documented in source - midpoint of annual_intake_low/high",IF($I352="","No confirmed programme - modelled as zero",$N352&amp;" base x "&amp;TEXT(_xlfn.XLOOKUP($G352,Assumptions!$B$13:$B$26,Assumptions!$C$13:$C$26,0),"0.0#")&amp;" sector x "&amp;TEXT(_xlfn.XLOOKUP($I352,Assumptions!$B$30:$B$50,Assumptions!$C$30:$C$50,0),"0.0#")&amp;" mechanism")))</f>
        <v/>
      </c>
      <c r="W352" s="13" t="s">
        <v>99</v>
      </c>
      <c r="X352" s="13"/>
    </row>
    <row r="353" spans="1:24" x14ac:dyDescent="0.2">
      <c r="A353" s="13" t="s">
        <v>2964</v>
      </c>
      <c r="B353" s="13" t="s">
        <v>2965</v>
      </c>
      <c r="C353" s="13" t="s">
        <v>79</v>
      </c>
      <c r="D353" s="13" t="s">
        <v>2939</v>
      </c>
      <c r="E353" s="13" t="s">
        <v>2939</v>
      </c>
      <c r="F353" s="13" t="s">
        <v>2965</v>
      </c>
      <c r="K353" s="19"/>
      <c r="L353" s="17"/>
      <c r="M353" s="17"/>
      <c r="P353" s="16"/>
      <c r="Q353" s="16"/>
      <c r="R353" s="16"/>
      <c r="S353" s="21" t="str">
        <f>IF($C353&lt;&gt;"Organisation","",IF(OR($P353&lt;&gt;"",$Q353&lt;&gt;""),IF($P353&lt;&gt;"",IF($Q353&lt;&gt;"",($P353+$Q353)/2,$P353),$Q353),ROUND(_xlfn.XLOOKUP($N353,Assumptions!$B$5:$B$9,Assumptions!$C$5:$C$9,0)*_xlfn.XLOOKUP($G353,Assumptions!$B$13:$B$26,Assumptions!$C$13:$C$26,0)*_xlfn.XLOOKUP($I353,Assumptions!$B$30:$B$50,Assumptions!$C$30:$C$50,0),0)))</f>
        <v/>
      </c>
      <c r="T353" s="16" t="str">
        <f>IF($C353&lt;&gt;"Organisation","",IF(OR($P353&lt;&gt;"",$Q353&lt;&gt;""),"Documented in source - midpoint of annual_intake_low/high",IF($I353="","No confirmed programme - modelled as zero",$N353&amp;" base x "&amp;TEXT(_xlfn.XLOOKUP($G353,Assumptions!$B$13:$B$26,Assumptions!$C$13:$C$26,0),"0.0#")&amp;" sector x "&amp;TEXT(_xlfn.XLOOKUP($I353,Assumptions!$B$30:$B$50,Assumptions!$C$30:$C$50,0),"0.0#")&amp;" mechanism")))</f>
        <v/>
      </c>
      <c r="W353" s="13" t="s">
        <v>80</v>
      </c>
      <c r="X353" s="13" t="s">
        <v>2966</v>
      </c>
    </row>
    <row r="354" spans="1:24" x14ac:dyDescent="0.2">
      <c r="A354" s="13" t="s">
        <v>2990</v>
      </c>
      <c r="B354" s="13" t="s">
        <v>2991</v>
      </c>
      <c r="C354" s="13" t="s">
        <v>205</v>
      </c>
      <c r="D354" s="13" t="s">
        <v>2934</v>
      </c>
      <c r="E354" s="13" t="s">
        <v>2941</v>
      </c>
      <c r="F354" s="13" t="s">
        <v>2941</v>
      </c>
      <c r="G354" s="13" t="s">
        <v>170</v>
      </c>
      <c r="H354" s="13" t="s">
        <v>2992</v>
      </c>
      <c r="I354" s="13" t="s">
        <v>2980</v>
      </c>
      <c r="J354" s="13" t="s">
        <v>2993</v>
      </c>
      <c r="K354" s="19">
        <v>24</v>
      </c>
      <c r="L354" s="17"/>
      <c r="M354" s="17"/>
      <c r="N354" s="13" t="s">
        <v>218</v>
      </c>
      <c r="O354" s="13" t="s">
        <v>209</v>
      </c>
      <c r="P354" s="16"/>
      <c r="Q354" s="16"/>
      <c r="R354" s="16"/>
      <c r="S354" s="21">
        <f>IF($C354&lt;&gt;"Organisation","",IF(OR($P354&lt;&gt;"",$Q354&lt;&gt;""),IF($P354&lt;&gt;"",IF($Q354&lt;&gt;"",($P354+$Q354)/2,$P354),$Q354),ROUND(_xlfn.XLOOKUP($N354,Assumptions!$B$5:$B$9,Assumptions!$C$5:$C$9,0)*_xlfn.XLOOKUP($G354,Assumptions!$B$13:$B$26,Assumptions!$C$13:$C$26,0)*_xlfn.XLOOKUP($I354,Assumptions!$B$30:$B$50,Assumptions!$C$30:$C$50,0),0)))</f>
        <v>400</v>
      </c>
      <c r="T354" s="16" t="str">
        <f>IF($C354&lt;&gt;"Organisation","",IF(OR($P354&lt;&gt;"",$Q354&lt;&gt;""),"Documented in source - midpoint of annual_intake_low/high",IF($I354="","No confirmed programme - modelled as zero",$N354&amp;" base x "&amp;TEXT(_xlfn.XLOOKUP($G354,Assumptions!$B$13:$B$26,Assumptions!$C$13:$C$26,0),"0.0#")&amp;" sector x "&amp;TEXT(_xlfn.XLOOKUP($I354,Assumptions!$B$30:$B$50,Assumptions!$C$30:$C$50,0),"0.0#")&amp;" mechanism")))</f>
        <v>Mega base x 1.0 sector x 1.0 mechanism</v>
      </c>
      <c r="U354" s="13" t="s">
        <v>210</v>
      </c>
      <c r="V354" s="13" t="s">
        <v>211</v>
      </c>
      <c r="W354" s="13" t="s">
        <v>99</v>
      </c>
      <c r="X354" s="13" t="s">
        <v>2994</v>
      </c>
    </row>
    <row r="355" spans="1:24" x14ac:dyDescent="0.2">
      <c r="A355" s="13" t="s">
        <v>2995</v>
      </c>
      <c r="B355" s="13" t="s">
        <v>2996</v>
      </c>
      <c r="C355" s="13" t="s">
        <v>205</v>
      </c>
      <c r="D355" s="13" t="s">
        <v>2934</v>
      </c>
      <c r="E355" s="13" t="s">
        <v>2941</v>
      </c>
      <c r="F355" s="13" t="s">
        <v>2941</v>
      </c>
      <c r="G355" s="13" t="s">
        <v>170</v>
      </c>
      <c r="H355" s="13" t="s">
        <v>2992</v>
      </c>
      <c r="I355" s="13" t="s">
        <v>2980</v>
      </c>
      <c r="J355" s="13" t="s">
        <v>2997</v>
      </c>
      <c r="K355" s="19">
        <v>24</v>
      </c>
      <c r="L355" s="17"/>
      <c r="M355" s="17"/>
      <c r="N355" s="13" t="s">
        <v>218</v>
      </c>
      <c r="O355" s="13" t="s">
        <v>209</v>
      </c>
      <c r="P355" s="16"/>
      <c r="Q355" s="16"/>
      <c r="R355" s="16"/>
      <c r="S355" s="21">
        <f>IF($C355&lt;&gt;"Organisation","",IF(OR($P355&lt;&gt;"",$Q355&lt;&gt;""),IF($P355&lt;&gt;"",IF($Q355&lt;&gt;"",($P355+$Q355)/2,$P355),$Q355),ROUND(_xlfn.XLOOKUP($N355,Assumptions!$B$5:$B$9,Assumptions!$C$5:$C$9,0)*_xlfn.XLOOKUP($G355,Assumptions!$B$13:$B$26,Assumptions!$C$13:$C$26,0)*_xlfn.XLOOKUP($I355,Assumptions!$B$30:$B$50,Assumptions!$C$30:$C$50,0),0)))</f>
        <v>400</v>
      </c>
      <c r="T355" s="16" t="str">
        <f>IF($C355&lt;&gt;"Organisation","",IF(OR($P355&lt;&gt;"",$Q355&lt;&gt;""),"Documented in source - midpoint of annual_intake_low/high",IF($I355="","No confirmed programme - modelled as zero",$N355&amp;" base x "&amp;TEXT(_xlfn.XLOOKUP($G355,Assumptions!$B$13:$B$26,Assumptions!$C$13:$C$26,0),"0.0#")&amp;" sector x "&amp;TEXT(_xlfn.XLOOKUP($I355,Assumptions!$B$30:$B$50,Assumptions!$C$30:$C$50,0),"0.0#")&amp;" mechanism")))</f>
        <v>Mega base x 1.0 sector x 1.0 mechanism</v>
      </c>
      <c r="U355" s="13" t="s">
        <v>222</v>
      </c>
      <c r="V355" s="13" t="s">
        <v>223</v>
      </c>
      <c r="W355" s="13" t="s">
        <v>99</v>
      </c>
      <c r="X355" s="13" t="s">
        <v>2998</v>
      </c>
    </row>
    <row r="356" spans="1:24" x14ac:dyDescent="0.2">
      <c r="A356" s="13" t="s">
        <v>2999</v>
      </c>
      <c r="B356" s="13" t="s">
        <v>3000</v>
      </c>
      <c r="C356" s="13" t="s">
        <v>205</v>
      </c>
      <c r="D356" s="13" t="s">
        <v>2934</v>
      </c>
      <c r="E356" s="13" t="s">
        <v>2941</v>
      </c>
      <c r="F356" s="13" t="s">
        <v>2941</v>
      </c>
      <c r="G356" s="13" t="s">
        <v>170</v>
      </c>
      <c r="H356" s="13" t="s">
        <v>2992</v>
      </c>
      <c r="I356" s="13" t="s">
        <v>2980</v>
      </c>
      <c r="J356" s="13" t="s">
        <v>3001</v>
      </c>
      <c r="K356" s="19"/>
      <c r="L356" s="17"/>
      <c r="M356" s="17"/>
      <c r="N356" s="13" t="s">
        <v>218</v>
      </c>
      <c r="O356" s="13" t="s">
        <v>209</v>
      </c>
      <c r="P356" s="16"/>
      <c r="Q356" s="16"/>
      <c r="R356" s="16"/>
      <c r="S356" s="21">
        <f>IF($C356&lt;&gt;"Organisation","",IF(OR($P356&lt;&gt;"",$Q356&lt;&gt;""),IF($P356&lt;&gt;"",IF($Q356&lt;&gt;"",($P356+$Q356)/2,$P356),$Q356),ROUND(_xlfn.XLOOKUP($N356,Assumptions!$B$5:$B$9,Assumptions!$C$5:$C$9,0)*_xlfn.XLOOKUP($G356,Assumptions!$B$13:$B$26,Assumptions!$C$13:$C$26,0)*_xlfn.XLOOKUP($I356,Assumptions!$B$30:$B$50,Assumptions!$C$30:$C$50,0),0)))</f>
        <v>400</v>
      </c>
      <c r="T356" s="16" t="str">
        <f>IF($C356&lt;&gt;"Organisation","",IF(OR($P356&lt;&gt;"",$Q356&lt;&gt;""),"Documented in source - midpoint of annual_intake_low/high",IF($I356="","No confirmed programme - modelled as zero",$N356&amp;" base x "&amp;TEXT(_xlfn.XLOOKUP($G356,Assumptions!$B$13:$B$26,Assumptions!$C$13:$C$26,0),"0.0#")&amp;" sector x "&amp;TEXT(_xlfn.XLOOKUP($I356,Assumptions!$B$30:$B$50,Assumptions!$C$30:$C$50,0),"0.0#")&amp;" mechanism")))</f>
        <v>Mega base x 1.0 sector x 1.0 mechanism</v>
      </c>
      <c r="U356" s="13" t="s">
        <v>230</v>
      </c>
      <c r="V356" s="13" t="s">
        <v>231</v>
      </c>
      <c r="W356" s="13" t="s">
        <v>99</v>
      </c>
      <c r="X356" s="13"/>
    </row>
    <row r="357" spans="1:24" x14ac:dyDescent="0.2">
      <c r="A357" s="13" t="s">
        <v>3002</v>
      </c>
      <c r="B357" s="13" t="s">
        <v>3003</v>
      </c>
      <c r="C357" s="13" t="s">
        <v>205</v>
      </c>
      <c r="D357" s="13" t="s">
        <v>2934</v>
      </c>
      <c r="E357" s="13" t="s">
        <v>2941</v>
      </c>
      <c r="F357" s="13" t="s">
        <v>2941</v>
      </c>
      <c r="G357" s="13" t="s">
        <v>174</v>
      </c>
      <c r="H357" s="13" t="s">
        <v>3004</v>
      </c>
      <c r="I357" s="13" t="s">
        <v>2980</v>
      </c>
      <c r="J357" s="13" t="s">
        <v>3005</v>
      </c>
      <c r="K357" s="19"/>
      <c r="L357" s="17"/>
      <c r="M357" s="17"/>
      <c r="N357" s="13" t="s">
        <v>244</v>
      </c>
      <c r="O357" s="13" t="s">
        <v>209</v>
      </c>
      <c r="P357" s="16"/>
      <c r="Q357" s="16"/>
      <c r="R357" s="16"/>
      <c r="S357" s="21">
        <f>IF($C357&lt;&gt;"Organisation","",IF(OR($P357&lt;&gt;"",$Q357&lt;&gt;""),IF($P357&lt;&gt;"",IF($Q357&lt;&gt;"",($P357+$Q357)/2,$P357),$Q357),ROUND(_xlfn.XLOOKUP($N357,Assumptions!$B$5:$B$9,Assumptions!$C$5:$C$9,0)*_xlfn.XLOOKUP($G357,Assumptions!$B$13:$B$26,Assumptions!$C$13:$C$26,0)*_xlfn.XLOOKUP($I357,Assumptions!$B$30:$B$50,Assumptions!$C$30:$C$50,0),0)))</f>
        <v>24</v>
      </c>
      <c r="T357" s="16" t="str">
        <f>IF($C357&lt;&gt;"Organisation","",IF(OR($P357&lt;&gt;"",$Q357&lt;&gt;""),"Documented in source - midpoint of annual_intake_low/high",IF($I357="","No confirmed programme - modelled as zero",$N357&amp;" base x "&amp;TEXT(_xlfn.XLOOKUP($G357,Assumptions!$B$13:$B$26,Assumptions!$C$13:$C$26,0),"0.0#")&amp;" sector x "&amp;TEXT(_xlfn.XLOOKUP($I357,Assumptions!$B$30:$B$50,Assumptions!$C$30:$C$50,0),"0.0#")&amp;" mechanism")))</f>
        <v>Mid base x 0.8 sector x 1.0 mechanism</v>
      </c>
      <c r="U357" s="13" t="s">
        <v>230</v>
      </c>
      <c r="V357" s="13" t="s">
        <v>231</v>
      </c>
      <c r="W357" s="13" t="s">
        <v>99</v>
      </c>
      <c r="X357" s="13" t="s">
        <v>3006</v>
      </c>
    </row>
    <row r="358" spans="1:24" x14ac:dyDescent="0.2">
      <c r="A358" s="13" t="s">
        <v>3007</v>
      </c>
      <c r="B358" s="13" t="s">
        <v>3008</v>
      </c>
      <c r="C358" s="13" t="s">
        <v>205</v>
      </c>
      <c r="D358" s="13" t="s">
        <v>2934</v>
      </c>
      <c r="E358" s="13" t="s">
        <v>2941</v>
      </c>
      <c r="F358" s="13" t="s">
        <v>2941</v>
      </c>
      <c r="G358" s="13" t="s">
        <v>174</v>
      </c>
      <c r="H358" s="13" t="s">
        <v>3009</v>
      </c>
      <c r="I358" s="13" t="s">
        <v>2980</v>
      </c>
      <c r="J358" s="13" t="s">
        <v>3010</v>
      </c>
      <c r="K358" s="19"/>
      <c r="L358" s="17"/>
      <c r="M358" s="17"/>
      <c r="N358" s="13" t="s">
        <v>244</v>
      </c>
      <c r="O358" s="13" t="s">
        <v>209</v>
      </c>
      <c r="P358" s="16"/>
      <c r="Q358" s="16"/>
      <c r="R358" s="16"/>
      <c r="S358" s="21">
        <f>IF($C358&lt;&gt;"Organisation","",IF(OR($P358&lt;&gt;"",$Q358&lt;&gt;""),IF($P358&lt;&gt;"",IF($Q358&lt;&gt;"",($P358+$Q358)/2,$P358),$Q358),ROUND(_xlfn.XLOOKUP($N358,Assumptions!$B$5:$B$9,Assumptions!$C$5:$C$9,0)*_xlfn.XLOOKUP($G358,Assumptions!$B$13:$B$26,Assumptions!$C$13:$C$26,0)*_xlfn.XLOOKUP($I358,Assumptions!$B$30:$B$50,Assumptions!$C$30:$C$50,0),0)))</f>
        <v>24</v>
      </c>
      <c r="T358" s="16" t="str">
        <f>IF($C358&lt;&gt;"Organisation","",IF(OR($P358&lt;&gt;"",$Q358&lt;&gt;""),"Documented in source - midpoint of annual_intake_low/high",IF($I358="","No confirmed programme - modelled as zero",$N358&amp;" base x "&amp;TEXT(_xlfn.XLOOKUP($G358,Assumptions!$B$13:$B$26,Assumptions!$C$13:$C$26,0),"0.0#")&amp;" sector x "&amp;TEXT(_xlfn.XLOOKUP($I358,Assumptions!$B$30:$B$50,Assumptions!$C$30:$C$50,0),"0.0#")&amp;" mechanism")))</f>
        <v>Mid base x 0.8 sector x 1.0 mechanism</v>
      </c>
      <c r="U358" s="13" t="s">
        <v>230</v>
      </c>
      <c r="V358" s="13" t="s">
        <v>231</v>
      </c>
      <c r="W358" s="13" t="s">
        <v>99</v>
      </c>
      <c r="X358" s="13"/>
    </row>
    <row r="359" spans="1:24" x14ac:dyDescent="0.2">
      <c r="A359" s="13" t="s">
        <v>3011</v>
      </c>
      <c r="B359" s="13" t="s">
        <v>3012</v>
      </c>
      <c r="C359" s="13" t="s">
        <v>205</v>
      </c>
      <c r="D359" s="13" t="s">
        <v>2934</v>
      </c>
      <c r="E359" s="13" t="s">
        <v>2941</v>
      </c>
      <c r="F359" s="13" t="s">
        <v>2941</v>
      </c>
      <c r="G359" s="13" t="s">
        <v>186</v>
      </c>
      <c r="H359" s="13" t="s">
        <v>3013</v>
      </c>
      <c r="I359" s="13" t="s">
        <v>2980</v>
      </c>
      <c r="J359" s="13" t="s">
        <v>3014</v>
      </c>
      <c r="K359" s="19"/>
      <c r="L359" s="17"/>
      <c r="M359" s="17"/>
      <c r="N359" s="13" t="s">
        <v>244</v>
      </c>
      <c r="O359" s="13" t="s">
        <v>209</v>
      </c>
      <c r="P359" s="16"/>
      <c r="Q359" s="16"/>
      <c r="R359" s="16"/>
      <c r="S359" s="21">
        <f>IF($C359&lt;&gt;"Organisation","",IF(OR($P359&lt;&gt;"",$Q359&lt;&gt;""),IF($P359&lt;&gt;"",IF($Q359&lt;&gt;"",($P359+$Q359)/2,$P359),$Q359),ROUND(_xlfn.XLOOKUP($N359,Assumptions!$B$5:$B$9,Assumptions!$C$5:$C$9,0)*_xlfn.XLOOKUP($G359,Assumptions!$B$13:$B$26,Assumptions!$C$13:$C$26,0)*_xlfn.XLOOKUP($I359,Assumptions!$B$30:$B$50,Assumptions!$C$30:$C$50,0),0)))</f>
        <v>30</v>
      </c>
      <c r="T359" s="16" t="str">
        <f>IF($C359&lt;&gt;"Organisation","",IF(OR($P359&lt;&gt;"",$Q359&lt;&gt;""),"Documented in source - midpoint of annual_intake_low/high",IF($I359="","No confirmed programme - modelled as zero",$N359&amp;" base x "&amp;TEXT(_xlfn.XLOOKUP($G359,Assumptions!$B$13:$B$26,Assumptions!$C$13:$C$26,0),"0.0#")&amp;" sector x "&amp;TEXT(_xlfn.XLOOKUP($I359,Assumptions!$B$30:$B$50,Assumptions!$C$30:$C$50,0),"0.0#")&amp;" mechanism")))</f>
        <v>Mid base x 1.0 sector x 1.0 mechanism</v>
      </c>
      <c r="U359" s="13" t="s">
        <v>230</v>
      </c>
      <c r="V359" s="13" t="s">
        <v>231</v>
      </c>
      <c r="W359" s="13" t="s">
        <v>99</v>
      </c>
      <c r="X359" s="13" t="s">
        <v>3015</v>
      </c>
    </row>
    <row r="360" spans="1:24" x14ac:dyDescent="0.2">
      <c r="A360" s="13" t="s">
        <v>3016</v>
      </c>
      <c r="B360" s="13" t="s">
        <v>3017</v>
      </c>
      <c r="C360" s="13" t="s">
        <v>205</v>
      </c>
      <c r="D360" s="13" t="s">
        <v>2934</v>
      </c>
      <c r="E360" s="13" t="s">
        <v>2941</v>
      </c>
      <c r="F360" s="13" t="s">
        <v>2941</v>
      </c>
      <c r="G360" s="13" t="s">
        <v>178</v>
      </c>
      <c r="H360" s="13" t="s">
        <v>3018</v>
      </c>
      <c r="I360" s="13" t="s">
        <v>2980</v>
      </c>
      <c r="J360" s="13" t="s">
        <v>394</v>
      </c>
      <c r="K360" s="19"/>
      <c r="L360" s="17"/>
      <c r="M360" s="17"/>
      <c r="N360" s="13" t="s">
        <v>244</v>
      </c>
      <c r="O360" s="13" t="s">
        <v>209</v>
      </c>
      <c r="P360" s="16"/>
      <c r="Q360" s="16"/>
      <c r="R360" s="16"/>
      <c r="S360" s="21">
        <f>IF($C360&lt;&gt;"Organisation","",IF(OR($P360&lt;&gt;"",$Q360&lt;&gt;""),IF($P360&lt;&gt;"",IF($Q360&lt;&gt;"",($P360+$Q360)/2,$P360),$Q360),ROUND(_xlfn.XLOOKUP($N360,Assumptions!$B$5:$B$9,Assumptions!$C$5:$C$9,0)*_xlfn.XLOOKUP($G360,Assumptions!$B$13:$B$26,Assumptions!$C$13:$C$26,0)*_xlfn.XLOOKUP($I360,Assumptions!$B$30:$B$50,Assumptions!$C$30:$C$50,0),0)))</f>
        <v>45</v>
      </c>
      <c r="T360" s="16" t="str">
        <f>IF($C360&lt;&gt;"Organisation","",IF(OR($P360&lt;&gt;"",$Q360&lt;&gt;""),"Documented in source - midpoint of annual_intake_low/high",IF($I360="","No confirmed programme - modelled as zero",$N360&amp;" base x "&amp;TEXT(_xlfn.XLOOKUP($G360,Assumptions!$B$13:$B$26,Assumptions!$C$13:$C$26,0),"0.0#")&amp;" sector x "&amp;TEXT(_xlfn.XLOOKUP($I360,Assumptions!$B$30:$B$50,Assumptions!$C$30:$C$50,0),"0.0#")&amp;" mechanism")))</f>
        <v>Mid base x 1.5 sector x 1.0 mechanism</v>
      </c>
      <c r="U360" s="13" t="s">
        <v>230</v>
      </c>
      <c r="V360" s="13" t="s">
        <v>231</v>
      </c>
      <c r="W360" s="13" t="s">
        <v>99</v>
      </c>
      <c r="X360" s="13"/>
    </row>
    <row r="361" spans="1:24" x14ac:dyDescent="0.2">
      <c r="A361" s="13" t="s">
        <v>3019</v>
      </c>
      <c r="B361" s="13" t="s">
        <v>3020</v>
      </c>
      <c r="C361" s="13" t="s">
        <v>205</v>
      </c>
      <c r="D361" s="13" t="s">
        <v>2934</v>
      </c>
      <c r="E361" s="13" t="s">
        <v>2941</v>
      </c>
      <c r="F361" s="13" t="s">
        <v>2941</v>
      </c>
      <c r="G361" s="13" t="s">
        <v>176</v>
      </c>
      <c r="H361" s="13" t="s">
        <v>740</v>
      </c>
      <c r="I361" s="13" t="s">
        <v>2980</v>
      </c>
      <c r="J361" s="13" t="s">
        <v>3021</v>
      </c>
      <c r="K361" s="19"/>
      <c r="L361" s="17"/>
      <c r="M361" s="17"/>
      <c r="N361" s="13" t="s">
        <v>208</v>
      </c>
      <c r="O361" s="13" t="s">
        <v>209</v>
      </c>
      <c r="P361" s="16"/>
      <c r="Q361" s="16"/>
      <c r="R361" s="16"/>
      <c r="S361" s="21">
        <f>IF($C361&lt;&gt;"Organisation","",IF(OR($P361&lt;&gt;"",$Q361&lt;&gt;""),IF($P361&lt;&gt;"",IF($Q361&lt;&gt;"",($P361+$Q361)/2,$P361),$Q361),ROUND(_xlfn.XLOOKUP($N361,Assumptions!$B$5:$B$9,Assumptions!$C$5:$C$9,0)*_xlfn.XLOOKUP($G361,Assumptions!$B$13:$B$26,Assumptions!$C$13:$C$26,0)*_xlfn.XLOOKUP($I361,Assumptions!$B$30:$B$50,Assumptions!$C$30:$C$50,0),0)))</f>
        <v>120</v>
      </c>
      <c r="T361" s="16" t="str">
        <f>IF($C361&lt;&gt;"Organisation","",IF(OR($P361&lt;&gt;"",$Q361&lt;&gt;""),"Documented in source - midpoint of annual_intake_low/high",IF($I361="","No confirmed programme - modelled as zero",$N361&amp;" base x "&amp;TEXT(_xlfn.XLOOKUP($G361,Assumptions!$B$13:$B$26,Assumptions!$C$13:$C$26,0),"0.0#")&amp;" sector x "&amp;TEXT(_xlfn.XLOOKUP($I361,Assumptions!$B$30:$B$50,Assumptions!$C$30:$C$50,0),"0.0#")&amp;" mechanism")))</f>
        <v>Large base x 1.0 sector x 1.0 mechanism</v>
      </c>
      <c r="U361" s="13" t="s">
        <v>230</v>
      </c>
      <c r="V361" s="13" t="s">
        <v>231</v>
      </c>
      <c r="W361" s="13" t="s">
        <v>99</v>
      </c>
      <c r="X361" s="13"/>
    </row>
    <row r="362" spans="1:24" x14ac:dyDescent="0.2">
      <c r="A362" s="13" t="s">
        <v>3022</v>
      </c>
      <c r="B362" s="13" t="s">
        <v>3023</v>
      </c>
      <c r="C362" s="13" t="s">
        <v>205</v>
      </c>
      <c r="D362" s="13" t="s">
        <v>2934</v>
      </c>
      <c r="E362" s="13" t="s">
        <v>2941</v>
      </c>
      <c r="F362" s="13" t="s">
        <v>2941</v>
      </c>
      <c r="G362" s="13" t="s">
        <v>176</v>
      </c>
      <c r="H362" s="13" t="s">
        <v>740</v>
      </c>
      <c r="I362" s="13" t="s">
        <v>2980</v>
      </c>
      <c r="J362" s="13" t="s">
        <v>3024</v>
      </c>
      <c r="K362" s="19"/>
      <c r="L362" s="17"/>
      <c r="M362" s="17"/>
      <c r="N362" s="13" t="s">
        <v>244</v>
      </c>
      <c r="O362" s="13" t="s">
        <v>209</v>
      </c>
      <c r="P362" s="16"/>
      <c r="Q362" s="16"/>
      <c r="R362" s="16"/>
      <c r="S362" s="21">
        <f>IF($C362&lt;&gt;"Organisation","",IF(OR($P362&lt;&gt;"",$Q362&lt;&gt;""),IF($P362&lt;&gt;"",IF($Q362&lt;&gt;"",($P362+$Q362)/2,$P362),$Q362),ROUND(_xlfn.XLOOKUP($N362,Assumptions!$B$5:$B$9,Assumptions!$C$5:$C$9,0)*_xlfn.XLOOKUP($G362,Assumptions!$B$13:$B$26,Assumptions!$C$13:$C$26,0)*_xlfn.XLOOKUP($I362,Assumptions!$B$30:$B$50,Assumptions!$C$30:$C$50,0),0)))</f>
        <v>30</v>
      </c>
      <c r="T362" s="16" t="str">
        <f>IF($C362&lt;&gt;"Organisation","",IF(OR($P362&lt;&gt;"",$Q362&lt;&gt;""),"Documented in source - midpoint of annual_intake_low/high",IF($I362="","No confirmed programme - modelled as zero",$N362&amp;" base x "&amp;TEXT(_xlfn.XLOOKUP($G362,Assumptions!$B$13:$B$26,Assumptions!$C$13:$C$26,0),"0.0#")&amp;" sector x "&amp;TEXT(_xlfn.XLOOKUP($I362,Assumptions!$B$30:$B$50,Assumptions!$C$30:$C$50,0),"0.0#")&amp;" mechanism")))</f>
        <v>Mid base x 1.0 sector x 1.0 mechanism</v>
      </c>
      <c r="U362" s="13" t="s">
        <v>230</v>
      </c>
      <c r="V362" s="13" t="s">
        <v>231</v>
      </c>
      <c r="W362" s="13" t="s">
        <v>99</v>
      </c>
      <c r="X362" s="13"/>
    </row>
    <row r="363" spans="1:24" x14ac:dyDescent="0.2">
      <c r="A363" s="13" t="s">
        <v>3025</v>
      </c>
      <c r="B363" s="13" t="s">
        <v>3026</v>
      </c>
      <c r="C363" s="13" t="s">
        <v>205</v>
      </c>
      <c r="D363" s="13" t="s">
        <v>2934</v>
      </c>
      <c r="E363" s="13" t="s">
        <v>2943</v>
      </c>
      <c r="F363" s="13" t="s">
        <v>2951</v>
      </c>
      <c r="G363" s="13" t="s">
        <v>170</v>
      </c>
      <c r="H363" s="13" t="s">
        <v>3027</v>
      </c>
      <c r="I363" s="13" t="s">
        <v>2982</v>
      </c>
      <c r="J363" s="13" t="s">
        <v>3028</v>
      </c>
      <c r="K363" s="19"/>
      <c r="L363" s="17"/>
      <c r="M363" s="17"/>
      <c r="N363" s="13" t="s">
        <v>218</v>
      </c>
      <c r="O363" s="13" t="s">
        <v>209</v>
      </c>
      <c r="P363" s="16"/>
      <c r="Q363" s="16"/>
      <c r="R363" s="16"/>
      <c r="S363" s="21">
        <f>IF($C363&lt;&gt;"Organisation","",IF(OR($P363&lt;&gt;"",$Q363&lt;&gt;""),IF($P363&lt;&gt;"",IF($Q363&lt;&gt;"",($P363+$Q363)/2,$P363),$Q363),ROUND(_xlfn.XLOOKUP($N363,Assumptions!$B$5:$B$9,Assumptions!$C$5:$C$9,0)*_xlfn.XLOOKUP($G363,Assumptions!$B$13:$B$26,Assumptions!$C$13:$C$26,0)*_xlfn.XLOOKUP($I363,Assumptions!$B$30:$B$50,Assumptions!$C$30:$C$50,0),0)))</f>
        <v>800</v>
      </c>
      <c r="T363" s="16" t="str">
        <f>IF($C363&lt;&gt;"Organisation","",IF(OR($P363&lt;&gt;"",$Q363&lt;&gt;""),"Documented in source - midpoint of annual_intake_low/high",IF($I363="","No confirmed programme - modelled as zero",$N363&amp;" base x "&amp;TEXT(_xlfn.XLOOKUP($G363,Assumptions!$B$13:$B$26,Assumptions!$C$13:$C$26,0),"0.0#")&amp;" sector x "&amp;TEXT(_xlfn.XLOOKUP($I363,Assumptions!$B$30:$B$50,Assumptions!$C$30:$C$50,0),"0.0#")&amp;" mechanism")))</f>
        <v>Mega base x 1.0 sector x 2.0 mechanism</v>
      </c>
      <c r="U363" s="13" t="s">
        <v>230</v>
      </c>
      <c r="V363" s="13" t="s">
        <v>231</v>
      </c>
      <c r="W363" s="13" t="s">
        <v>99</v>
      </c>
      <c r="X363" s="13" t="s">
        <v>3029</v>
      </c>
    </row>
    <row r="364" spans="1:24" x14ac:dyDescent="0.2">
      <c r="A364" s="13" t="s">
        <v>3030</v>
      </c>
      <c r="B364" s="13" t="s">
        <v>3031</v>
      </c>
      <c r="C364" s="13" t="s">
        <v>205</v>
      </c>
      <c r="D364" s="13" t="s">
        <v>2934</v>
      </c>
      <c r="E364" s="13" t="s">
        <v>2943</v>
      </c>
      <c r="F364" s="13" t="s">
        <v>2951</v>
      </c>
      <c r="G364" s="13" t="s">
        <v>170</v>
      </c>
      <c r="H364" s="13" t="s">
        <v>3027</v>
      </c>
      <c r="I364" s="13" t="s">
        <v>2982</v>
      </c>
      <c r="J364" s="13" t="s">
        <v>3028</v>
      </c>
      <c r="K364" s="19"/>
      <c r="L364" s="17"/>
      <c r="M364" s="17"/>
      <c r="N364" s="13" t="s">
        <v>218</v>
      </c>
      <c r="O364" s="13" t="s">
        <v>209</v>
      </c>
      <c r="P364" s="16"/>
      <c r="Q364" s="16"/>
      <c r="R364" s="16"/>
      <c r="S364" s="21">
        <f>IF($C364&lt;&gt;"Organisation","",IF(OR($P364&lt;&gt;"",$Q364&lt;&gt;""),IF($P364&lt;&gt;"",IF($Q364&lt;&gt;"",($P364+$Q364)/2,$P364),$Q364),ROUND(_xlfn.XLOOKUP($N364,Assumptions!$B$5:$B$9,Assumptions!$C$5:$C$9,0)*_xlfn.XLOOKUP($G364,Assumptions!$B$13:$B$26,Assumptions!$C$13:$C$26,0)*_xlfn.XLOOKUP($I364,Assumptions!$B$30:$B$50,Assumptions!$C$30:$C$50,0),0)))</f>
        <v>800</v>
      </c>
      <c r="T364" s="16" t="str">
        <f>IF($C364&lt;&gt;"Organisation","",IF(OR($P364&lt;&gt;"",$Q364&lt;&gt;""),"Documented in source - midpoint of annual_intake_low/high",IF($I364="","No confirmed programme - modelled as zero",$N364&amp;" base x "&amp;TEXT(_xlfn.XLOOKUP($G364,Assumptions!$B$13:$B$26,Assumptions!$C$13:$C$26,0),"0.0#")&amp;" sector x "&amp;TEXT(_xlfn.XLOOKUP($I364,Assumptions!$B$30:$B$50,Assumptions!$C$30:$C$50,0),"0.0#")&amp;" mechanism")))</f>
        <v>Mega base x 1.0 sector x 2.0 mechanism</v>
      </c>
      <c r="U364" s="13" t="s">
        <v>230</v>
      </c>
      <c r="V364" s="13" t="s">
        <v>231</v>
      </c>
      <c r="W364" s="13" t="s">
        <v>99</v>
      </c>
      <c r="X364" s="13"/>
    </row>
    <row r="365" spans="1:24" x14ac:dyDescent="0.2">
      <c r="A365" s="13" t="s">
        <v>3032</v>
      </c>
      <c r="B365" s="13" t="s">
        <v>3033</v>
      </c>
      <c r="C365" s="13" t="s">
        <v>205</v>
      </c>
      <c r="D365" s="13" t="s">
        <v>2934</v>
      </c>
      <c r="E365" s="13" t="s">
        <v>2943</v>
      </c>
      <c r="F365" s="13" t="s">
        <v>2951</v>
      </c>
      <c r="G365" s="13" t="s">
        <v>170</v>
      </c>
      <c r="H365" s="13" t="s">
        <v>3027</v>
      </c>
      <c r="I365" s="13" t="s">
        <v>2982</v>
      </c>
      <c r="J365" s="13" t="s">
        <v>3028</v>
      </c>
      <c r="K365" s="19"/>
      <c r="L365" s="17"/>
      <c r="M365" s="17"/>
      <c r="N365" s="13" t="s">
        <v>218</v>
      </c>
      <c r="O365" s="13" t="s">
        <v>209</v>
      </c>
      <c r="P365" s="16"/>
      <c r="Q365" s="16"/>
      <c r="R365" s="16"/>
      <c r="S365" s="21">
        <f>IF($C365&lt;&gt;"Organisation","",IF(OR($P365&lt;&gt;"",$Q365&lt;&gt;""),IF($P365&lt;&gt;"",IF($Q365&lt;&gt;"",($P365+$Q365)/2,$P365),$Q365),ROUND(_xlfn.XLOOKUP($N365,Assumptions!$B$5:$B$9,Assumptions!$C$5:$C$9,0)*_xlfn.XLOOKUP($G365,Assumptions!$B$13:$B$26,Assumptions!$C$13:$C$26,0)*_xlfn.XLOOKUP($I365,Assumptions!$B$30:$B$50,Assumptions!$C$30:$C$50,0),0)))</f>
        <v>800</v>
      </c>
      <c r="T365" s="16" t="str">
        <f>IF($C365&lt;&gt;"Organisation","",IF(OR($P365&lt;&gt;"",$Q365&lt;&gt;""),"Documented in source - midpoint of annual_intake_low/high",IF($I365="","No confirmed programme - modelled as zero",$N365&amp;" base x "&amp;TEXT(_xlfn.XLOOKUP($G365,Assumptions!$B$13:$B$26,Assumptions!$C$13:$C$26,0),"0.0#")&amp;" sector x "&amp;TEXT(_xlfn.XLOOKUP($I365,Assumptions!$B$30:$B$50,Assumptions!$C$30:$C$50,0),"0.0#")&amp;" mechanism")))</f>
        <v>Mega base x 1.0 sector x 2.0 mechanism</v>
      </c>
      <c r="U365" s="13" t="s">
        <v>230</v>
      </c>
      <c r="V365" s="13" t="s">
        <v>231</v>
      </c>
      <c r="W365" s="13" t="s">
        <v>99</v>
      </c>
      <c r="X365" s="13"/>
    </row>
    <row r="366" spans="1:24" x14ac:dyDescent="0.2">
      <c r="A366" s="13" t="s">
        <v>3034</v>
      </c>
      <c r="B366" s="13" t="s">
        <v>3035</v>
      </c>
      <c r="C366" s="13" t="s">
        <v>205</v>
      </c>
      <c r="D366" s="13" t="s">
        <v>2934</v>
      </c>
      <c r="E366" s="13" t="s">
        <v>2943</v>
      </c>
      <c r="F366" s="13" t="s">
        <v>2951</v>
      </c>
      <c r="G366" s="13" t="s">
        <v>188</v>
      </c>
      <c r="H366" s="13" t="s">
        <v>725</v>
      </c>
      <c r="I366" s="13" t="s">
        <v>2982</v>
      </c>
      <c r="J366" s="13" t="s">
        <v>3036</v>
      </c>
      <c r="K366" s="19"/>
      <c r="L366" s="17"/>
      <c r="M366" s="17"/>
      <c r="N366" s="13" t="s">
        <v>208</v>
      </c>
      <c r="O366" s="13" t="s">
        <v>209</v>
      </c>
      <c r="P366" s="16"/>
      <c r="Q366" s="16"/>
      <c r="R366" s="16"/>
      <c r="S366" s="21">
        <f>IF($C366&lt;&gt;"Organisation","",IF(OR($P366&lt;&gt;"",$Q366&lt;&gt;""),IF($P366&lt;&gt;"",IF($Q366&lt;&gt;"",($P366+$Q366)/2,$P366),$Q366),ROUND(_xlfn.XLOOKUP($N366,Assumptions!$B$5:$B$9,Assumptions!$C$5:$C$9,0)*_xlfn.XLOOKUP($G366,Assumptions!$B$13:$B$26,Assumptions!$C$13:$C$26,0)*_xlfn.XLOOKUP($I366,Assumptions!$B$30:$B$50,Assumptions!$C$30:$C$50,0),0)))</f>
        <v>240</v>
      </c>
      <c r="T366" s="16" t="str">
        <f>IF($C366&lt;&gt;"Organisation","",IF(OR($P366&lt;&gt;"",$Q366&lt;&gt;""),"Documented in source - midpoint of annual_intake_low/high",IF($I366="","No confirmed programme - modelled as zero",$N366&amp;" base x "&amp;TEXT(_xlfn.XLOOKUP($G366,Assumptions!$B$13:$B$26,Assumptions!$C$13:$C$26,0),"0.0#")&amp;" sector x "&amp;TEXT(_xlfn.XLOOKUP($I366,Assumptions!$B$30:$B$50,Assumptions!$C$30:$C$50,0),"0.0#")&amp;" mechanism")))</f>
        <v>Large base x 1.0 sector x 2.0 mechanism</v>
      </c>
      <c r="U366" s="13" t="s">
        <v>210</v>
      </c>
      <c r="V366" s="13" t="s">
        <v>211</v>
      </c>
      <c r="W366" s="13" t="s">
        <v>99</v>
      </c>
      <c r="X366" s="13" t="s">
        <v>3037</v>
      </c>
    </row>
    <row r="367" spans="1:24" x14ac:dyDescent="0.2">
      <c r="A367" s="13" t="s">
        <v>3038</v>
      </c>
      <c r="B367" s="13" t="s">
        <v>3039</v>
      </c>
      <c r="C367" s="13" t="s">
        <v>205</v>
      </c>
      <c r="D367" s="13" t="s">
        <v>2934</v>
      </c>
      <c r="E367" s="13" t="s">
        <v>2943</v>
      </c>
      <c r="F367" s="13" t="s">
        <v>2951</v>
      </c>
      <c r="G367" s="13" t="s">
        <v>188</v>
      </c>
      <c r="H367" s="13" t="s">
        <v>725</v>
      </c>
      <c r="I367" s="13" t="s">
        <v>2982</v>
      </c>
      <c r="J367" s="13" t="s">
        <v>3040</v>
      </c>
      <c r="K367" s="19"/>
      <c r="L367" s="17"/>
      <c r="M367" s="17"/>
      <c r="N367" s="13" t="s">
        <v>208</v>
      </c>
      <c r="O367" s="13" t="s">
        <v>209</v>
      </c>
      <c r="P367" s="16"/>
      <c r="Q367" s="16"/>
      <c r="R367" s="16"/>
      <c r="S367" s="21">
        <f>IF($C367&lt;&gt;"Organisation","",IF(OR($P367&lt;&gt;"",$Q367&lt;&gt;""),IF($P367&lt;&gt;"",IF($Q367&lt;&gt;"",($P367+$Q367)/2,$P367),$Q367),ROUND(_xlfn.XLOOKUP($N367,Assumptions!$B$5:$B$9,Assumptions!$C$5:$C$9,0)*_xlfn.XLOOKUP($G367,Assumptions!$B$13:$B$26,Assumptions!$C$13:$C$26,0)*_xlfn.XLOOKUP($I367,Assumptions!$B$30:$B$50,Assumptions!$C$30:$C$50,0),0)))</f>
        <v>240</v>
      </c>
      <c r="T367" s="16" t="str">
        <f>IF($C367&lt;&gt;"Organisation","",IF(OR($P367&lt;&gt;"",$Q367&lt;&gt;""),"Documented in source - midpoint of annual_intake_low/high",IF($I367="","No confirmed programme - modelled as zero",$N367&amp;" base x "&amp;TEXT(_xlfn.XLOOKUP($G367,Assumptions!$B$13:$B$26,Assumptions!$C$13:$C$26,0),"0.0#")&amp;" sector x "&amp;TEXT(_xlfn.XLOOKUP($I367,Assumptions!$B$30:$B$50,Assumptions!$C$30:$C$50,0),"0.0#")&amp;" mechanism")))</f>
        <v>Large base x 1.0 sector x 2.0 mechanism</v>
      </c>
      <c r="U367" s="13" t="s">
        <v>230</v>
      </c>
      <c r="V367" s="13" t="s">
        <v>231</v>
      </c>
      <c r="W367" s="13" t="s">
        <v>99</v>
      </c>
      <c r="X367" s="13"/>
    </row>
    <row r="368" spans="1:24" x14ac:dyDescent="0.2">
      <c r="A368" s="13" t="s">
        <v>3041</v>
      </c>
      <c r="B368" s="13" t="s">
        <v>3042</v>
      </c>
      <c r="C368" s="13" t="s">
        <v>205</v>
      </c>
      <c r="D368" s="13" t="s">
        <v>2934</v>
      </c>
      <c r="E368" s="13" t="s">
        <v>2943</v>
      </c>
      <c r="F368" s="13" t="s">
        <v>2951</v>
      </c>
      <c r="G368" s="13" t="s">
        <v>170</v>
      </c>
      <c r="H368" s="13" t="s">
        <v>3043</v>
      </c>
      <c r="I368" s="13" t="s">
        <v>2982</v>
      </c>
      <c r="J368" s="13" t="s">
        <v>3040</v>
      </c>
      <c r="K368" s="19"/>
      <c r="L368" s="17"/>
      <c r="M368" s="17"/>
      <c r="N368" s="13" t="s">
        <v>218</v>
      </c>
      <c r="O368" s="13" t="s">
        <v>209</v>
      </c>
      <c r="P368" s="16"/>
      <c r="Q368" s="16"/>
      <c r="R368" s="16"/>
      <c r="S368" s="21">
        <f>IF($C368&lt;&gt;"Organisation","",IF(OR($P368&lt;&gt;"",$Q368&lt;&gt;""),IF($P368&lt;&gt;"",IF($Q368&lt;&gt;"",($P368+$Q368)/2,$P368),$Q368),ROUND(_xlfn.XLOOKUP($N368,Assumptions!$B$5:$B$9,Assumptions!$C$5:$C$9,0)*_xlfn.XLOOKUP($G368,Assumptions!$B$13:$B$26,Assumptions!$C$13:$C$26,0)*_xlfn.XLOOKUP($I368,Assumptions!$B$30:$B$50,Assumptions!$C$30:$C$50,0),0)))</f>
        <v>800</v>
      </c>
      <c r="T368" s="16" t="str">
        <f>IF($C368&lt;&gt;"Organisation","",IF(OR($P368&lt;&gt;"",$Q368&lt;&gt;""),"Documented in source - midpoint of annual_intake_low/high",IF($I368="","No confirmed programme - modelled as zero",$N368&amp;" base x "&amp;TEXT(_xlfn.XLOOKUP($G368,Assumptions!$B$13:$B$26,Assumptions!$C$13:$C$26,0),"0.0#")&amp;" sector x "&amp;TEXT(_xlfn.XLOOKUP($I368,Assumptions!$B$30:$B$50,Assumptions!$C$30:$C$50,0),"0.0#")&amp;" mechanism")))</f>
        <v>Mega base x 1.0 sector x 2.0 mechanism</v>
      </c>
      <c r="U368" s="13" t="s">
        <v>230</v>
      </c>
      <c r="V368" s="13" t="s">
        <v>231</v>
      </c>
      <c r="W368" s="13" t="s">
        <v>99</v>
      </c>
      <c r="X368" s="13"/>
    </row>
    <row r="369" spans="1:24" x14ac:dyDescent="0.2">
      <c r="A369" s="13" t="s">
        <v>3044</v>
      </c>
      <c r="B369" s="13" t="s">
        <v>3045</v>
      </c>
      <c r="C369" s="13" t="s">
        <v>205</v>
      </c>
      <c r="D369" s="13" t="s">
        <v>2934</v>
      </c>
      <c r="E369" s="13" t="s">
        <v>2943</v>
      </c>
      <c r="F369" s="13" t="s">
        <v>2951</v>
      </c>
      <c r="G369" s="13" t="s">
        <v>186</v>
      </c>
      <c r="H369" s="13" t="s">
        <v>1116</v>
      </c>
      <c r="I369" s="13" t="s">
        <v>2982</v>
      </c>
      <c r="J369" s="13" t="s">
        <v>3040</v>
      </c>
      <c r="K369" s="19"/>
      <c r="L369" s="17"/>
      <c r="M369" s="17"/>
      <c r="N369" s="13" t="s">
        <v>208</v>
      </c>
      <c r="O369" s="13" t="s">
        <v>209</v>
      </c>
      <c r="P369" s="16"/>
      <c r="Q369" s="16"/>
      <c r="R369" s="16"/>
      <c r="S369" s="21">
        <f>IF($C369&lt;&gt;"Organisation","",IF(OR($P369&lt;&gt;"",$Q369&lt;&gt;""),IF($P369&lt;&gt;"",IF($Q369&lt;&gt;"",($P369+$Q369)/2,$P369),$Q369),ROUND(_xlfn.XLOOKUP($N369,Assumptions!$B$5:$B$9,Assumptions!$C$5:$C$9,0)*_xlfn.XLOOKUP($G369,Assumptions!$B$13:$B$26,Assumptions!$C$13:$C$26,0)*_xlfn.XLOOKUP($I369,Assumptions!$B$30:$B$50,Assumptions!$C$30:$C$50,0),0)))</f>
        <v>240</v>
      </c>
      <c r="T369" s="16" t="str">
        <f>IF($C369&lt;&gt;"Organisation","",IF(OR($P369&lt;&gt;"",$Q369&lt;&gt;""),"Documented in source - midpoint of annual_intake_low/high",IF($I369="","No confirmed programme - modelled as zero",$N369&amp;" base x "&amp;TEXT(_xlfn.XLOOKUP($G369,Assumptions!$B$13:$B$26,Assumptions!$C$13:$C$26,0),"0.0#")&amp;" sector x "&amp;TEXT(_xlfn.XLOOKUP($I369,Assumptions!$B$30:$B$50,Assumptions!$C$30:$C$50,0),"0.0#")&amp;" mechanism")))</f>
        <v>Large base x 1.0 sector x 2.0 mechanism</v>
      </c>
      <c r="U369" s="13" t="s">
        <v>230</v>
      </c>
      <c r="V369" s="13" t="s">
        <v>231</v>
      </c>
      <c r="W369" s="13" t="s">
        <v>99</v>
      </c>
      <c r="X369" s="13"/>
    </row>
    <row r="370" spans="1:24" x14ac:dyDescent="0.2">
      <c r="A370" s="13" t="s">
        <v>3046</v>
      </c>
      <c r="B370" s="13" t="s">
        <v>3047</v>
      </c>
      <c r="C370" s="13" t="s">
        <v>205</v>
      </c>
      <c r="D370" s="13" t="s">
        <v>2934</v>
      </c>
      <c r="E370" s="13" t="s">
        <v>2943</v>
      </c>
      <c r="F370" s="13" t="s">
        <v>2951</v>
      </c>
      <c r="G370" s="13" t="s">
        <v>176</v>
      </c>
      <c r="H370" s="13" t="s">
        <v>1580</v>
      </c>
      <c r="I370" s="13" t="s">
        <v>2982</v>
      </c>
      <c r="J370" s="13" t="s">
        <v>3040</v>
      </c>
      <c r="K370" s="19"/>
      <c r="L370" s="17"/>
      <c r="M370" s="17"/>
      <c r="N370" s="13" t="s">
        <v>218</v>
      </c>
      <c r="O370" s="13" t="s">
        <v>209</v>
      </c>
      <c r="P370" s="16"/>
      <c r="Q370" s="16"/>
      <c r="R370" s="16"/>
      <c r="S370" s="21">
        <f>IF($C370&lt;&gt;"Organisation","",IF(OR($P370&lt;&gt;"",$Q370&lt;&gt;""),IF($P370&lt;&gt;"",IF($Q370&lt;&gt;"",($P370+$Q370)/2,$P370),$Q370),ROUND(_xlfn.XLOOKUP($N370,Assumptions!$B$5:$B$9,Assumptions!$C$5:$C$9,0)*_xlfn.XLOOKUP($G370,Assumptions!$B$13:$B$26,Assumptions!$C$13:$C$26,0)*_xlfn.XLOOKUP($I370,Assumptions!$B$30:$B$50,Assumptions!$C$30:$C$50,0),0)))</f>
        <v>800</v>
      </c>
      <c r="T370" s="16" t="str">
        <f>IF($C370&lt;&gt;"Organisation","",IF(OR($P370&lt;&gt;"",$Q370&lt;&gt;""),"Documented in source - midpoint of annual_intake_low/high",IF($I370="","No confirmed programme - modelled as zero",$N370&amp;" base x "&amp;TEXT(_xlfn.XLOOKUP($G370,Assumptions!$B$13:$B$26,Assumptions!$C$13:$C$26,0),"0.0#")&amp;" sector x "&amp;TEXT(_xlfn.XLOOKUP($I370,Assumptions!$B$30:$B$50,Assumptions!$C$30:$C$50,0),"0.0#")&amp;" mechanism")))</f>
        <v>Mega base x 1.0 sector x 2.0 mechanism</v>
      </c>
      <c r="U370" s="13" t="s">
        <v>230</v>
      </c>
      <c r="V370" s="13" t="s">
        <v>231</v>
      </c>
      <c r="W370" s="13" t="s">
        <v>99</v>
      </c>
      <c r="X370" s="13"/>
    </row>
    <row r="371" spans="1:24" x14ac:dyDescent="0.2">
      <c r="A371" s="13" t="s">
        <v>3048</v>
      </c>
      <c r="B371" s="13" t="s">
        <v>3049</v>
      </c>
      <c r="C371" s="13" t="s">
        <v>205</v>
      </c>
      <c r="D371" s="13" t="s">
        <v>2934</v>
      </c>
      <c r="E371" s="13" t="s">
        <v>2943</v>
      </c>
      <c r="F371" s="13" t="s">
        <v>2951</v>
      </c>
      <c r="G371" s="13" t="s">
        <v>176</v>
      </c>
      <c r="H371" s="13" t="s">
        <v>3050</v>
      </c>
      <c r="I371" s="13" t="s">
        <v>2982</v>
      </c>
      <c r="J371" s="13" t="s">
        <v>3040</v>
      </c>
      <c r="K371" s="19"/>
      <c r="L371" s="17"/>
      <c r="M371" s="17"/>
      <c r="N371" s="13" t="s">
        <v>208</v>
      </c>
      <c r="O371" s="13" t="s">
        <v>209</v>
      </c>
      <c r="P371" s="16"/>
      <c r="Q371" s="16"/>
      <c r="R371" s="16"/>
      <c r="S371" s="21">
        <f>IF($C371&lt;&gt;"Organisation","",IF(OR($P371&lt;&gt;"",$Q371&lt;&gt;""),IF($P371&lt;&gt;"",IF($Q371&lt;&gt;"",($P371+$Q371)/2,$P371),$Q371),ROUND(_xlfn.XLOOKUP($N371,Assumptions!$B$5:$B$9,Assumptions!$C$5:$C$9,0)*_xlfn.XLOOKUP($G371,Assumptions!$B$13:$B$26,Assumptions!$C$13:$C$26,0)*_xlfn.XLOOKUP($I371,Assumptions!$B$30:$B$50,Assumptions!$C$30:$C$50,0),0)))</f>
        <v>240</v>
      </c>
      <c r="T371" s="16" t="str">
        <f>IF($C371&lt;&gt;"Organisation","",IF(OR($P371&lt;&gt;"",$Q371&lt;&gt;""),"Documented in source - midpoint of annual_intake_low/high",IF($I371="","No confirmed programme - modelled as zero",$N371&amp;" base x "&amp;TEXT(_xlfn.XLOOKUP($G371,Assumptions!$B$13:$B$26,Assumptions!$C$13:$C$26,0),"0.0#")&amp;" sector x "&amp;TEXT(_xlfn.XLOOKUP($I371,Assumptions!$B$30:$B$50,Assumptions!$C$30:$C$50,0),"0.0#")&amp;" mechanism")))</f>
        <v>Large base x 1.0 sector x 2.0 mechanism</v>
      </c>
      <c r="U371" s="13" t="s">
        <v>230</v>
      </c>
      <c r="V371" s="13" t="s">
        <v>231</v>
      </c>
      <c r="W371" s="13" t="s">
        <v>99</v>
      </c>
      <c r="X371" s="13"/>
    </row>
    <row r="372" spans="1:24" x14ac:dyDescent="0.2">
      <c r="A372" s="13" t="s">
        <v>3051</v>
      </c>
      <c r="B372" s="13" t="s">
        <v>3052</v>
      </c>
      <c r="C372" s="13" t="s">
        <v>205</v>
      </c>
      <c r="D372" s="13" t="s">
        <v>2934</v>
      </c>
      <c r="E372" s="13" t="s">
        <v>2943</v>
      </c>
      <c r="F372" s="13" t="s">
        <v>2951</v>
      </c>
      <c r="G372" s="13" t="s">
        <v>174</v>
      </c>
      <c r="H372" s="13" t="s">
        <v>3053</v>
      </c>
      <c r="I372" s="13" t="s">
        <v>2982</v>
      </c>
      <c r="J372" s="13" t="s">
        <v>3054</v>
      </c>
      <c r="K372" s="19"/>
      <c r="L372" s="17"/>
      <c r="M372" s="17"/>
      <c r="N372" s="13" t="s">
        <v>244</v>
      </c>
      <c r="O372" s="13" t="s">
        <v>209</v>
      </c>
      <c r="P372" s="16"/>
      <c r="Q372" s="16"/>
      <c r="R372" s="16"/>
      <c r="S372" s="21">
        <f>IF($C372&lt;&gt;"Organisation","",IF(OR($P372&lt;&gt;"",$Q372&lt;&gt;""),IF($P372&lt;&gt;"",IF($Q372&lt;&gt;"",($P372+$Q372)/2,$P372),$Q372),ROUND(_xlfn.XLOOKUP($N372,Assumptions!$B$5:$B$9,Assumptions!$C$5:$C$9,0)*_xlfn.XLOOKUP($G372,Assumptions!$B$13:$B$26,Assumptions!$C$13:$C$26,0)*_xlfn.XLOOKUP($I372,Assumptions!$B$30:$B$50,Assumptions!$C$30:$C$50,0),0)))</f>
        <v>48</v>
      </c>
      <c r="T372" s="16" t="str">
        <f>IF($C372&lt;&gt;"Organisation","",IF(OR($P372&lt;&gt;"",$Q372&lt;&gt;""),"Documented in source - midpoint of annual_intake_low/high",IF($I372="","No confirmed programme - modelled as zero",$N372&amp;" base x "&amp;TEXT(_xlfn.XLOOKUP($G372,Assumptions!$B$13:$B$26,Assumptions!$C$13:$C$26,0),"0.0#")&amp;" sector x "&amp;TEXT(_xlfn.XLOOKUP($I372,Assumptions!$B$30:$B$50,Assumptions!$C$30:$C$50,0),"0.0#")&amp;" mechanism")))</f>
        <v>Mid base x 0.8 sector x 2.0 mechanism</v>
      </c>
      <c r="U372" s="13" t="s">
        <v>230</v>
      </c>
      <c r="V372" s="13" t="s">
        <v>231</v>
      </c>
      <c r="W372" s="13" t="s">
        <v>99</v>
      </c>
      <c r="X372" s="13" t="s">
        <v>3055</v>
      </c>
    </row>
    <row r="373" spans="1:24" x14ac:dyDescent="0.2">
      <c r="A373" s="13" t="s">
        <v>3056</v>
      </c>
      <c r="B373" s="13" t="s">
        <v>3057</v>
      </c>
      <c r="C373" s="13" t="s">
        <v>205</v>
      </c>
      <c r="D373" s="13" t="s">
        <v>2934</v>
      </c>
      <c r="E373" s="13" t="s">
        <v>2943</v>
      </c>
      <c r="F373" s="13" t="s">
        <v>2951</v>
      </c>
      <c r="G373" s="13" t="s">
        <v>178</v>
      </c>
      <c r="H373" s="13" t="s">
        <v>3018</v>
      </c>
      <c r="I373" s="13" t="s">
        <v>2982</v>
      </c>
      <c r="J373" s="13" t="s">
        <v>3040</v>
      </c>
      <c r="K373" s="19"/>
      <c r="L373" s="17"/>
      <c r="M373" s="17"/>
      <c r="N373" s="13" t="s">
        <v>244</v>
      </c>
      <c r="O373" s="13" t="s">
        <v>209</v>
      </c>
      <c r="P373" s="16"/>
      <c r="Q373" s="16"/>
      <c r="R373" s="16"/>
      <c r="S373" s="21">
        <f>IF($C373&lt;&gt;"Organisation","",IF(OR($P373&lt;&gt;"",$Q373&lt;&gt;""),IF($P373&lt;&gt;"",IF($Q373&lt;&gt;"",($P373+$Q373)/2,$P373),$Q373),ROUND(_xlfn.XLOOKUP($N373,Assumptions!$B$5:$B$9,Assumptions!$C$5:$C$9,0)*_xlfn.XLOOKUP($G373,Assumptions!$B$13:$B$26,Assumptions!$C$13:$C$26,0)*_xlfn.XLOOKUP($I373,Assumptions!$B$30:$B$50,Assumptions!$C$30:$C$50,0),0)))</f>
        <v>90</v>
      </c>
      <c r="T373" s="16" t="str">
        <f>IF($C373&lt;&gt;"Organisation","",IF(OR($P373&lt;&gt;"",$Q373&lt;&gt;""),"Documented in source - midpoint of annual_intake_low/high",IF($I373="","No confirmed programme - modelled as zero",$N373&amp;" base x "&amp;TEXT(_xlfn.XLOOKUP($G373,Assumptions!$B$13:$B$26,Assumptions!$C$13:$C$26,0),"0.0#")&amp;" sector x "&amp;TEXT(_xlfn.XLOOKUP($I373,Assumptions!$B$30:$B$50,Assumptions!$C$30:$C$50,0),"0.0#")&amp;" mechanism")))</f>
        <v>Mid base x 1.5 sector x 2.0 mechanism</v>
      </c>
      <c r="U373" s="13" t="s">
        <v>230</v>
      </c>
      <c r="V373" s="13" t="s">
        <v>231</v>
      </c>
      <c r="W373" s="13" t="s">
        <v>99</v>
      </c>
      <c r="X373" s="13"/>
    </row>
    <row r="374" spans="1:24" x14ac:dyDescent="0.2">
      <c r="A374" s="13" t="s">
        <v>3098</v>
      </c>
      <c r="B374" s="13" t="s">
        <v>3099</v>
      </c>
      <c r="C374" s="13" t="s">
        <v>205</v>
      </c>
      <c r="D374" s="13" t="s">
        <v>2934</v>
      </c>
      <c r="E374" s="13" t="s">
        <v>2945</v>
      </c>
      <c r="F374" s="13" t="s">
        <v>2953</v>
      </c>
      <c r="G374" s="13" t="s">
        <v>166</v>
      </c>
      <c r="H374" s="13" t="s">
        <v>3100</v>
      </c>
      <c r="I374" s="13" t="s">
        <v>2984</v>
      </c>
      <c r="J374" s="13" t="s">
        <v>3101</v>
      </c>
      <c r="K374" s="19" t="s">
        <v>1823</v>
      </c>
      <c r="L374" s="17"/>
      <c r="M374" s="17"/>
      <c r="N374" s="13" t="s">
        <v>208</v>
      </c>
      <c r="O374" s="13" t="s">
        <v>209</v>
      </c>
      <c r="P374" s="16"/>
      <c r="Q374" s="16"/>
      <c r="R374" s="16"/>
      <c r="S374" s="21">
        <f>IF($C374&lt;&gt;"Organisation","",IF(OR($P374&lt;&gt;"",$Q374&lt;&gt;""),IF($P374&lt;&gt;"",IF($Q374&lt;&gt;"",($P374+$Q374)/2,$P374),$Q374),ROUND(_xlfn.XLOOKUP($N374,Assumptions!$B$5:$B$9,Assumptions!$C$5:$C$9,0)*_xlfn.XLOOKUP($G374,Assumptions!$B$13:$B$26,Assumptions!$C$13:$C$26,0)*_xlfn.XLOOKUP($I374,Assumptions!$B$30:$B$50,Assumptions!$C$30:$C$50,0),0)))</f>
        <v>96</v>
      </c>
      <c r="T374" s="16" t="str">
        <f>IF($C374&lt;&gt;"Organisation","",IF(OR($P374&lt;&gt;"",$Q374&lt;&gt;""),"Documented in source - midpoint of annual_intake_low/high",IF($I374="","No confirmed programme - modelled as zero",$N374&amp;" base x "&amp;TEXT(_xlfn.XLOOKUP($G374,Assumptions!$B$13:$B$26,Assumptions!$C$13:$C$26,0),"0.0#")&amp;" sector x "&amp;TEXT(_xlfn.XLOOKUP($I374,Assumptions!$B$30:$B$50,Assumptions!$C$30:$C$50,0),"0.0#")&amp;" mechanism")))</f>
        <v>Large base x 0.8 sector x 1.0 mechanism</v>
      </c>
      <c r="U374" s="13" t="s">
        <v>210</v>
      </c>
      <c r="V374" s="13" t="s">
        <v>211</v>
      </c>
      <c r="W374" s="13" t="s">
        <v>99</v>
      </c>
      <c r="X374" s="13" t="s">
        <v>3102</v>
      </c>
    </row>
    <row r="375" spans="1:24" x14ac:dyDescent="0.2">
      <c r="A375" s="13" t="s">
        <v>3103</v>
      </c>
      <c r="B375" s="13" t="s">
        <v>3104</v>
      </c>
      <c r="C375" s="13" t="s">
        <v>205</v>
      </c>
      <c r="D375" s="13" t="s">
        <v>2934</v>
      </c>
      <c r="E375" s="13" t="s">
        <v>2945</v>
      </c>
      <c r="F375" s="13" t="s">
        <v>2953</v>
      </c>
      <c r="G375" s="13" t="s">
        <v>170</v>
      </c>
      <c r="H375" s="13" t="s">
        <v>3105</v>
      </c>
      <c r="I375" s="13" t="s">
        <v>2984</v>
      </c>
      <c r="J375" s="13" t="s">
        <v>3106</v>
      </c>
      <c r="K375" s="19"/>
      <c r="L375" s="17"/>
      <c r="M375" s="17"/>
      <c r="N375" s="13" t="s">
        <v>218</v>
      </c>
      <c r="O375" s="13" t="s">
        <v>209</v>
      </c>
      <c r="P375" s="16"/>
      <c r="Q375" s="16"/>
      <c r="R375" s="16"/>
      <c r="S375" s="21">
        <f>IF($C375&lt;&gt;"Organisation","",IF(OR($P375&lt;&gt;"",$Q375&lt;&gt;""),IF($P375&lt;&gt;"",IF($Q375&lt;&gt;"",($P375+$Q375)/2,$P375),$Q375),ROUND(_xlfn.XLOOKUP($N375,Assumptions!$B$5:$B$9,Assumptions!$C$5:$C$9,0)*_xlfn.XLOOKUP($G375,Assumptions!$B$13:$B$26,Assumptions!$C$13:$C$26,0)*_xlfn.XLOOKUP($I375,Assumptions!$B$30:$B$50,Assumptions!$C$30:$C$50,0),0)))</f>
        <v>400</v>
      </c>
      <c r="T375" s="16" t="str">
        <f>IF($C375&lt;&gt;"Organisation","",IF(OR($P375&lt;&gt;"",$Q375&lt;&gt;""),"Documented in source - midpoint of annual_intake_low/high",IF($I375="","No confirmed programme - modelled as zero",$N375&amp;" base x "&amp;TEXT(_xlfn.XLOOKUP($G375,Assumptions!$B$13:$B$26,Assumptions!$C$13:$C$26,0),"0.0#")&amp;" sector x "&amp;TEXT(_xlfn.XLOOKUP($I375,Assumptions!$B$30:$B$50,Assumptions!$C$30:$C$50,0),"0.0#")&amp;" mechanism")))</f>
        <v>Mega base x 1.0 sector x 1.0 mechanism</v>
      </c>
      <c r="U375" s="13" t="s">
        <v>230</v>
      </c>
      <c r="V375" s="13" t="s">
        <v>231</v>
      </c>
      <c r="W375" s="13" t="s">
        <v>99</v>
      </c>
      <c r="X375" s="13"/>
    </row>
    <row r="376" spans="1:24" x14ac:dyDescent="0.2">
      <c r="A376" s="13" t="s">
        <v>3107</v>
      </c>
      <c r="B376" s="13" t="s">
        <v>3108</v>
      </c>
      <c r="C376" s="13" t="s">
        <v>205</v>
      </c>
      <c r="D376" s="13" t="s">
        <v>2934</v>
      </c>
      <c r="E376" s="13" t="s">
        <v>2945</v>
      </c>
      <c r="F376" s="13" t="s">
        <v>2953</v>
      </c>
      <c r="G376" s="13" t="s">
        <v>170</v>
      </c>
      <c r="H376" s="13" t="s">
        <v>3105</v>
      </c>
      <c r="I376" s="13" t="s">
        <v>2984</v>
      </c>
      <c r="J376" s="13" t="s">
        <v>3106</v>
      </c>
      <c r="K376" s="19"/>
      <c r="L376" s="17"/>
      <c r="M376" s="17"/>
      <c r="N376" s="13" t="s">
        <v>218</v>
      </c>
      <c r="O376" s="13" t="s">
        <v>209</v>
      </c>
      <c r="P376" s="16"/>
      <c r="Q376" s="16"/>
      <c r="R376" s="16"/>
      <c r="S376" s="21">
        <f>IF($C376&lt;&gt;"Organisation","",IF(OR($P376&lt;&gt;"",$Q376&lt;&gt;""),IF($P376&lt;&gt;"",IF($Q376&lt;&gt;"",($P376+$Q376)/2,$P376),$Q376),ROUND(_xlfn.XLOOKUP($N376,Assumptions!$B$5:$B$9,Assumptions!$C$5:$C$9,0)*_xlfn.XLOOKUP($G376,Assumptions!$B$13:$B$26,Assumptions!$C$13:$C$26,0)*_xlfn.XLOOKUP($I376,Assumptions!$B$30:$B$50,Assumptions!$C$30:$C$50,0),0)))</f>
        <v>400</v>
      </c>
      <c r="T376" s="16" t="str">
        <f>IF($C376&lt;&gt;"Organisation","",IF(OR($P376&lt;&gt;"",$Q376&lt;&gt;""),"Documented in source - midpoint of annual_intake_low/high",IF($I376="","No confirmed programme - modelled as zero",$N376&amp;" base x "&amp;TEXT(_xlfn.XLOOKUP($G376,Assumptions!$B$13:$B$26,Assumptions!$C$13:$C$26,0),"0.0#")&amp;" sector x "&amp;TEXT(_xlfn.XLOOKUP($I376,Assumptions!$B$30:$B$50,Assumptions!$C$30:$C$50,0),"0.0#")&amp;" mechanism")))</f>
        <v>Mega base x 1.0 sector x 1.0 mechanism</v>
      </c>
      <c r="U376" s="13" t="s">
        <v>230</v>
      </c>
      <c r="V376" s="13" t="s">
        <v>231</v>
      </c>
      <c r="W376" s="13" t="s">
        <v>99</v>
      </c>
      <c r="X376" s="13"/>
    </row>
    <row r="377" spans="1:24" x14ac:dyDescent="0.2">
      <c r="A377" s="13" t="s">
        <v>3109</v>
      </c>
      <c r="B377" s="13" t="s">
        <v>3110</v>
      </c>
      <c r="C377" s="13" t="s">
        <v>205</v>
      </c>
      <c r="D377" s="13" t="s">
        <v>2934</v>
      </c>
      <c r="E377" s="13" t="s">
        <v>2945</v>
      </c>
      <c r="F377" s="13" t="s">
        <v>2955</v>
      </c>
      <c r="G377" s="13" t="s">
        <v>170</v>
      </c>
      <c r="H377" s="13" t="s">
        <v>3105</v>
      </c>
      <c r="I377" s="13" t="s">
        <v>2984</v>
      </c>
      <c r="J377" s="13" t="s">
        <v>3106</v>
      </c>
      <c r="K377" s="19"/>
      <c r="L377" s="17"/>
      <c r="M377" s="17"/>
      <c r="N377" s="13" t="s">
        <v>218</v>
      </c>
      <c r="O377" s="13" t="s">
        <v>209</v>
      </c>
      <c r="P377" s="16"/>
      <c r="Q377" s="16"/>
      <c r="R377" s="16"/>
      <c r="S377" s="21">
        <f>IF($C377&lt;&gt;"Organisation","",IF(OR($P377&lt;&gt;"",$Q377&lt;&gt;""),IF($P377&lt;&gt;"",IF($Q377&lt;&gt;"",($P377+$Q377)/2,$P377),$Q377),ROUND(_xlfn.XLOOKUP($N377,Assumptions!$B$5:$B$9,Assumptions!$C$5:$C$9,0)*_xlfn.XLOOKUP($G377,Assumptions!$B$13:$B$26,Assumptions!$C$13:$C$26,0)*_xlfn.XLOOKUP($I377,Assumptions!$B$30:$B$50,Assumptions!$C$30:$C$50,0),0)))</f>
        <v>400</v>
      </c>
      <c r="T377" s="16" t="str">
        <f>IF($C377&lt;&gt;"Organisation","",IF(OR($P377&lt;&gt;"",$Q377&lt;&gt;""),"Documented in source - midpoint of annual_intake_low/high",IF($I377="","No confirmed programme - modelled as zero",$N377&amp;" base x "&amp;TEXT(_xlfn.XLOOKUP($G377,Assumptions!$B$13:$B$26,Assumptions!$C$13:$C$26,0),"0.0#")&amp;" sector x "&amp;TEXT(_xlfn.XLOOKUP($I377,Assumptions!$B$30:$B$50,Assumptions!$C$30:$C$50,0),"0.0#")&amp;" mechanism")))</f>
        <v>Mega base x 1.0 sector x 1.0 mechanism</v>
      </c>
      <c r="U377" s="13" t="s">
        <v>230</v>
      </c>
      <c r="V377" s="13" t="s">
        <v>231</v>
      </c>
      <c r="W377" s="13" t="s">
        <v>80</v>
      </c>
      <c r="X377" s="13" t="s">
        <v>3111</v>
      </c>
    </row>
    <row r="378" spans="1:24" x14ac:dyDescent="0.2">
      <c r="A378" s="13" t="s">
        <v>3112</v>
      </c>
      <c r="B378" s="13" t="s">
        <v>3113</v>
      </c>
      <c r="C378" s="13" t="s">
        <v>205</v>
      </c>
      <c r="D378" s="13" t="s">
        <v>2934</v>
      </c>
      <c r="E378" s="13" t="s">
        <v>2945</v>
      </c>
      <c r="F378" s="13" t="s">
        <v>2955</v>
      </c>
      <c r="G378" s="13" t="s">
        <v>170</v>
      </c>
      <c r="H378" s="13" t="s">
        <v>3105</v>
      </c>
      <c r="I378" s="13" t="s">
        <v>2984</v>
      </c>
      <c r="J378" s="13" t="s">
        <v>3106</v>
      </c>
      <c r="K378" s="19"/>
      <c r="L378" s="17"/>
      <c r="M378" s="17"/>
      <c r="N378" s="13" t="s">
        <v>218</v>
      </c>
      <c r="O378" s="13" t="s">
        <v>209</v>
      </c>
      <c r="P378" s="16"/>
      <c r="Q378" s="16"/>
      <c r="R378" s="16"/>
      <c r="S378" s="21">
        <f>IF($C378&lt;&gt;"Organisation","",IF(OR($P378&lt;&gt;"",$Q378&lt;&gt;""),IF($P378&lt;&gt;"",IF($Q378&lt;&gt;"",($P378+$Q378)/2,$P378),$Q378),ROUND(_xlfn.XLOOKUP($N378,Assumptions!$B$5:$B$9,Assumptions!$C$5:$C$9,0)*_xlfn.XLOOKUP($G378,Assumptions!$B$13:$B$26,Assumptions!$C$13:$C$26,0)*_xlfn.XLOOKUP($I378,Assumptions!$B$30:$B$50,Assumptions!$C$30:$C$50,0),0)))</f>
        <v>400</v>
      </c>
      <c r="T378" s="16" t="str">
        <f>IF($C378&lt;&gt;"Organisation","",IF(OR($P378&lt;&gt;"",$Q378&lt;&gt;""),"Documented in source - midpoint of annual_intake_low/high",IF($I378="","No confirmed programme - modelled as zero",$N378&amp;" base x "&amp;TEXT(_xlfn.XLOOKUP($G378,Assumptions!$B$13:$B$26,Assumptions!$C$13:$C$26,0),"0.0#")&amp;" sector x "&amp;TEXT(_xlfn.XLOOKUP($I378,Assumptions!$B$30:$B$50,Assumptions!$C$30:$C$50,0),"0.0#")&amp;" mechanism")))</f>
        <v>Mega base x 1.0 sector x 1.0 mechanism</v>
      </c>
      <c r="U378" s="13" t="s">
        <v>230</v>
      </c>
      <c r="V378" s="13" t="s">
        <v>231</v>
      </c>
      <c r="W378" s="13" t="s">
        <v>80</v>
      </c>
      <c r="X378" s="13" t="s">
        <v>3111</v>
      </c>
    </row>
    <row r="379" spans="1:24" x14ac:dyDescent="0.2">
      <c r="A379" s="13" t="s">
        <v>3114</v>
      </c>
      <c r="B379" s="13" t="s">
        <v>3115</v>
      </c>
      <c r="C379" s="13" t="s">
        <v>205</v>
      </c>
      <c r="D379" s="13" t="s">
        <v>2934</v>
      </c>
      <c r="E379" s="13" t="s">
        <v>2945</v>
      </c>
      <c r="F379" s="13" t="s">
        <v>2953</v>
      </c>
      <c r="G379" s="13" t="s">
        <v>186</v>
      </c>
      <c r="H379" s="13" t="s">
        <v>1116</v>
      </c>
      <c r="I379" s="13" t="s">
        <v>2984</v>
      </c>
      <c r="J379" s="13" t="s">
        <v>3116</v>
      </c>
      <c r="K379" s="19"/>
      <c r="L379" s="17"/>
      <c r="M379" s="17"/>
      <c r="N379" s="13" t="s">
        <v>244</v>
      </c>
      <c r="O379" s="13" t="s">
        <v>209</v>
      </c>
      <c r="P379" s="16"/>
      <c r="Q379" s="16"/>
      <c r="R379" s="16"/>
      <c r="S379" s="21">
        <f>IF($C379&lt;&gt;"Organisation","",IF(OR($P379&lt;&gt;"",$Q379&lt;&gt;""),IF($P379&lt;&gt;"",IF($Q379&lt;&gt;"",($P379+$Q379)/2,$P379),$Q379),ROUND(_xlfn.XLOOKUP($N379,Assumptions!$B$5:$B$9,Assumptions!$C$5:$C$9,0)*_xlfn.XLOOKUP($G379,Assumptions!$B$13:$B$26,Assumptions!$C$13:$C$26,0)*_xlfn.XLOOKUP($I379,Assumptions!$B$30:$B$50,Assumptions!$C$30:$C$50,0),0)))</f>
        <v>30</v>
      </c>
      <c r="T379" s="16" t="str">
        <f>IF($C379&lt;&gt;"Organisation","",IF(OR($P379&lt;&gt;"",$Q379&lt;&gt;""),"Documented in source - midpoint of annual_intake_low/high",IF($I379="","No confirmed programme - modelled as zero",$N379&amp;" base x "&amp;TEXT(_xlfn.XLOOKUP($G379,Assumptions!$B$13:$B$26,Assumptions!$C$13:$C$26,0),"0.0#")&amp;" sector x "&amp;TEXT(_xlfn.XLOOKUP($I379,Assumptions!$B$30:$B$50,Assumptions!$C$30:$C$50,0),"0.0#")&amp;" mechanism")))</f>
        <v>Mid base x 1.0 sector x 1.0 mechanism</v>
      </c>
      <c r="U379" s="13" t="s">
        <v>230</v>
      </c>
      <c r="V379" s="13" t="s">
        <v>231</v>
      </c>
      <c r="W379" s="13" t="s">
        <v>99</v>
      </c>
      <c r="X379" s="13"/>
    </row>
    <row r="380" spans="1:24" x14ac:dyDescent="0.2">
      <c r="A380" s="13" t="s">
        <v>3117</v>
      </c>
      <c r="B380" s="13" t="s">
        <v>3118</v>
      </c>
      <c r="C380" s="13" t="s">
        <v>205</v>
      </c>
      <c r="D380" s="13" t="s">
        <v>2934</v>
      </c>
      <c r="E380" s="13" t="s">
        <v>2945</v>
      </c>
      <c r="F380" s="13" t="s">
        <v>2953</v>
      </c>
      <c r="G380" s="13" t="s">
        <v>176</v>
      </c>
      <c r="H380" s="13" t="s">
        <v>3119</v>
      </c>
      <c r="I380" s="13" t="s">
        <v>2984</v>
      </c>
      <c r="J380" s="13" t="s">
        <v>3106</v>
      </c>
      <c r="K380" s="19"/>
      <c r="L380" s="17"/>
      <c r="M380" s="17"/>
      <c r="N380" s="13" t="s">
        <v>208</v>
      </c>
      <c r="O380" s="13" t="s">
        <v>209</v>
      </c>
      <c r="P380" s="16"/>
      <c r="Q380" s="16"/>
      <c r="R380" s="16"/>
      <c r="S380" s="21">
        <f>IF($C380&lt;&gt;"Organisation","",IF(OR($P380&lt;&gt;"",$Q380&lt;&gt;""),IF($P380&lt;&gt;"",IF($Q380&lt;&gt;"",($P380+$Q380)/2,$P380),$Q380),ROUND(_xlfn.XLOOKUP($N380,Assumptions!$B$5:$B$9,Assumptions!$C$5:$C$9,0)*_xlfn.XLOOKUP($G380,Assumptions!$B$13:$B$26,Assumptions!$C$13:$C$26,0)*_xlfn.XLOOKUP($I380,Assumptions!$B$30:$B$50,Assumptions!$C$30:$C$50,0),0)))</f>
        <v>120</v>
      </c>
      <c r="T380" s="16" t="str">
        <f>IF($C380&lt;&gt;"Organisation","",IF(OR($P380&lt;&gt;"",$Q380&lt;&gt;""),"Documented in source - midpoint of annual_intake_low/high",IF($I380="","No confirmed programme - modelled as zero",$N380&amp;" base x "&amp;TEXT(_xlfn.XLOOKUP($G380,Assumptions!$B$13:$B$26,Assumptions!$C$13:$C$26,0),"0.0#")&amp;" sector x "&amp;TEXT(_xlfn.XLOOKUP($I380,Assumptions!$B$30:$B$50,Assumptions!$C$30:$C$50,0),"0.0#")&amp;" mechanism")))</f>
        <v>Large base x 1.0 sector x 1.0 mechanism</v>
      </c>
      <c r="U380" s="13" t="s">
        <v>230</v>
      </c>
      <c r="V380" s="13" t="s">
        <v>231</v>
      </c>
      <c r="W380" s="13" t="s">
        <v>99</v>
      </c>
      <c r="X380" s="13"/>
    </row>
    <row r="381" spans="1:24" x14ac:dyDescent="0.2">
      <c r="A381" s="13" t="s">
        <v>3120</v>
      </c>
      <c r="B381" s="13" t="s">
        <v>3121</v>
      </c>
      <c r="C381" s="13" t="s">
        <v>205</v>
      </c>
      <c r="D381" s="13" t="s">
        <v>2934</v>
      </c>
      <c r="E381" s="13" t="s">
        <v>2945</v>
      </c>
      <c r="F381" s="13" t="s">
        <v>2955</v>
      </c>
      <c r="G381" s="13" t="s">
        <v>176</v>
      </c>
      <c r="H381" s="13" t="s">
        <v>3122</v>
      </c>
      <c r="I381" s="13" t="s">
        <v>2984</v>
      </c>
      <c r="J381" s="13" t="s">
        <v>3106</v>
      </c>
      <c r="K381" s="19"/>
      <c r="L381" s="17"/>
      <c r="M381" s="17"/>
      <c r="N381" s="13" t="s">
        <v>208</v>
      </c>
      <c r="O381" s="13" t="s">
        <v>209</v>
      </c>
      <c r="P381" s="16"/>
      <c r="Q381" s="16"/>
      <c r="R381" s="16"/>
      <c r="S381" s="21">
        <f>IF($C381&lt;&gt;"Organisation","",IF(OR($P381&lt;&gt;"",$Q381&lt;&gt;""),IF($P381&lt;&gt;"",IF($Q381&lt;&gt;"",($P381+$Q381)/2,$P381),$Q381),ROUND(_xlfn.XLOOKUP($N381,Assumptions!$B$5:$B$9,Assumptions!$C$5:$C$9,0)*_xlfn.XLOOKUP($G381,Assumptions!$B$13:$B$26,Assumptions!$C$13:$C$26,0)*_xlfn.XLOOKUP($I381,Assumptions!$B$30:$B$50,Assumptions!$C$30:$C$50,0),0)))</f>
        <v>120</v>
      </c>
      <c r="T381" s="16" t="str">
        <f>IF($C381&lt;&gt;"Organisation","",IF(OR($P381&lt;&gt;"",$Q381&lt;&gt;""),"Documented in source - midpoint of annual_intake_low/high",IF($I381="","No confirmed programme - modelled as zero",$N381&amp;" base x "&amp;TEXT(_xlfn.XLOOKUP($G381,Assumptions!$B$13:$B$26,Assumptions!$C$13:$C$26,0),"0.0#")&amp;" sector x "&amp;TEXT(_xlfn.XLOOKUP($I381,Assumptions!$B$30:$B$50,Assumptions!$C$30:$C$50,0),"0.0#")&amp;" mechanism")))</f>
        <v>Large base x 1.0 sector x 1.0 mechanism</v>
      </c>
      <c r="U381" s="13" t="s">
        <v>230</v>
      </c>
      <c r="V381" s="13" t="s">
        <v>231</v>
      </c>
      <c r="W381" s="13" t="s">
        <v>80</v>
      </c>
      <c r="X381" s="13" t="s">
        <v>3123</v>
      </c>
    </row>
    <row r="382" spans="1:24" x14ac:dyDescent="0.2">
      <c r="A382" s="13" t="s">
        <v>3124</v>
      </c>
      <c r="B382" s="13" t="s">
        <v>3125</v>
      </c>
      <c r="C382" s="13" t="s">
        <v>205</v>
      </c>
      <c r="D382" s="13" t="s">
        <v>2934</v>
      </c>
      <c r="E382" s="13" t="s">
        <v>2945</v>
      </c>
      <c r="F382" s="13" t="s">
        <v>2953</v>
      </c>
      <c r="G382" s="13" t="s">
        <v>178</v>
      </c>
      <c r="H382" s="13" t="s">
        <v>3018</v>
      </c>
      <c r="I382" s="13" t="s">
        <v>2984</v>
      </c>
      <c r="J382" s="13" t="s">
        <v>3106</v>
      </c>
      <c r="K382" s="19"/>
      <c r="L382" s="17"/>
      <c r="M382" s="17"/>
      <c r="N382" s="13" t="s">
        <v>244</v>
      </c>
      <c r="O382" s="13" t="s">
        <v>209</v>
      </c>
      <c r="P382" s="16"/>
      <c r="Q382" s="16"/>
      <c r="R382" s="16"/>
      <c r="S382" s="21">
        <f>IF($C382&lt;&gt;"Organisation","",IF(OR($P382&lt;&gt;"",$Q382&lt;&gt;""),IF($P382&lt;&gt;"",IF($Q382&lt;&gt;"",($P382+$Q382)/2,$P382),$Q382),ROUND(_xlfn.XLOOKUP($N382,Assumptions!$B$5:$B$9,Assumptions!$C$5:$C$9,0)*_xlfn.XLOOKUP($G382,Assumptions!$B$13:$B$26,Assumptions!$C$13:$C$26,0)*_xlfn.XLOOKUP($I382,Assumptions!$B$30:$B$50,Assumptions!$C$30:$C$50,0),0)))</f>
        <v>45</v>
      </c>
      <c r="T382" s="16" t="str">
        <f>IF($C382&lt;&gt;"Organisation","",IF(OR($P382&lt;&gt;"",$Q382&lt;&gt;""),"Documented in source - midpoint of annual_intake_low/high",IF($I382="","No confirmed programme - modelled as zero",$N382&amp;" base x "&amp;TEXT(_xlfn.XLOOKUP($G382,Assumptions!$B$13:$B$26,Assumptions!$C$13:$C$26,0),"0.0#")&amp;" sector x "&amp;TEXT(_xlfn.XLOOKUP($I382,Assumptions!$B$30:$B$50,Assumptions!$C$30:$C$50,0),"0.0#")&amp;" mechanism")))</f>
        <v>Mid base x 1.5 sector x 1.0 mechanism</v>
      </c>
      <c r="U382" s="13" t="s">
        <v>230</v>
      </c>
      <c r="V382" s="13" t="s">
        <v>231</v>
      </c>
      <c r="W382" s="13" t="s">
        <v>99</v>
      </c>
      <c r="X382" s="13"/>
    </row>
    <row r="383" spans="1:24" x14ac:dyDescent="0.2">
      <c r="A383" s="13" t="s">
        <v>3126</v>
      </c>
      <c r="B383" s="13" t="s">
        <v>3127</v>
      </c>
      <c r="C383" s="13" t="s">
        <v>205</v>
      </c>
      <c r="D383" s="13" t="s">
        <v>2934</v>
      </c>
      <c r="E383" s="13" t="s">
        <v>2945</v>
      </c>
      <c r="F383" s="13" t="s">
        <v>2955</v>
      </c>
      <c r="G383" s="13" t="s">
        <v>174</v>
      </c>
      <c r="H383" s="13" t="s">
        <v>3004</v>
      </c>
      <c r="I383" s="13" t="s">
        <v>2984</v>
      </c>
      <c r="J383" s="13" t="s">
        <v>3128</v>
      </c>
      <c r="K383" s="19"/>
      <c r="L383" s="17"/>
      <c r="M383" s="17"/>
      <c r="N383" s="13" t="s">
        <v>236</v>
      </c>
      <c r="O383" s="13" t="s">
        <v>209</v>
      </c>
      <c r="P383" s="16"/>
      <c r="Q383" s="16"/>
      <c r="R383" s="16"/>
      <c r="S383" s="21">
        <f>IF($C383&lt;&gt;"Organisation","",IF(OR($P383&lt;&gt;"",$Q383&lt;&gt;""),IF($P383&lt;&gt;"",IF($Q383&lt;&gt;"",($P383+$Q383)/2,$P383),$Q383),ROUND(_xlfn.XLOOKUP($N383,Assumptions!$B$5:$B$9,Assumptions!$C$5:$C$9,0)*_xlfn.XLOOKUP($G383,Assumptions!$B$13:$B$26,Assumptions!$C$13:$C$26,0)*_xlfn.XLOOKUP($I383,Assumptions!$B$30:$B$50,Assumptions!$C$30:$C$50,0),0)))</f>
        <v>6</v>
      </c>
      <c r="T383" s="16" t="str">
        <f>IF($C383&lt;&gt;"Organisation","",IF(OR($P383&lt;&gt;"",$Q383&lt;&gt;""),"Documented in source - midpoint of annual_intake_low/high",IF($I383="","No confirmed programme - modelled as zero",$N383&amp;" base x "&amp;TEXT(_xlfn.XLOOKUP($G383,Assumptions!$B$13:$B$26,Assumptions!$C$13:$C$26,0),"0.0#")&amp;" sector x "&amp;TEXT(_xlfn.XLOOKUP($I383,Assumptions!$B$30:$B$50,Assumptions!$C$30:$C$50,0),"0.0#")&amp;" mechanism")))</f>
        <v>Boutique base x 0.8 sector x 1.0 mechanism</v>
      </c>
      <c r="U383" s="13" t="s">
        <v>230</v>
      </c>
      <c r="V383" s="13" t="s">
        <v>231</v>
      </c>
      <c r="W383" s="13" t="s">
        <v>80</v>
      </c>
      <c r="X383" s="13" t="s">
        <v>3129</v>
      </c>
    </row>
    <row r="384" spans="1:24" x14ac:dyDescent="0.2">
      <c r="A384" s="13" t="s">
        <v>3130</v>
      </c>
      <c r="B384" s="13" t="s">
        <v>3131</v>
      </c>
      <c r="C384" s="13" t="s">
        <v>205</v>
      </c>
      <c r="D384" s="13" t="s">
        <v>2934</v>
      </c>
      <c r="E384" s="13" t="s">
        <v>2945</v>
      </c>
      <c r="F384" s="13" t="s">
        <v>2953</v>
      </c>
      <c r="G384" s="13" t="s">
        <v>174</v>
      </c>
      <c r="H384" s="13" t="s">
        <v>3132</v>
      </c>
      <c r="I384" s="13" t="s">
        <v>2984</v>
      </c>
      <c r="J384" s="13" t="s">
        <v>3106</v>
      </c>
      <c r="K384" s="19"/>
      <c r="L384" s="17"/>
      <c r="M384" s="17"/>
      <c r="N384" s="13" t="s">
        <v>244</v>
      </c>
      <c r="O384" s="13" t="s">
        <v>209</v>
      </c>
      <c r="P384" s="16"/>
      <c r="Q384" s="16"/>
      <c r="R384" s="16"/>
      <c r="S384" s="21">
        <f>IF($C384&lt;&gt;"Organisation","",IF(OR($P384&lt;&gt;"",$Q384&lt;&gt;""),IF($P384&lt;&gt;"",IF($Q384&lt;&gt;"",($P384+$Q384)/2,$P384),$Q384),ROUND(_xlfn.XLOOKUP($N384,Assumptions!$B$5:$B$9,Assumptions!$C$5:$C$9,0)*_xlfn.XLOOKUP($G384,Assumptions!$B$13:$B$26,Assumptions!$C$13:$C$26,0)*_xlfn.XLOOKUP($I384,Assumptions!$B$30:$B$50,Assumptions!$C$30:$C$50,0),0)))</f>
        <v>24</v>
      </c>
      <c r="T384" s="16" t="str">
        <f>IF($C384&lt;&gt;"Organisation","",IF(OR($P384&lt;&gt;"",$Q384&lt;&gt;""),"Documented in source - midpoint of annual_intake_low/high",IF($I384="","No confirmed programme - modelled as zero",$N384&amp;" base x "&amp;TEXT(_xlfn.XLOOKUP($G384,Assumptions!$B$13:$B$26,Assumptions!$C$13:$C$26,0),"0.0#")&amp;" sector x "&amp;TEXT(_xlfn.XLOOKUP($I384,Assumptions!$B$30:$B$50,Assumptions!$C$30:$C$50,0),"0.0#")&amp;" mechanism")))</f>
        <v>Mid base x 0.8 sector x 1.0 mechanism</v>
      </c>
      <c r="U384" s="13" t="s">
        <v>230</v>
      </c>
      <c r="V384" s="13" t="s">
        <v>231</v>
      </c>
      <c r="W384" s="13" t="s">
        <v>99</v>
      </c>
      <c r="X384" s="13"/>
    </row>
    <row r="385" spans="1:24" x14ac:dyDescent="0.2">
      <c r="A385" s="13" t="s">
        <v>3133</v>
      </c>
      <c r="B385" s="13" t="s">
        <v>3134</v>
      </c>
      <c r="C385" s="13" t="s">
        <v>205</v>
      </c>
      <c r="D385" s="13" t="s">
        <v>2937</v>
      </c>
      <c r="E385" s="13" t="s">
        <v>2947</v>
      </c>
      <c r="F385" s="13" t="s">
        <v>2960</v>
      </c>
      <c r="G385" s="13" t="s">
        <v>170</v>
      </c>
      <c r="H385" s="13" t="s">
        <v>3135</v>
      </c>
      <c r="I385" s="13" t="s">
        <v>2986</v>
      </c>
      <c r="J385" s="13" t="s">
        <v>3136</v>
      </c>
      <c r="K385" s="19" t="s">
        <v>3137</v>
      </c>
      <c r="L385" s="17"/>
      <c r="M385" s="17"/>
      <c r="N385" s="13" t="s">
        <v>218</v>
      </c>
      <c r="O385" s="13" t="s">
        <v>209</v>
      </c>
      <c r="P385" s="16"/>
      <c r="Q385" s="16"/>
      <c r="R385" s="16"/>
      <c r="S385" s="21">
        <f>IF($C385&lt;&gt;"Organisation","",IF(OR($P385&lt;&gt;"",$Q385&lt;&gt;""),IF($P385&lt;&gt;"",IF($Q385&lt;&gt;"",($P385+$Q385)/2,$P385),$Q385),ROUND(_xlfn.XLOOKUP($N385,Assumptions!$B$5:$B$9,Assumptions!$C$5:$C$9,0)*_xlfn.XLOOKUP($G385,Assumptions!$B$13:$B$26,Assumptions!$C$13:$C$26,0)*_xlfn.XLOOKUP($I385,Assumptions!$B$30:$B$50,Assumptions!$C$30:$C$50,0),0)))</f>
        <v>240</v>
      </c>
      <c r="T385" s="16" t="str">
        <f>IF($C385&lt;&gt;"Organisation","",IF(OR($P385&lt;&gt;"",$Q385&lt;&gt;""),"Documented in source - midpoint of annual_intake_low/high",IF($I385="","No confirmed programme - modelled as zero",$N385&amp;" base x "&amp;TEXT(_xlfn.XLOOKUP($G385,Assumptions!$B$13:$B$26,Assumptions!$C$13:$C$26,0),"0.0#")&amp;" sector x "&amp;TEXT(_xlfn.XLOOKUP($I385,Assumptions!$B$30:$B$50,Assumptions!$C$30:$C$50,0),"0.0#")&amp;" mechanism")))</f>
        <v>Mega base x 1.0 sector x 0.6 mechanism</v>
      </c>
      <c r="U385" s="13" t="s">
        <v>210</v>
      </c>
      <c r="V385" s="13" t="s">
        <v>211</v>
      </c>
      <c r="W385" s="13" t="s">
        <v>99</v>
      </c>
      <c r="X385" s="13" t="s">
        <v>3138</v>
      </c>
    </row>
    <row r="386" spans="1:24" x14ac:dyDescent="0.2">
      <c r="A386" s="13" t="s">
        <v>3139</v>
      </c>
      <c r="B386" s="13" t="s">
        <v>3140</v>
      </c>
      <c r="C386" s="13" t="s">
        <v>205</v>
      </c>
      <c r="D386" s="13" t="s">
        <v>2937</v>
      </c>
      <c r="E386" s="13" t="s">
        <v>2947</v>
      </c>
      <c r="F386" s="13" t="s">
        <v>2958</v>
      </c>
      <c r="G386" s="13" t="s">
        <v>170</v>
      </c>
      <c r="H386" s="13" t="s">
        <v>3141</v>
      </c>
      <c r="I386" s="13" t="s">
        <v>2986</v>
      </c>
      <c r="J386" s="13" t="s">
        <v>3142</v>
      </c>
      <c r="K386" s="19"/>
      <c r="L386" s="17"/>
      <c r="M386" s="17"/>
      <c r="N386" s="13" t="s">
        <v>218</v>
      </c>
      <c r="O386" s="13" t="s">
        <v>209</v>
      </c>
      <c r="P386" s="16"/>
      <c r="Q386" s="16"/>
      <c r="R386" s="16"/>
      <c r="S386" s="21">
        <f>IF($C386&lt;&gt;"Organisation","",IF(OR($P386&lt;&gt;"",$Q386&lt;&gt;""),IF($P386&lt;&gt;"",IF($Q386&lt;&gt;"",($P386+$Q386)/2,$P386),$Q386),ROUND(_xlfn.XLOOKUP($N386,Assumptions!$B$5:$B$9,Assumptions!$C$5:$C$9,0)*_xlfn.XLOOKUP($G386,Assumptions!$B$13:$B$26,Assumptions!$C$13:$C$26,0)*_xlfn.XLOOKUP($I386,Assumptions!$B$30:$B$50,Assumptions!$C$30:$C$50,0),0)))</f>
        <v>240</v>
      </c>
      <c r="T386" s="16" t="str">
        <f>IF($C386&lt;&gt;"Organisation","",IF(OR($P386&lt;&gt;"",$Q386&lt;&gt;""),"Documented in source - midpoint of annual_intake_low/high",IF($I386="","No confirmed programme - modelled as zero",$N386&amp;" base x "&amp;TEXT(_xlfn.XLOOKUP($G386,Assumptions!$B$13:$B$26,Assumptions!$C$13:$C$26,0),"0.0#")&amp;" sector x "&amp;TEXT(_xlfn.XLOOKUP($I386,Assumptions!$B$30:$B$50,Assumptions!$C$30:$C$50,0),"0.0#")&amp;" mechanism")))</f>
        <v>Mega base x 1.0 sector x 0.6 mechanism</v>
      </c>
      <c r="U386" s="13" t="s">
        <v>230</v>
      </c>
      <c r="V386" s="13" t="s">
        <v>231</v>
      </c>
      <c r="W386" s="13" t="s">
        <v>99</v>
      </c>
      <c r="X386" s="13"/>
    </row>
    <row r="387" spans="1:24" x14ac:dyDescent="0.2">
      <c r="A387" s="13" t="s">
        <v>3143</v>
      </c>
      <c r="B387" s="13" t="s">
        <v>3144</v>
      </c>
      <c r="C387" s="13" t="s">
        <v>205</v>
      </c>
      <c r="D387" s="13" t="s">
        <v>2937</v>
      </c>
      <c r="E387" s="13" t="s">
        <v>2947</v>
      </c>
      <c r="F387" s="13" t="s">
        <v>2960</v>
      </c>
      <c r="G387" s="13" t="s">
        <v>170</v>
      </c>
      <c r="H387" s="13" t="s">
        <v>3145</v>
      </c>
      <c r="I387" s="13" t="s">
        <v>2986</v>
      </c>
      <c r="J387" s="13" t="s">
        <v>3142</v>
      </c>
      <c r="K387" s="19"/>
      <c r="L387" s="17"/>
      <c r="M387" s="17"/>
      <c r="N387" s="13" t="s">
        <v>208</v>
      </c>
      <c r="O387" s="13" t="s">
        <v>209</v>
      </c>
      <c r="P387" s="16"/>
      <c r="Q387" s="16"/>
      <c r="R387" s="16"/>
      <c r="S387" s="21">
        <f>IF($C387&lt;&gt;"Organisation","",IF(OR($P387&lt;&gt;"",$Q387&lt;&gt;""),IF($P387&lt;&gt;"",IF($Q387&lt;&gt;"",($P387+$Q387)/2,$P387),$Q387),ROUND(_xlfn.XLOOKUP($N387,Assumptions!$B$5:$B$9,Assumptions!$C$5:$C$9,0)*_xlfn.XLOOKUP($G387,Assumptions!$B$13:$B$26,Assumptions!$C$13:$C$26,0)*_xlfn.XLOOKUP($I387,Assumptions!$B$30:$B$50,Assumptions!$C$30:$C$50,0),0)))</f>
        <v>72</v>
      </c>
      <c r="T387" s="16" t="str">
        <f>IF($C387&lt;&gt;"Organisation","",IF(OR($P387&lt;&gt;"",$Q387&lt;&gt;""),"Documented in source - midpoint of annual_intake_low/high",IF($I387="","No confirmed programme - modelled as zero",$N387&amp;" base x "&amp;TEXT(_xlfn.XLOOKUP($G387,Assumptions!$B$13:$B$26,Assumptions!$C$13:$C$26,0),"0.0#")&amp;" sector x "&amp;TEXT(_xlfn.XLOOKUP($I387,Assumptions!$B$30:$B$50,Assumptions!$C$30:$C$50,0),"0.0#")&amp;" mechanism")))</f>
        <v>Large base x 1.0 sector x 0.6 mechanism</v>
      </c>
      <c r="U387" s="13" t="s">
        <v>230</v>
      </c>
      <c r="V387" s="13" t="s">
        <v>231</v>
      </c>
      <c r="W387" s="13" t="s">
        <v>99</v>
      </c>
      <c r="X387" s="13"/>
    </row>
    <row r="388" spans="1:24" x14ac:dyDescent="0.2">
      <c r="A388" s="13" t="s">
        <v>3146</v>
      </c>
      <c r="B388" s="13" t="s">
        <v>3147</v>
      </c>
      <c r="C388" s="13" t="s">
        <v>205</v>
      </c>
      <c r="D388" s="13" t="s">
        <v>2937</v>
      </c>
      <c r="E388" s="13" t="s">
        <v>2947</v>
      </c>
      <c r="F388" s="13" t="s">
        <v>2958</v>
      </c>
      <c r="G388" s="13" t="s">
        <v>170</v>
      </c>
      <c r="H388" s="13" t="s">
        <v>3145</v>
      </c>
      <c r="I388" s="13" t="s">
        <v>2986</v>
      </c>
      <c r="J388" s="13" t="s">
        <v>3148</v>
      </c>
      <c r="K388" s="19"/>
      <c r="L388" s="17"/>
      <c r="M388" s="17"/>
      <c r="N388" s="13" t="s">
        <v>208</v>
      </c>
      <c r="O388" s="13" t="s">
        <v>209</v>
      </c>
      <c r="P388" s="16"/>
      <c r="Q388" s="16"/>
      <c r="R388" s="16"/>
      <c r="S388" s="21">
        <f>IF($C388&lt;&gt;"Organisation","",IF(OR($P388&lt;&gt;"",$Q388&lt;&gt;""),IF($P388&lt;&gt;"",IF($Q388&lt;&gt;"",($P388+$Q388)/2,$P388),$Q388),ROUND(_xlfn.XLOOKUP($N388,Assumptions!$B$5:$B$9,Assumptions!$C$5:$C$9,0)*_xlfn.XLOOKUP($G388,Assumptions!$B$13:$B$26,Assumptions!$C$13:$C$26,0)*_xlfn.XLOOKUP($I388,Assumptions!$B$30:$B$50,Assumptions!$C$30:$C$50,0),0)))</f>
        <v>72</v>
      </c>
      <c r="T388" s="16" t="str">
        <f>IF($C388&lt;&gt;"Organisation","",IF(OR($P388&lt;&gt;"",$Q388&lt;&gt;""),"Documented in source - midpoint of annual_intake_low/high",IF($I388="","No confirmed programme - modelled as zero",$N388&amp;" base x "&amp;TEXT(_xlfn.XLOOKUP($G388,Assumptions!$B$13:$B$26,Assumptions!$C$13:$C$26,0),"0.0#")&amp;" sector x "&amp;TEXT(_xlfn.XLOOKUP($I388,Assumptions!$B$30:$B$50,Assumptions!$C$30:$C$50,0),"0.0#")&amp;" mechanism")))</f>
        <v>Large base x 1.0 sector x 0.6 mechanism</v>
      </c>
      <c r="U388" s="13" t="s">
        <v>230</v>
      </c>
      <c r="V388" s="13" t="s">
        <v>231</v>
      </c>
      <c r="W388" s="13" t="s">
        <v>99</v>
      </c>
      <c r="X388" s="13"/>
    </row>
    <row r="389" spans="1:24" x14ac:dyDescent="0.2">
      <c r="A389" s="13" t="s">
        <v>3149</v>
      </c>
      <c r="B389" s="13" t="s">
        <v>3150</v>
      </c>
      <c r="C389" s="13" t="s">
        <v>205</v>
      </c>
      <c r="D389" s="13" t="s">
        <v>2937</v>
      </c>
      <c r="E389" s="13" t="s">
        <v>2947</v>
      </c>
      <c r="F389" s="13" t="s">
        <v>2958</v>
      </c>
      <c r="G389" s="13" t="s">
        <v>170</v>
      </c>
      <c r="H389" s="13" t="s">
        <v>3151</v>
      </c>
      <c r="I389" s="13" t="s">
        <v>2986</v>
      </c>
      <c r="J389" s="13" t="s">
        <v>3148</v>
      </c>
      <c r="K389" s="19"/>
      <c r="L389" s="17"/>
      <c r="M389" s="17"/>
      <c r="N389" s="13" t="s">
        <v>208</v>
      </c>
      <c r="O389" s="13" t="s">
        <v>209</v>
      </c>
      <c r="P389" s="16"/>
      <c r="Q389" s="16"/>
      <c r="R389" s="16"/>
      <c r="S389" s="21">
        <f>IF($C389&lt;&gt;"Organisation","",IF(OR($P389&lt;&gt;"",$Q389&lt;&gt;""),IF($P389&lt;&gt;"",IF($Q389&lt;&gt;"",($P389+$Q389)/2,$P389),$Q389),ROUND(_xlfn.XLOOKUP($N389,Assumptions!$B$5:$B$9,Assumptions!$C$5:$C$9,0)*_xlfn.XLOOKUP($G389,Assumptions!$B$13:$B$26,Assumptions!$C$13:$C$26,0)*_xlfn.XLOOKUP($I389,Assumptions!$B$30:$B$50,Assumptions!$C$30:$C$50,0),0)))</f>
        <v>72</v>
      </c>
      <c r="T389" s="16" t="str">
        <f>IF($C389&lt;&gt;"Organisation","",IF(OR($P389&lt;&gt;"",$Q389&lt;&gt;""),"Documented in source - midpoint of annual_intake_low/high",IF($I389="","No confirmed programme - modelled as zero",$N389&amp;" base x "&amp;TEXT(_xlfn.XLOOKUP($G389,Assumptions!$B$13:$B$26,Assumptions!$C$13:$C$26,0),"0.0#")&amp;" sector x "&amp;TEXT(_xlfn.XLOOKUP($I389,Assumptions!$B$30:$B$50,Assumptions!$C$30:$C$50,0),"0.0#")&amp;" mechanism")))</f>
        <v>Large base x 1.0 sector x 0.6 mechanism</v>
      </c>
      <c r="U389" s="13" t="s">
        <v>230</v>
      </c>
      <c r="V389" s="13" t="s">
        <v>231</v>
      </c>
      <c r="W389" s="13" t="s">
        <v>99</v>
      </c>
      <c r="X389" s="13" t="s">
        <v>3152</v>
      </c>
    </row>
    <row r="390" spans="1:24" x14ac:dyDescent="0.2">
      <c r="A390" s="13" t="s">
        <v>3153</v>
      </c>
      <c r="B390" s="13" t="s">
        <v>3154</v>
      </c>
      <c r="C390" s="13" t="s">
        <v>205</v>
      </c>
      <c r="D390" s="13" t="s">
        <v>2937</v>
      </c>
      <c r="E390" s="13" t="s">
        <v>2947</v>
      </c>
      <c r="F390" s="13" t="s">
        <v>2960</v>
      </c>
      <c r="G390" s="13" t="s">
        <v>170</v>
      </c>
      <c r="H390" s="13" t="s">
        <v>3151</v>
      </c>
      <c r="I390" s="13" t="s">
        <v>2986</v>
      </c>
      <c r="J390" s="13" t="s">
        <v>3148</v>
      </c>
      <c r="K390" s="19"/>
      <c r="L390" s="17"/>
      <c r="M390" s="17"/>
      <c r="N390" s="13" t="s">
        <v>208</v>
      </c>
      <c r="O390" s="13" t="s">
        <v>209</v>
      </c>
      <c r="P390" s="16"/>
      <c r="Q390" s="16"/>
      <c r="R390" s="16"/>
      <c r="S390" s="21">
        <f>IF($C390&lt;&gt;"Organisation","",IF(OR($P390&lt;&gt;"",$Q390&lt;&gt;""),IF($P390&lt;&gt;"",IF($Q390&lt;&gt;"",($P390+$Q390)/2,$P390),$Q390),ROUND(_xlfn.XLOOKUP($N390,Assumptions!$B$5:$B$9,Assumptions!$C$5:$C$9,0)*_xlfn.XLOOKUP($G390,Assumptions!$B$13:$B$26,Assumptions!$C$13:$C$26,0)*_xlfn.XLOOKUP($I390,Assumptions!$B$30:$B$50,Assumptions!$C$30:$C$50,0),0)))</f>
        <v>72</v>
      </c>
      <c r="T390" s="16" t="str">
        <f>IF($C390&lt;&gt;"Organisation","",IF(OR($P390&lt;&gt;"",$Q390&lt;&gt;""),"Documented in source - midpoint of annual_intake_low/high",IF($I390="","No confirmed programme - modelled as zero",$N390&amp;" base x "&amp;TEXT(_xlfn.XLOOKUP($G390,Assumptions!$B$13:$B$26,Assumptions!$C$13:$C$26,0),"0.0#")&amp;" sector x "&amp;TEXT(_xlfn.XLOOKUP($I390,Assumptions!$B$30:$B$50,Assumptions!$C$30:$C$50,0),"0.0#")&amp;" mechanism")))</f>
        <v>Large base x 1.0 sector x 0.6 mechanism</v>
      </c>
      <c r="U390" s="13" t="s">
        <v>230</v>
      </c>
      <c r="V390" s="13" t="s">
        <v>231</v>
      </c>
      <c r="W390" s="13" t="s">
        <v>99</v>
      </c>
      <c r="X390" s="13"/>
    </row>
    <row r="391" spans="1:24" x14ac:dyDescent="0.2">
      <c r="A391" s="13" t="s">
        <v>3155</v>
      </c>
      <c r="B391" s="13" t="s">
        <v>3156</v>
      </c>
      <c r="C391" s="13" t="s">
        <v>205</v>
      </c>
      <c r="D391" s="13" t="s">
        <v>2937</v>
      </c>
      <c r="E391" s="13" t="s">
        <v>2947</v>
      </c>
      <c r="F391" s="13" t="s">
        <v>2960</v>
      </c>
      <c r="G391" s="13" t="s">
        <v>174</v>
      </c>
      <c r="H391" s="13" t="s">
        <v>3004</v>
      </c>
      <c r="I391" s="13" t="s">
        <v>2986</v>
      </c>
      <c r="J391" s="13" t="s">
        <v>3157</v>
      </c>
      <c r="K391" s="19"/>
      <c r="L391" s="17"/>
      <c r="M391" s="17"/>
      <c r="N391" s="13" t="s">
        <v>244</v>
      </c>
      <c r="O391" s="13" t="s">
        <v>209</v>
      </c>
      <c r="P391" s="16"/>
      <c r="Q391" s="16"/>
      <c r="R391" s="16"/>
      <c r="S391" s="21">
        <f>IF($C391&lt;&gt;"Organisation","",IF(OR($P391&lt;&gt;"",$Q391&lt;&gt;""),IF($P391&lt;&gt;"",IF($Q391&lt;&gt;"",($P391+$Q391)/2,$P391),$Q391),ROUND(_xlfn.XLOOKUP($N391,Assumptions!$B$5:$B$9,Assumptions!$C$5:$C$9,0)*_xlfn.XLOOKUP($G391,Assumptions!$B$13:$B$26,Assumptions!$C$13:$C$26,0)*_xlfn.XLOOKUP($I391,Assumptions!$B$30:$B$50,Assumptions!$C$30:$C$50,0),0)))</f>
        <v>14</v>
      </c>
      <c r="T391" s="16" t="str">
        <f>IF($C391&lt;&gt;"Organisation","",IF(OR($P391&lt;&gt;"",$Q391&lt;&gt;""),"Documented in source - midpoint of annual_intake_low/high",IF($I391="","No confirmed programme - modelled as zero",$N391&amp;" base x "&amp;TEXT(_xlfn.XLOOKUP($G391,Assumptions!$B$13:$B$26,Assumptions!$C$13:$C$26,0),"0.0#")&amp;" sector x "&amp;TEXT(_xlfn.XLOOKUP($I391,Assumptions!$B$30:$B$50,Assumptions!$C$30:$C$50,0),"0.0#")&amp;" mechanism")))</f>
        <v>Mid base x 0.8 sector x 0.6 mechanism</v>
      </c>
      <c r="U391" s="13" t="s">
        <v>230</v>
      </c>
      <c r="V391" s="13" t="s">
        <v>231</v>
      </c>
      <c r="W391" s="13" t="s">
        <v>99</v>
      </c>
      <c r="X391" s="13" t="s">
        <v>3158</v>
      </c>
    </row>
    <row r="392" spans="1:24" x14ac:dyDescent="0.2">
      <c r="A392" s="13" t="s">
        <v>3159</v>
      </c>
      <c r="B392" s="13" t="s">
        <v>3160</v>
      </c>
      <c r="C392" s="13" t="s">
        <v>205</v>
      </c>
      <c r="D392" s="13" t="s">
        <v>2937</v>
      </c>
      <c r="E392" s="13" t="s">
        <v>2947</v>
      </c>
      <c r="F392" s="13" t="s">
        <v>2960</v>
      </c>
      <c r="G392" s="13" t="s">
        <v>174</v>
      </c>
      <c r="H392" s="13" t="s">
        <v>3161</v>
      </c>
      <c r="I392" s="13" t="s">
        <v>2986</v>
      </c>
      <c r="J392" s="13" t="s">
        <v>3162</v>
      </c>
      <c r="K392" s="19"/>
      <c r="L392" s="17"/>
      <c r="M392" s="17"/>
      <c r="N392" s="13" t="s">
        <v>244</v>
      </c>
      <c r="O392" s="13" t="s">
        <v>209</v>
      </c>
      <c r="P392" s="16"/>
      <c r="Q392" s="16"/>
      <c r="R392" s="16"/>
      <c r="S392" s="21">
        <f>IF($C392&lt;&gt;"Organisation","",IF(OR($P392&lt;&gt;"",$Q392&lt;&gt;""),IF($P392&lt;&gt;"",IF($Q392&lt;&gt;"",($P392+$Q392)/2,$P392),$Q392),ROUND(_xlfn.XLOOKUP($N392,Assumptions!$B$5:$B$9,Assumptions!$C$5:$C$9,0)*_xlfn.XLOOKUP($G392,Assumptions!$B$13:$B$26,Assumptions!$C$13:$C$26,0)*_xlfn.XLOOKUP($I392,Assumptions!$B$30:$B$50,Assumptions!$C$30:$C$50,0),0)))</f>
        <v>14</v>
      </c>
      <c r="T392" s="16" t="str">
        <f>IF($C392&lt;&gt;"Organisation","",IF(OR($P392&lt;&gt;"",$Q392&lt;&gt;""),"Documented in source - midpoint of annual_intake_low/high",IF($I392="","No confirmed programme - modelled as zero",$N392&amp;" base x "&amp;TEXT(_xlfn.XLOOKUP($G392,Assumptions!$B$13:$B$26,Assumptions!$C$13:$C$26,0),"0.0#")&amp;" sector x "&amp;TEXT(_xlfn.XLOOKUP($I392,Assumptions!$B$30:$B$50,Assumptions!$C$30:$C$50,0),"0.0#")&amp;" mechanism")))</f>
        <v>Mid base x 0.8 sector x 0.6 mechanism</v>
      </c>
      <c r="U392" s="13" t="s">
        <v>230</v>
      </c>
      <c r="V392" s="13" t="s">
        <v>231</v>
      </c>
      <c r="W392" s="13" t="s">
        <v>99</v>
      </c>
      <c r="X392" s="13"/>
    </row>
    <row r="393" spans="1:24" x14ac:dyDescent="0.2">
      <c r="A393" s="13" t="s">
        <v>3163</v>
      </c>
      <c r="B393" s="13" t="s">
        <v>3164</v>
      </c>
      <c r="C393" s="13" t="s">
        <v>205</v>
      </c>
      <c r="D393" s="13" t="s">
        <v>2937</v>
      </c>
      <c r="E393" s="13" t="s">
        <v>2947</v>
      </c>
      <c r="F393" s="13" t="s">
        <v>2960</v>
      </c>
      <c r="G393" s="13" t="s">
        <v>186</v>
      </c>
      <c r="H393" s="13" t="s">
        <v>1116</v>
      </c>
      <c r="I393" s="13" t="s">
        <v>2986</v>
      </c>
      <c r="J393" s="13" t="s">
        <v>3165</v>
      </c>
      <c r="K393" s="19"/>
      <c r="L393" s="17"/>
      <c r="M393" s="17"/>
      <c r="N393" s="13" t="s">
        <v>244</v>
      </c>
      <c r="O393" s="13" t="s">
        <v>209</v>
      </c>
      <c r="P393" s="16"/>
      <c r="Q393" s="16"/>
      <c r="R393" s="16"/>
      <c r="S393" s="21">
        <f>IF($C393&lt;&gt;"Organisation","",IF(OR($P393&lt;&gt;"",$Q393&lt;&gt;""),IF($P393&lt;&gt;"",IF($Q393&lt;&gt;"",($P393+$Q393)/2,$P393),$Q393),ROUND(_xlfn.XLOOKUP($N393,Assumptions!$B$5:$B$9,Assumptions!$C$5:$C$9,0)*_xlfn.XLOOKUP($G393,Assumptions!$B$13:$B$26,Assumptions!$C$13:$C$26,0)*_xlfn.XLOOKUP($I393,Assumptions!$B$30:$B$50,Assumptions!$C$30:$C$50,0),0)))</f>
        <v>18</v>
      </c>
      <c r="T393" s="16" t="str">
        <f>IF($C393&lt;&gt;"Organisation","",IF(OR($P393&lt;&gt;"",$Q393&lt;&gt;""),"Documented in source - midpoint of annual_intake_low/high",IF($I393="","No confirmed programme - modelled as zero",$N393&amp;" base x "&amp;TEXT(_xlfn.XLOOKUP($G393,Assumptions!$B$13:$B$26,Assumptions!$C$13:$C$26,0),"0.0#")&amp;" sector x "&amp;TEXT(_xlfn.XLOOKUP($I393,Assumptions!$B$30:$B$50,Assumptions!$C$30:$C$50,0),"0.0#")&amp;" mechanism")))</f>
        <v>Mid base x 1.0 sector x 0.6 mechanism</v>
      </c>
      <c r="U393" s="13" t="s">
        <v>230</v>
      </c>
      <c r="V393" s="13" t="s">
        <v>231</v>
      </c>
      <c r="W393" s="13" t="s">
        <v>99</v>
      </c>
      <c r="X393" s="13" t="s">
        <v>3166</v>
      </c>
    </row>
    <row r="394" spans="1:24" x14ac:dyDescent="0.2">
      <c r="A394" s="13" t="s">
        <v>3167</v>
      </c>
      <c r="B394" s="13" t="s">
        <v>3168</v>
      </c>
      <c r="C394" s="13" t="s">
        <v>205</v>
      </c>
      <c r="D394" s="13" t="s">
        <v>2937</v>
      </c>
      <c r="E394" s="13" t="s">
        <v>2947</v>
      </c>
      <c r="F394" s="13" t="s">
        <v>2958</v>
      </c>
      <c r="G394" s="13" t="s">
        <v>178</v>
      </c>
      <c r="H394" s="13" t="s">
        <v>3018</v>
      </c>
      <c r="I394" s="13" t="s">
        <v>2986</v>
      </c>
      <c r="J394" s="13" t="s">
        <v>394</v>
      </c>
      <c r="K394" s="19"/>
      <c r="L394" s="17"/>
      <c r="M394" s="17"/>
      <c r="N394" s="13" t="s">
        <v>244</v>
      </c>
      <c r="O394" s="13" t="s">
        <v>209</v>
      </c>
      <c r="P394" s="16"/>
      <c r="Q394" s="16"/>
      <c r="R394" s="16"/>
      <c r="S394" s="21">
        <f>IF($C394&lt;&gt;"Organisation","",IF(OR($P394&lt;&gt;"",$Q394&lt;&gt;""),IF($P394&lt;&gt;"",IF($Q394&lt;&gt;"",($P394+$Q394)/2,$P394),$Q394),ROUND(_xlfn.XLOOKUP($N394,Assumptions!$B$5:$B$9,Assumptions!$C$5:$C$9,0)*_xlfn.XLOOKUP($G394,Assumptions!$B$13:$B$26,Assumptions!$C$13:$C$26,0)*_xlfn.XLOOKUP($I394,Assumptions!$B$30:$B$50,Assumptions!$C$30:$C$50,0),0)))</f>
        <v>27</v>
      </c>
      <c r="T394" s="16" t="str">
        <f>IF($C394&lt;&gt;"Organisation","",IF(OR($P394&lt;&gt;"",$Q394&lt;&gt;""),"Documented in source - midpoint of annual_intake_low/high",IF($I394="","No confirmed programme - modelled as zero",$N394&amp;" base x "&amp;TEXT(_xlfn.XLOOKUP($G394,Assumptions!$B$13:$B$26,Assumptions!$C$13:$C$26,0),"0.0#")&amp;" sector x "&amp;TEXT(_xlfn.XLOOKUP($I394,Assumptions!$B$30:$B$50,Assumptions!$C$30:$C$50,0),"0.0#")&amp;" mechanism")))</f>
        <v>Mid base x 1.5 sector x 0.6 mechanism</v>
      </c>
      <c r="U394" s="13" t="s">
        <v>230</v>
      </c>
      <c r="V394" s="13" t="s">
        <v>231</v>
      </c>
      <c r="W394" s="13" t="s">
        <v>99</v>
      </c>
      <c r="X394" s="13"/>
    </row>
    <row r="395" spans="1:24" x14ac:dyDescent="0.2">
      <c r="A395" s="13" t="s">
        <v>3169</v>
      </c>
      <c r="B395" s="13" t="s">
        <v>3170</v>
      </c>
      <c r="C395" s="13" t="s">
        <v>205</v>
      </c>
      <c r="D395" s="13" t="s">
        <v>2939</v>
      </c>
      <c r="E395" s="13" t="s">
        <v>2939</v>
      </c>
      <c r="F395" s="13" t="s">
        <v>2963</v>
      </c>
      <c r="G395" s="13" t="s">
        <v>170</v>
      </c>
      <c r="H395" s="13" t="s">
        <v>3171</v>
      </c>
      <c r="I395" s="13" t="s">
        <v>2988</v>
      </c>
      <c r="J395" s="13" t="s">
        <v>3172</v>
      </c>
      <c r="K395" s="19">
        <v>24</v>
      </c>
      <c r="L395" s="17"/>
      <c r="M395" s="17"/>
      <c r="N395" s="13" t="s">
        <v>218</v>
      </c>
      <c r="O395" s="13" t="s">
        <v>209</v>
      </c>
      <c r="P395" s="16"/>
      <c r="Q395" s="16"/>
      <c r="R395" s="16"/>
      <c r="S395" s="21">
        <f>IF($C395&lt;&gt;"Organisation","",IF(OR($P395&lt;&gt;"",$Q395&lt;&gt;""),IF($P395&lt;&gt;"",IF($Q395&lt;&gt;"",($P395+$Q395)/2,$P395),$Q395),ROUND(_xlfn.XLOOKUP($N395,Assumptions!$B$5:$B$9,Assumptions!$C$5:$C$9,0)*_xlfn.XLOOKUP($G395,Assumptions!$B$13:$B$26,Assumptions!$C$13:$C$26,0)*_xlfn.XLOOKUP($I395,Assumptions!$B$30:$B$50,Assumptions!$C$30:$C$50,0),0)))</f>
        <v>400</v>
      </c>
      <c r="T395" s="16" t="str">
        <f>IF($C395&lt;&gt;"Organisation","",IF(OR($P395&lt;&gt;"",$Q395&lt;&gt;""),"Documented in source - midpoint of annual_intake_low/high",IF($I395="","No confirmed programme - modelled as zero",$N395&amp;" base x "&amp;TEXT(_xlfn.XLOOKUP($G395,Assumptions!$B$13:$B$26,Assumptions!$C$13:$C$26,0),"0.0#")&amp;" sector x "&amp;TEXT(_xlfn.XLOOKUP($I395,Assumptions!$B$30:$B$50,Assumptions!$C$30:$C$50,0),"0.0#")&amp;" mechanism")))</f>
        <v>Mega base x 1.0 sector x 1.0 mechanism</v>
      </c>
      <c r="U395" s="13" t="s">
        <v>210</v>
      </c>
      <c r="V395" s="13" t="s">
        <v>211</v>
      </c>
      <c r="W395" s="13" t="s">
        <v>99</v>
      </c>
      <c r="X395" s="13" t="s">
        <v>3173</v>
      </c>
    </row>
    <row r="396" spans="1:24" x14ac:dyDescent="0.2">
      <c r="A396" s="13" t="s">
        <v>3174</v>
      </c>
      <c r="B396" s="13" t="s">
        <v>3175</v>
      </c>
      <c r="C396" s="13" t="s">
        <v>205</v>
      </c>
      <c r="D396" s="13" t="s">
        <v>2939</v>
      </c>
      <c r="E396" s="13" t="s">
        <v>2939</v>
      </c>
      <c r="F396" s="13" t="s">
        <v>2963</v>
      </c>
      <c r="G396" s="13" t="s">
        <v>170</v>
      </c>
      <c r="H396" s="13" t="s">
        <v>3171</v>
      </c>
      <c r="I396" s="13" t="s">
        <v>2988</v>
      </c>
      <c r="J396" s="13" t="s">
        <v>3176</v>
      </c>
      <c r="K396" s="19"/>
      <c r="L396" s="17"/>
      <c r="M396" s="17"/>
      <c r="N396" s="13" t="s">
        <v>218</v>
      </c>
      <c r="O396" s="13" t="s">
        <v>209</v>
      </c>
      <c r="P396" s="16"/>
      <c r="Q396" s="16"/>
      <c r="R396" s="16"/>
      <c r="S396" s="21">
        <f>IF($C396&lt;&gt;"Organisation","",IF(OR($P396&lt;&gt;"",$Q396&lt;&gt;""),IF($P396&lt;&gt;"",IF($Q396&lt;&gt;"",($P396+$Q396)/2,$P396),$Q396),ROUND(_xlfn.XLOOKUP($N396,Assumptions!$B$5:$B$9,Assumptions!$C$5:$C$9,0)*_xlfn.XLOOKUP($G396,Assumptions!$B$13:$B$26,Assumptions!$C$13:$C$26,0)*_xlfn.XLOOKUP($I396,Assumptions!$B$30:$B$50,Assumptions!$C$30:$C$50,0),0)))</f>
        <v>400</v>
      </c>
      <c r="T396" s="16" t="str">
        <f>IF($C396&lt;&gt;"Organisation","",IF(OR($P396&lt;&gt;"",$Q396&lt;&gt;""),"Documented in source - midpoint of annual_intake_low/high",IF($I396="","No confirmed programme - modelled as zero",$N396&amp;" base x "&amp;TEXT(_xlfn.XLOOKUP($G396,Assumptions!$B$13:$B$26,Assumptions!$C$13:$C$26,0),"0.0#")&amp;" sector x "&amp;TEXT(_xlfn.XLOOKUP($I396,Assumptions!$B$30:$B$50,Assumptions!$C$30:$C$50,0),"0.0#")&amp;" mechanism")))</f>
        <v>Mega base x 1.0 sector x 1.0 mechanism</v>
      </c>
      <c r="U396" s="13" t="s">
        <v>230</v>
      </c>
      <c r="V396" s="13" t="s">
        <v>231</v>
      </c>
      <c r="W396" s="13" t="s">
        <v>99</v>
      </c>
      <c r="X396" s="13"/>
    </row>
    <row r="397" spans="1:24" x14ac:dyDescent="0.2">
      <c r="A397" s="13" t="s">
        <v>3177</v>
      </c>
      <c r="B397" s="13" t="s">
        <v>3178</v>
      </c>
      <c r="C397" s="13" t="s">
        <v>205</v>
      </c>
      <c r="D397" s="13" t="s">
        <v>2939</v>
      </c>
      <c r="E397" s="13" t="s">
        <v>2939</v>
      </c>
      <c r="F397" s="13" t="s">
        <v>2963</v>
      </c>
      <c r="G397" s="13" t="s">
        <v>170</v>
      </c>
      <c r="H397" s="13" t="s">
        <v>3171</v>
      </c>
      <c r="I397" s="13" t="s">
        <v>2988</v>
      </c>
      <c r="J397" s="13" t="s">
        <v>3176</v>
      </c>
      <c r="K397" s="19"/>
      <c r="L397" s="17"/>
      <c r="M397" s="17"/>
      <c r="N397" s="13" t="s">
        <v>218</v>
      </c>
      <c r="O397" s="13" t="s">
        <v>209</v>
      </c>
      <c r="P397" s="16"/>
      <c r="Q397" s="16"/>
      <c r="R397" s="16"/>
      <c r="S397" s="21">
        <f>IF($C397&lt;&gt;"Organisation","",IF(OR($P397&lt;&gt;"",$Q397&lt;&gt;""),IF($P397&lt;&gt;"",IF($Q397&lt;&gt;"",($P397+$Q397)/2,$P397),$Q397),ROUND(_xlfn.XLOOKUP($N397,Assumptions!$B$5:$B$9,Assumptions!$C$5:$C$9,0)*_xlfn.XLOOKUP($G397,Assumptions!$B$13:$B$26,Assumptions!$C$13:$C$26,0)*_xlfn.XLOOKUP($I397,Assumptions!$B$30:$B$50,Assumptions!$C$30:$C$50,0),0)))</f>
        <v>400</v>
      </c>
      <c r="T397" s="16" t="str">
        <f>IF($C397&lt;&gt;"Organisation","",IF(OR($P397&lt;&gt;"",$Q397&lt;&gt;""),"Documented in source - midpoint of annual_intake_low/high",IF($I397="","No confirmed programme - modelled as zero",$N397&amp;" base x "&amp;TEXT(_xlfn.XLOOKUP($G397,Assumptions!$B$13:$B$26,Assumptions!$C$13:$C$26,0),"0.0#")&amp;" sector x "&amp;TEXT(_xlfn.XLOOKUP($I397,Assumptions!$B$30:$B$50,Assumptions!$C$30:$C$50,0),"0.0#")&amp;" mechanism")))</f>
        <v>Mega base x 1.0 sector x 1.0 mechanism</v>
      </c>
      <c r="U397" s="13" t="s">
        <v>230</v>
      </c>
      <c r="V397" s="13" t="s">
        <v>231</v>
      </c>
      <c r="W397" s="13" t="s">
        <v>99</v>
      </c>
      <c r="X397" s="13"/>
    </row>
    <row r="398" spans="1:24" x14ac:dyDescent="0.2">
      <c r="A398" s="13" t="s">
        <v>3179</v>
      </c>
      <c r="B398" s="13" t="s">
        <v>3180</v>
      </c>
      <c r="C398" s="13" t="s">
        <v>205</v>
      </c>
      <c r="D398" s="13" t="s">
        <v>2939</v>
      </c>
      <c r="E398" s="13" t="s">
        <v>2939</v>
      </c>
      <c r="F398" s="13" t="s">
        <v>2963</v>
      </c>
      <c r="G398" s="13" t="s">
        <v>170</v>
      </c>
      <c r="H398" s="13" t="s">
        <v>3171</v>
      </c>
      <c r="I398" s="13" t="s">
        <v>2988</v>
      </c>
      <c r="J398" s="13" t="s">
        <v>3176</v>
      </c>
      <c r="K398" s="19"/>
      <c r="L398" s="17"/>
      <c r="M398" s="17"/>
      <c r="N398" s="13" t="s">
        <v>218</v>
      </c>
      <c r="O398" s="13" t="s">
        <v>209</v>
      </c>
      <c r="P398" s="16"/>
      <c r="Q398" s="16"/>
      <c r="R398" s="16"/>
      <c r="S398" s="21">
        <f>IF($C398&lt;&gt;"Organisation","",IF(OR($P398&lt;&gt;"",$Q398&lt;&gt;""),IF($P398&lt;&gt;"",IF($Q398&lt;&gt;"",($P398+$Q398)/2,$P398),$Q398),ROUND(_xlfn.XLOOKUP($N398,Assumptions!$B$5:$B$9,Assumptions!$C$5:$C$9,0)*_xlfn.XLOOKUP($G398,Assumptions!$B$13:$B$26,Assumptions!$C$13:$C$26,0)*_xlfn.XLOOKUP($I398,Assumptions!$B$30:$B$50,Assumptions!$C$30:$C$50,0),0)))</f>
        <v>400</v>
      </c>
      <c r="T398" s="16" t="str">
        <f>IF($C398&lt;&gt;"Organisation","",IF(OR($P398&lt;&gt;"",$Q398&lt;&gt;""),"Documented in source - midpoint of annual_intake_low/high",IF($I398="","No confirmed programme - modelled as zero",$N398&amp;" base x "&amp;TEXT(_xlfn.XLOOKUP($G398,Assumptions!$B$13:$B$26,Assumptions!$C$13:$C$26,0),"0.0#")&amp;" sector x "&amp;TEXT(_xlfn.XLOOKUP($I398,Assumptions!$B$30:$B$50,Assumptions!$C$30:$C$50,0),"0.0#")&amp;" mechanism")))</f>
        <v>Mega base x 1.0 sector x 1.0 mechanism</v>
      </c>
      <c r="U398" s="13" t="s">
        <v>230</v>
      </c>
      <c r="V398" s="13" t="s">
        <v>231</v>
      </c>
      <c r="W398" s="13" t="s">
        <v>99</v>
      </c>
      <c r="X398" s="13"/>
    </row>
    <row r="399" spans="1:24" x14ac:dyDescent="0.2">
      <c r="A399" s="13" t="s">
        <v>3181</v>
      </c>
      <c r="B399" s="13" t="s">
        <v>3182</v>
      </c>
      <c r="C399" s="13" t="s">
        <v>205</v>
      </c>
      <c r="D399" s="13" t="s">
        <v>2939</v>
      </c>
      <c r="E399" s="13" t="s">
        <v>2939</v>
      </c>
      <c r="F399" s="13" t="s">
        <v>2963</v>
      </c>
      <c r="G399" s="13" t="s">
        <v>170</v>
      </c>
      <c r="H399" s="13" t="s">
        <v>3171</v>
      </c>
      <c r="I399" s="13" t="s">
        <v>2988</v>
      </c>
      <c r="J399" s="13" t="s">
        <v>3176</v>
      </c>
      <c r="K399" s="19"/>
      <c r="L399" s="17"/>
      <c r="M399" s="17"/>
      <c r="N399" s="13" t="s">
        <v>218</v>
      </c>
      <c r="O399" s="13" t="s">
        <v>209</v>
      </c>
      <c r="P399" s="16"/>
      <c r="Q399" s="16"/>
      <c r="R399" s="16"/>
      <c r="S399" s="21">
        <f>IF($C399&lt;&gt;"Organisation","",IF(OR($P399&lt;&gt;"",$Q399&lt;&gt;""),IF($P399&lt;&gt;"",IF($Q399&lt;&gt;"",($P399+$Q399)/2,$P399),$Q399),ROUND(_xlfn.XLOOKUP($N399,Assumptions!$B$5:$B$9,Assumptions!$C$5:$C$9,0)*_xlfn.XLOOKUP($G399,Assumptions!$B$13:$B$26,Assumptions!$C$13:$C$26,0)*_xlfn.XLOOKUP($I399,Assumptions!$B$30:$B$50,Assumptions!$C$30:$C$50,0),0)))</f>
        <v>400</v>
      </c>
      <c r="T399" s="16" t="str">
        <f>IF($C399&lt;&gt;"Organisation","",IF(OR($P399&lt;&gt;"",$Q399&lt;&gt;""),"Documented in source - midpoint of annual_intake_low/high",IF($I399="","No confirmed programme - modelled as zero",$N399&amp;" base x "&amp;TEXT(_xlfn.XLOOKUP($G399,Assumptions!$B$13:$B$26,Assumptions!$C$13:$C$26,0),"0.0#")&amp;" sector x "&amp;TEXT(_xlfn.XLOOKUP($I399,Assumptions!$B$30:$B$50,Assumptions!$C$30:$C$50,0),"0.0#")&amp;" mechanism")))</f>
        <v>Mega base x 1.0 sector x 1.0 mechanism</v>
      </c>
      <c r="U399" s="13" t="s">
        <v>230</v>
      </c>
      <c r="V399" s="13" t="s">
        <v>231</v>
      </c>
      <c r="W399" s="13" t="s">
        <v>99</v>
      </c>
      <c r="X399" s="13"/>
    </row>
    <row r="400" spans="1:24" x14ac:dyDescent="0.2">
      <c r="A400" s="13" t="s">
        <v>3183</v>
      </c>
      <c r="B400" s="13" t="s">
        <v>3184</v>
      </c>
      <c r="C400" s="13" t="s">
        <v>205</v>
      </c>
      <c r="D400" s="13" t="s">
        <v>2939</v>
      </c>
      <c r="E400" s="13" t="s">
        <v>2939</v>
      </c>
      <c r="F400" s="13" t="s">
        <v>2963</v>
      </c>
      <c r="G400" s="13" t="s">
        <v>176</v>
      </c>
      <c r="H400" s="13" t="s">
        <v>1580</v>
      </c>
      <c r="I400" s="13" t="s">
        <v>2988</v>
      </c>
      <c r="J400" s="13" t="s">
        <v>3185</v>
      </c>
      <c r="K400" s="19"/>
      <c r="L400" s="17"/>
      <c r="M400" s="17"/>
      <c r="N400" s="13" t="s">
        <v>218</v>
      </c>
      <c r="O400" s="13" t="s">
        <v>209</v>
      </c>
      <c r="P400" s="16"/>
      <c r="Q400" s="16"/>
      <c r="R400" s="16"/>
      <c r="S400" s="21">
        <f>IF($C400&lt;&gt;"Organisation","",IF(OR($P400&lt;&gt;"",$Q400&lt;&gt;""),IF($P400&lt;&gt;"",IF($Q400&lt;&gt;"",($P400+$Q400)/2,$P400),$Q400),ROUND(_xlfn.XLOOKUP($N400,Assumptions!$B$5:$B$9,Assumptions!$C$5:$C$9,0)*_xlfn.XLOOKUP($G400,Assumptions!$B$13:$B$26,Assumptions!$C$13:$C$26,0)*_xlfn.XLOOKUP($I400,Assumptions!$B$30:$B$50,Assumptions!$C$30:$C$50,0),0)))</f>
        <v>400</v>
      </c>
      <c r="T400" s="16" t="str">
        <f>IF($C400&lt;&gt;"Organisation","",IF(OR($P400&lt;&gt;"",$Q400&lt;&gt;""),"Documented in source - midpoint of annual_intake_low/high",IF($I400="","No confirmed programme - modelled as zero",$N400&amp;" base x "&amp;TEXT(_xlfn.XLOOKUP($G400,Assumptions!$B$13:$B$26,Assumptions!$C$13:$C$26,0),"0.0#")&amp;" sector x "&amp;TEXT(_xlfn.XLOOKUP($I400,Assumptions!$B$30:$B$50,Assumptions!$C$30:$C$50,0),"0.0#")&amp;" mechanism")))</f>
        <v>Mega base x 1.0 sector x 1.0 mechanism</v>
      </c>
      <c r="U400" s="13" t="s">
        <v>230</v>
      </c>
      <c r="V400" s="13" t="s">
        <v>231</v>
      </c>
      <c r="W400" s="13" t="s">
        <v>99</v>
      </c>
      <c r="X400" s="13"/>
    </row>
    <row r="401" spans="1:24" x14ac:dyDescent="0.2">
      <c r="A401" s="13" t="s">
        <v>3186</v>
      </c>
      <c r="B401" s="13" t="s">
        <v>3187</v>
      </c>
      <c r="C401" s="13" t="s">
        <v>205</v>
      </c>
      <c r="D401" s="13" t="s">
        <v>2939</v>
      </c>
      <c r="E401" s="13" t="s">
        <v>2939</v>
      </c>
      <c r="F401" s="13" t="s">
        <v>2963</v>
      </c>
      <c r="G401" s="13" t="s">
        <v>176</v>
      </c>
      <c r="H401" s="13" t="s">
        <v>1580</v>
      </c>
      <c r="I401" s="13" t="s">
        <v>2988</v>
      </c>
      <c r="J401" s="13" t="s">
        <v>3185</v>
      </c>
      <c r="K401" s="19"/>
      <c r="L401" s="17"/>
      <c r="M401" s="17"/>
      <c r="N401" s="13" t="s">
        <v>208</v>
      </c>
      <c r="O401" s="13" t="s">
        <v>209</v>
      </c>
      <c r="P401" s="16"/>
      <c r="Q401" s="16"/>
      <c r="R401" s="16"/>
      <c r="S401" s="21">
        <f>IF($C401&lt;&gt;"Organisation","",IF(OR($P401&lt;&gt;"",$Q401&lt;&gt;""),IF($P401&lt;&gt;"",IF($Q401&lt;&gt;"",($P401+$Q401)/2,$P401),$Q401),ROUND(_xlfn.XLOOKUP($N401,Assumptions!$B$5:$B$9,Assumptions!$C$5:$C$9,0)*_xlfn.XLOOKUP($G401,Assumptions!$B$13:$B$26,Assumptions!$C$13:$C$26,0)*_xlfn.XLOOKUP($I401,Assumptions!$B$30:$B$50,Assumptions!$C$30:$C$50,0),0)))</f>
        <v>120</v>
      </c>
      <c r="T401" s="16" t="str">
        <f>IF($C401&lt;&gt;"Organisation","",IF(OR($P401&lt;&gt;"",$Q401&lt;&gt;""),"Documented in source - midpoint of annual_intake_low/high",IF($I401="","No confirmed programme - modelled as zero",$N401&amp;" base x "&amp;TEXT(_xlfn.XLOOKUP($G401,Assumptions!$B$13:$B$26,Assumptions!$C$13:$C$26,0),"0.0#")&amp;" sector x "&amp;TEXT(_xlfn.XLOOKUP($I401,Assumptions!$B$30:$B$50,Assumptions!$C$30:$C$50,0),"0.0#")&amp;" mechanism")))</f>
        <v>Large base x 1.0 sector x 1.0 mechanism</v>
      </c>
      <c r="U401" s="13" t="s">
        <v>230</v>
      </c>
      <c r="V401" s="13" t="s">
        <v>231</v>
      </c>
      <c r="W401" s="13" t="s">
        <v>99</v>
      </c>
      <c r="X401" s="13"/>
    </row>
    <row r="402" spans="1:24" x14ac:dyDescent="0.2">
      <c r="A402" s="13" t="s">
        <v>3188</v>
      </c>
      <c r="B402" s="13" t="s">
        <v>3189</v>
      </c>
      <c r="C402" s="13" t="s">
        <v>205</v>
      </c>
      <c r="D402" s="13" t="s">
        <v>2939</v>
      </c>
      <c r="E402" s="13" t="s">
        <v>2939</v>
      </c>
      <c r="F402" s="13" t="s">
        <v>2963</v>
      </c>
      <c r="G402" s="13" t="s">
        <v>174</v>
      </c>
      <c r="H402" s="13" t="s">
        <v>3190</v>
      </c>
      <c r="I402" s="13" t="s">
        <v>2988</v>
      </c>
      <c r="J402" s="13" t="s">
        <v>3191</v>
      </c>
      <c r="K402" s="19"/>
      <c r="L402" s="17"/>
      <c r="M402" s="17"/>
      <c r="N402" s="13" t="s">
        <v>244</v>
      </c>
      <c r="O402" s="13" t="s">
        <v>209</v>
      </c>
      <c r="P402" s="16"/>
      <c r="Q402" s="16"/>
      <c r="R402" s="16"/>
      <c r="S402" s="21">
        <f>IF($C402&lt;&gt;"Organisation","",IF(OR($P402&lt;&gt;"",$Q402&lt;&gt;""),IF($P402&lt;&gt;"",IF($Q402&lt;&gt;"",($P402+$Q402)/2,$P402),$Q402),ROUND(_xlfn.XLOOKUP($N402,Assumptions!$B$5:$B$9,Assumptions!$C$5:$C$9,0)*_xlfn.XLOOKUP($G402,Assumptions!$B$13:$B$26,Assumptions!$C$13:$C$26,0)*_xlfn.XLOOKUP($I402,Assumptions!$B$30:$B$50,Assumptions!$C$30:$C$50,0),0)))</f>
        <v>24</v>
      </c>
      <c r="T402" s="16" t="str">
        <f>IF($C402&lt;&gt;"Organisation","",IF(OR($P402&lt;&gt;"",$Q402&lt;&gt;""),"Documented in source - midpoint of annual_intake_low/high",IF($I402="","No confirmed programme - modelled as zero",$N402&amp;" base x "&amp;TEXT(_xlfn.XLOOKUP($G402,Assumptions!$B$13:$B$26,Assumptions!$C$13:$C$26,0),"0.0#")&amp;" sector x "&amp;TEXT(_xlfn.XLOOKUP($I402,Assumptions!$B$30:$B$50,Assumptions!$C$30:$C$50,0),"0.0#")&amp;" mechanism")))</f>
        <v>Mid base x 0.8 sector x 1.0 mechanism</v>
      </c>
      <c r="U402" s="13" t="s">
        <v>230</v>
      </c>
      <c r="V402" s="13" t="s">
        <v>231</v>
      </c>
      <c r="W402" s="13" t="s">
        <v>99</v>
      </c>
      <c r="X402" s="13"/>
    </row>
    <row r="403" spans="1:24" x14ac:dyDescent="0.2">
      <c r="A403" s="13" t="s">
        <v>3192</v>
      </c>
      <c r="B403" s="13" t="s">
        <v>3193</v>
      </c>
      <c r="C403" s="13" t="s">
        <v>205</v>
      </c>
      <c r="D403" s="13" t="s">
        <v>2939</v>
      </c>
      <c r="E403" s="13" t="s">
        <v>2939</v>
      </c>
      <c r="F403" s="13" t="s">
        <v>2963</v>
      </c>
      <c r="G403" s="13" t="s">
        <v>174</v>
      </c>
      <c r="H403" s="13" t="s">
        <v>3194</v>
      </c>
      <c r="I403" s="13" t="s">
        <v>2988</v>
      </c>
      <c r="J403" s="13" t="s">
        <v>3128</v>
      </c>
      <c r="K403" s="19"/>
      <c r="L403" s="17"/>
      <c r="M403" s="17"/>
      <c r="N403" s="13" t="s">
        <v>244</v>
      </c>
      <c r="O403" s="13" t="s">
        <v>209</v>
      </c>
      <c r="P403" s="16"/>
      <c r="Q403" s="16"/>
      <c r="R403" s="16"/>
      <c r="S403" s="21">
        <f>IF($C403&lt;&gt;"Organisation","",IF(OR($P403&lt;&gt;"",$Q403&lt;&gt;""),IF($P403&lt;&gt;"",IF($Q403&lt;&gt;"",($P403+$Q403)/2,$P403),$Q403),ROUND(_xlfn.XLOOKUP($N403,Assumptions!$B$5:$B$9,Assumptions!$C$5:$C$9,0)*_xlfn.XLOOKUP($G403,Assumptions!$B$13:$B$26,Assumptions!$C$13:$C$26,0)*_xlfn.XLOOKUP($I403,Assumptions!$B$30:$B$50,Assumptions!$C$30:$C$50,0),0)))</f>
        <v>24</v>
      </c>
      <c r="T403" s="16" t="str">
        <f>IF($C403&lt;&gt;"Organisation","",IF(OR($P403&lt;&gt;"",$Q403&lt;&gt;""),"Documented in source - midpoint of annual_intake_low/high",IF($I403="","No confirmed programme - modelled as zero",$N403&amp;" base x "&amp;TEXT(_xlfn.XLOOKUP($G403,Assumptions!$B$13:$B$26,Assumptions!$C$13:$C$26,0),"0.0#")&amp;" sector x "&amp;TEXT(_xlfn.XLOOKUP($I403,Assumptions!$B$30:$B$50,Assumptions!$C$30:$C$50,0),"0.0#")&amp;" mechanism")))</f>
        <v>Mid base x 0.8 sector x 1.0 mechanism</v>
      </c>
      <c r="U403" s="13" t="s">
        <v>230</v>
      </c>
      <c r="V403" s="13" t="s">
        <v>231</v>
      </c>
      <c r="W403" s="13" t="s">
        <v>99</v>
      </c>
      <c r="X403" s="13"/>
    </row>
    <row r="404" spans="1:24" x14ac:dyDescent="0.2">
      <c r="A404" s="13" t="s">
        <v>3195</v>
      </c>
      <c r="B404" s="13" t="s">
        <v>3196</v>
      </c>
      <c r="C404" s="13" t="s">
        <v>205</v>
      </c>
      <c r="D404" s="13" t="s">
        <v>2939</v>
      </c>
      <c r="E404" s="13" t="s">
        <v>2939</v>
      </c>
      <c r="F404" s="13" t="s">
        <v>2963</v>
      </c>
      <c r="G404" s="13" t="s">
        <v>174</v>
      </c>
      <c r="H404" s="13" t="s">
        <v>3197</v>
      </c>
      <c r="I404" s="13" t="s">
        <v>2988</v>
      </c>
      <c r="J404" s="13" t="s">
        <v>3198</v>
      </c>
      <c r="K404" s="19"/>
      <c r="L404" s="17"/>
      <c r="M404" s="17"/>
      <c r="N404" s="13" t="s">
        <v>208</v>
      </c>
      <c r="O404" s="13" t="s">
        <v>209</v>
      </c>
      <c r="P404" s="16"/>
      <c r="Q404" s="16"/>
      <c r="R404" s="16"/>
      <c r="S404" s="21">
        <f>IF($C404&lt;&gt;"Organisation","",IF(OR($P404&lt;&gt;"",$Q404&lt;&gt;""),IF($P404&lt;&gt;"",IF($Q404&lt;&gt;"",($P404+$Q404)/2,$P404),$Q404),ROUND(_xlfn.XLOOKUP($N404,Assumptions!$B$5:$B$9,Assumptions!$C$5:$C$9,0)*_xlfn.XLOOKUP($G404,Assumptions!$B$13:$B$26,Assumptions!$C$13:$C$26,0)*_xlfn.XLOOKUP($I404,Assumptions!$B$30:$B$50,Assumptions!$C$30:$C$50,0),0)))</f>
        <v>96</v>
      </c>
      <c r="T404" s="16" t="str">
        <f>IF($C404&lt;&gt;"Organisation","",IF(OR($P404&lt;&gt;"",$Q404&lt;&gt;""),"Documented in source - midpoint of annual_intake_low/high",IF($I404="","No confirmed programme - modelled as zero",$N404&amp;" base x "&amp;TEXT(_xlfn.XLOOKUP($G404,Assumptions!$B$13:$B$26,Assumptions!$C$13:$C$26,0),"0.0#")&amp;" sector x "&amp;TEXT(_xlfn.XLOOKUP($I404,Assumptions!$B$30:$B$50,Assumptions!$C$30:$C$50,0),"0.0#")&amp;" mechanism")))</f>
        <v>Large base x 0.8 sector x 1.0 mechanism</v>
      </c>
      <c r="U404" s="13" t="s">
        <v>230</v>
      </c>
      <c r="V404" s="13" t="s">
        <v>231</v>
      </c>
      <c r="W404" s="13" t="s">
        <v>99</v>
      </c>
      <c r="X404" s="13"/>
    </row>
    <row r="405" spans="1:24" x14ac:dyDescent="0.2">
      <c r="A405" s="13" t="s">
        <v>3199</v>
      </c>
      <c r="B405" s="13" t="s">
        <v>3200</v>
      </c>
      <c r="C405" s="13" t="s">
        <v>205</v>
      </c>
      <c r="D405" s="13" t="s">
        <v>2939</v>
      </c>
      <c r="E405" s="13" t="s">
        <v>2939</v>
      </c>
      <c r="F405" s="13" t="s">
        <v>2963</v>
      </c>
      <c r="G405" s="13" t="s">
        <v>178</v>
      </c>
      <c r="H405" s="13" t="s">
        <v>3018</v>
      </c>
      <c r="I405" s="13" t="s">
        <v>2988</v>
      </c>
      <c r="J405" s="13" t="s">
        <v>394</v>
      </c>
      <c r="K405" s="19"/>
      <c r="L405" s="17"/>
      <c r="M405" s="17"/>
      <c r="N405" s="13" t="s">
        <v>244</v>
      </c>
      <c r="O405" s="13" t="s">
        <v>209</v>
      </c>
      <c r="P405" s="16"/>
      <c r="Q405" s="16"/>
      <c r="R405" s="16"/>
      <c r="S405" s="21">
        <f>IF($C405&lt;&gt;"Organisation","",IF(OR($P405&lt;&gt;"",$Q405&lt;&gt;""),IF($P405&lt;&gt;"",IF($Q405&lt;&gt;"",($P405+$Q405)/2,$P405),$Q405),ROUND(_xlfn.XLOOKUP($N405,Assumptions!$B$5:$B$9,Assumptions!$C$5:$C$9,0)*_xlfn.XLOOKUP($G405,Assumptions!$B$13:$B$26,Assumptions!$C$13:$C$26,0)*_xlfn.XLOOKUP($I405,Assumptions!$B$30:$B$50,Assumptions!$C$30:$C$50,0),0)))</f>
        <v>45</v>
      </c>
      <c r="T405" s="16" t="str">
        <f>IF($C405&lt;&gt;"Organisation","",IF(OR($P405&lt;&gt;"",$Q405&lt;&gt;""),"Documented in source - midpoint of annual_intake_low/high",IF($I405="","No confirmed programme - modelled as zero",$N405&amp;" base x "&amp;TEXT(_xlfn.XLOOKUP($G405,Assumptions!$B$13:$B$26,Assumptions!$C$13:$C$26,0),"0.0#")&amp;" sector x "&amp;TEXT(_xlfn.XLOOKUP($I405,Assumptions!$B$30:$B$50,Assumptions!$C$30:$C$50,0),"0.0#")&amp;" mechanism")))</f>
        <v>Mid base x 1.5 sector x 1.0 mechanism</v>
      </c>
      <c r="U405" s="13" t="s">
        <v>230</v>
      </c>
      <c r="V405" s="13" t="s">
        <v>231</v>
      </c>
      <c r="W405" s="13" t="s">
        <v>99</v>
      </c>
      <c r="X405" s="13"/>
    </row>
    <row r="406" spans="1:24" x14ac:dyDescent="0.2">
      <c r="A406" s="13" t="s">
        <v>3201</v>
      </c>
      <c r="B406" s="13" t="s">
        <v>3202</v>
      </c>
      <c r="C406" s="13" t="s">
        <v>205</v>
      </c>
      <c r="D406" s="13" t="s">
        <v>2939</v>
      </c>
      <c r="E406" s="13" t="s">
        <v>2939</v>
      </c>
      <c r="F406" s="13" t="s">
        <v>2965</v>
      </c>
      <c r="G406" s="13" t="s">
        <v>186</v>
      </c>
      <c r="H406" s="13" t="s">
        <v>1116</v>
      </c>
      <c r="I406" s="13" t="s">
        <v>2988</v>
      </c>
      <c r="J406" s="13" t="s">
        <v>3203</v>
      </c>
      <c r="K406" s="19"/>
      <c r="L406" s="17"/>
      <c r="M406" s="17"/>
      <c r="N406" s="13" t="s">
        <v>244</v>
      </c>
      <c r="O406" s="13" t="s">
        <v>209</v>
      </c>
      <c r="P406" s="16"/>
      <c r="Q406" s="16"/>
      <c r="R406" s="16"/>
      <c r="S406" s="21">
        <f>IF($C406&lt;&gt;"Organisation","",IF(OR($P406&lt;&gt;"",$Q406&lt;&gt;""),IF($P406&lt;&gt;"",IF($Q406&lt;&gt;"",($P406+$Q406)/2,$P406),$Q406),ROUND(_xlfn.XLOOKUP($N406,Assumptions!$B$5:$B$9,Assumptions!$C$5:$C$9,0)*_xlfn.XLOOKUP($G406,Assumptions!$B$13:$B$26,Assumptions!$C$13:$C$26,0)*_xlfn.XLOOKUP($I406,Assumptions!$B$30:$B$50,Assumptions!$C$30:$C$50,0),0)))</f>
        <v>30</v>
      </c>
      <c r="T406" s="16" t="str">
        <f>IF($C406&lt;&gt;"Organisation","",IF(OR($P406&lt;&gt;"",$Q406&lt;&gt;""),"Documented in source - midpoint of annual_intake_low/high",IF($I406="","No confirmed programme - modelled as zero",$N406&amp;" base x "&amp;TEXT(_xlfn.XLOOKUP($G406,Assumptions!$B$13:$B$26,Assumptions!$C$13:$C$26,0),"0.0#")&amp;" sector x "&amp;TEXT(_xlfn.XLOOKUP($I406,Assumptions!$B$30:$B$50,Assumptions!$C$30:$C$50,0),"0.0#")&amp;" mechanism")))</f>
        <v>Mid base x 1.0 sector x 1.0 mechanism</v>
      </c>
      <c r="U406" s="13" t="s">
        <v>230</v>
      </c>
      <c r="V406" s="13" t="s">
        <v>231</v>
      </c>
      <c r="W406" s="13" t="s">
        <v>80</v>
      </c>
      <c r="X406" s="13" t="s">
        <v>3204</v>
      </c>
    </row>
  </sheetData>
  <pageMargins left="0.7" right="0.7" top="0.75" bottom="0.75" header="0.3" footer="0.3"/>
  <pageSetup paperSize="9" orientation="portrait" horizontalDpi="0" verticalDpi="0"/>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2AB60-71EF-0E4D-9C52-789F03B40349}">
  <dimension ref="A1:G881"/>
  <sheetViews>
    <sheetView workbookViewId="0">
      <pane ySplit="1" topLeftCell="A2" activePane="bottomLeft" state="frozen"/>
      <selection pane="bottomLeft"/>
    </sheetView>
  </sheetViews>
  <sheetFormatPr baseColWidth="10" defaultRowHeight="16" x14ac:dyDescent="0.2"/>
  <cols>
    <col min="1" max="1" width="12.5" customWidth="1"/>
    <col min="2" max="3" width="25" customWidth="1"/>
    <col min="4" max="4" width="31.6640625" customWidth="1"/>
    <col min="5" max="5" width="13.33203125" customWidth="1"/>
    <col min="6" max="6" width="11.6640625" customWidth="1"/>
    <col min="7" max="7" width="71.6640625" customWidth="1"/>
  </cols>
  <sheetData>
    <row r="1" spans="1:7" x14ac:dyDescent="0.2">
      <c r="A1" s="1" t="s">
        <v>404</v>
      </c>
      <c r="B1" s="1" t="s">
        <v>405</v>
      </c>
      <c r="C1" s="1" t="s">
        <v>406</v>
      </c>
      <c r="D1" s="1" t="s">
        <v>407</v>
      </c>
      <c r="E1" s="1" t="s">
        <v>408</v>
      </c>
      <c r="F1" s="1" t="s">
        <v>409</v>
      </c>
      <c r="G1" s="1" t="s">
        <v>21</v>
      </c>
    </row>
    <row r="2" spans="1:7" x14ac:dyDescent="0.2">
      <c r="A2" t="s">
        <v>410</v>
      </c>
      <c r="B2" t="s">
        <v>34</v>
      </c>
      <c r="C2" t="s">
        <v>22</v>
      </c>
      <c r="D2" t="s">
        <v>411</v>
      </c>
      <c r="E2" t="b">
        <v>1</v>
      </c>
    </row>
    <row r="3" spans="1:7" x14ac:dyDescent="0.2">
      <c r="A3" t="s">
        <v>412</v>
      </c>
      <c r="B3" t="s">
        <v>37</v>
      </c>
      <c r="C3" t="s">
        <v>26</v>
      </c>
      <c r="D3" t="s">
        <v>411</v>
      </c>
      <c r="E3" t="b">
        <v>1</v>
      </c>
    </row>
    <row r="4" spans="1:7" x14ac:dyDescent="0.2">
      <c r="A4" t="s">
        <v>413</v>
      </c>
      <c r="B4" t="s">
        <v>38</v>
      </c>
      <c r="C4" t="s">
        <v>28</v>
      </c>
      <c r="D4" t="s">
        <v>411</v>
      </c>
      <c r="E4" t="b">
        <v>1</v>
      </c>
    </row>
    <row r="5" spans="1:7" x14ac:dyDescent="0.2">
      <c r="A5" t="s">
        <v>414</v>
      </c>
      <c r="B5" t="s">
        <v>39</v>
      </c>
      <c r="C5" t="s">
        <v>30</v>
      </c>
      <c r="D5" t="s">
        <v>411</v>
      </c>
      <c r="E5" t="b">
        <v>1</v>
      </c>
    </row>
    <row r="6" spans="1:7" x14ac:dyDescent="0.2">
      <c r="A6" t="s">
        <v>415</v>
      </c>
      <c r="B6" t="s">
        <v>41</v>
      </c>
      <c r="C6" t="s">
        <v>30</v>
      </c>
      <c r="D6" t="s">
        <v>411</v>
      </c>
      <c r="E6" t="b">
        <v>1</v>
      </c>
    </row>
    <row r="7" spans="1:7" x14ac:dyDescent="0.2">
      <c r="A7" t="s">
        <v>416</v>
      </c>
      <c r="B7" t="s">
        <v>43</v>
      </c>
      <c r="C7" t="s">
        <v>30</v>
      </c>
      <c r="D7" t="s">
        <v>411</v>
      </c>
      <c r="E7" t="b">
        <v>1</v>
      </c>
    </row>
    <row r="8" spans="1:7" x14ac:dyDescent="0.2">
      <c r="A8" t="s">
        <v>417</v>
      </c>
      <c r="B8" t="s">
        <v>45</v>
      </c>
      <c r="C8" t="s">
        <v>30</v>
      </c>
      <c r="D8" t="s">
        <v>411</v>
      </c>
      <c r="E8" t="b">
        <v>1</v>
      </c>
    </row>
    <row r="9" spans="1:7" x14ac:dyDescent="0.2">
      <c r="A9" t="s">
        <v>418</v>
      </c>
      <c r="B9" t="s">
        <v>47</v>
      </c>
      <c r="C9" t="s">
        <v>30</v>
      </c>
      <c r="D9" t="s">
        <v>411</v>
      </c>
      <c r="E9" t="b">
        <v>1</v>
      </c>
    </row>
    <row r="10" spans="1:7" x14ac:dyDescent="0.2">
      <c r="A10" t="s">
        <v>419</v>
      </c>
      <c r="B10" t="s">
        <v>49</v>
      </c>
      <c r="C10" t="s">
        <v>30</v>
      </c>
      <c r="D10" t="s">
        <v>411</v>
      </c>
      <c r="E10" t="b">
        <v>1</v>
      </c>
    </row>
    <row r="11" spans="1:7" x14ac:dyDescent="0.2">
      <c r="A11" t="s">
        <v>420</v>
      </c>
      <c r="B11" t="s">
        <v>51</v>
      </c>
      <c r="C11" t="s">
        <v>32</v>
      </c>
      <c r="D11" t="s">
        <v>411</v>
      </c>
      <c r="E11" t="b">
        <v>1</v>
      </c>
    </row>
    <row r="12" spans="1:7" x14ac:dyDescent="0.2">
      <c r="A12" t="s">
        <v>421</v>
      </c>
      <c r="B12" t="s">
        <v>53</v>
      </c>
      <c r="C12" t="s">
        <v>32</v>
      </c>
      <c r="D12" t="s">
        <v>411</v>
      </c>
      <c r="E12" t="b">
        <v>1</v>
      </c>
    </row>
    <row r="13" spans="1:7" x14ac:dyDescent="0.2">
      <c r="A13" t="s">
        <v>422</v>
      </c>
      <c r="B13" t="s">
        <v>55</v>
      </c>
      <c r="C13" t="s">
        <v>32</v>
      </c>
      <c r="D13" t="s">
        <v>411</v>
      </c>
      <c r="E13" t="b">
        <v>1</v>
      </c>
    </row>
    <row r="14" spans="1:7" x14ac:dyDescent="0.2">
      <c r="A14" t="s">
        <v>423</v>
      </c>
      <c r="B14" t="s">
        <v>57</v>
      </c>
      <c r="C14" t="s">
        <v>32</v>
      </c>
      <c r="D14" t="s">
        <v>411</v>
      </c>
      <c r="E14" t="b">
        <v>1</v>
      </c>
    </row>
    <row r="15" spans="1:7" x14ac:dyDescent="0.2">
      <c r="A15" t="s">
        <v>424</v>
      </c>
      <c r="B15" t="s">
        <v>59</v>
      </c>
      <c r="C15" t="s">
        <v>32</v>
      </c>
      <c r="D15" t="s">
        <v>411</v>
      </c>
      <c r="E15" t="b">
        <v>1</v>
      </c>
    </row>
    <row r="16" spans="1:7" x14ac:dyDescent="0.2">
      <c r="A16" t="s">
        <v>425</v>
      </c>
      <c r="B16" t="s">
        <v>61</v>
      </c>
      <c r="C16" t="s">
        <v>32</v>
      </c>
      <c r="D16" t="s">
        <v>411</v>
      </c>
      <c r="E16" t="b">
        <v>1</v>
      </c>
    </row>
    <row r="17" spans="1:5" x14ac:dyDescent="0.2">
      <c r="A17" t="s">
        <v>426</v>
      </c>
      <c r="B17" t="s">
        <v>63</v>
      </c>
      <c r="C17" t="s">
        <v>32</v>
      </c>
      <c r="D17" t="s">
        <v>411</v>
      </c>
      <c r="E17" t="b">
        <v>1</v>
      </c>
    </row>
    <row r="18" spans="1:5" x14ac:dyDescent="0.2">
      <c r="A18" t="s">
        <v>427</v>
      </c>
      <c r="B18" t="s">
        <v>65</v>
      </c>
      <c r="C18" t="s">
        <v>32</v>
      </c>
      <c r="D18" t="s">
        <v>411</v>
      </c>
      <c r="E18" t="b">
        <v>1</v>
      </c>
    </row>
    <row r="19" spans="1:5" x14ac:dyDescent="0.2">
      <c r="A19" t="s">
        <v>428</v>
      </c>
      <c r="B19" t="s">
        <v>67</v>
      </c>
      <c r="C19" t="s">
        <v>32</v>
      </c>
      <c r="D19" t="s">
        <v>411</v>
      </c>
      <c r="E19" t="b">
        <v>1</v>
      </c>
    </row>
    <row r="20" spans="1:5" x14ac:dyDescent="0.2">
      <c r="A20" t="s">
        <v>429</v>
      </c>
      <c r="B20" t="s">
        <v>69</v>
      </c>
      <c r="C20" t="s">
        <v>32</v>
      </c>
      <c r="D20" t="s">
        <v>411</v>
      </c>
      <c r="E20" t="b">
        <v>1</v>
      </c>
    </row>
    <row r="21" spans="1:5" x14ac:dyDescent="0.2">
      <c r="A21" t="s">
        <v>430</v>
      </c>
      <c r="B21" t="s">
        <v>71</v>
      </c>
      <c r="C21" t="s">
        <v>32</v>
      </c>
      <c r="D21" t="s">
        <v>411</v>
      </c>
      <c r="E21" t="b">
        <v>1</v>
      </c>
    </row>
    <row r="22" spans="1:5" x14ac:dyDescent="0.2">
      <c r="A22" t="s">
        <v>431</v>
      </c>
      <c r="B22" t="s">
        <v>73</v>
      </c>
      <c r="C22" t="s">
        <v>32</v>
      </c>
      <c r="D22" t="s">
        <v>411</v>
      </c>
      <c r="E22" t="b">
        <v>1</v>
      </c>
    </row>
    <row r="23" spans="1:5" x14ac:dyDescent="0.2">
      <c r="A23" t="s">
        <v>432</v>
      </c>
      <c r="B23" t="s">
        <v>75</v>
      </c>
      <c r="C23" t="s">
        <v>1434</v>
      </c>
      <c r="D23" t="s">
        <v>411</v>
      </c>
      <c r="E23" t="b">
        <v>1</v>
      </c>
    </row>
    <row r="24" spans="1:5" x14ac:dyDescent="0.2">
      <c r="A24" t="s">
        <v>433</v>
      </c>
      <c r="B24" t="s">
        <v>77</v>
      </c>
      <c r="C24" t="s">
        <v>34</v>
      </c>
      <c r="D24" t="s">
        <v>411</v>
      </c>
      <c r="E24" t="b">
        <v>1</v>
      </c>
    </row>
    <row r="25" spans="1:5" x14ac:dyDescent="0.2">
      <c r="A25" t="s">
        <v>434</v>
      </c>
      <c r="B25" t="s">
        <v>81</v>
      </c>
      <c r="C25" t="s">
        <v>34</v>
      </c>
      <c r="D25" t="s">
        <v>411</v>
      </c>
      <c r="E25" t="b">
        <v>1</v>
      </c>
    </row>
    <row r="26" spans="1:5" x14ac:dyDescent="0.2">
      <c r="A26" t="s">
        <v>435</v>
      </c>
      <c r="B26" t="s">
        <v>83</v>
      </c>
      <c r="C26" t="s">
        <v>34</v>
      </c>
      <c r="D26" t="s">
        <v>411</v>
      </c>
      <c r="E26" t="b">
        <v>1</v>
      </c>
    </row>
    <row r="27" spans="1:5" x14ac:dyDescent="0.2">
      <c r="A27" t="s">
        <v>436</v>
      </c>
      <c r="B27" t="s">
        <v>85</v>
      </c>
      <c r="C27" t="s">
        <v>34</v>
      </c>
      <c r="D27" t="s">
        <v>411</v>
      </c>
      <c r="E27" t="b">
        <v>1</v>
      </c>
    </row>
    <row r="28" spans="1:5" x14ac:dyDescent="0.2">
      <c r="A28" t="s">
        <v>437</v>
      </c>
      <c r="B28" t="s">
        <v>87</v>
      </c>
      <c r="C28" t="s">
        <v>34</v>
      </c>
      <c r="D28" t="s">
        <v>411</v>
      </c>
      <c r="E28" t="b">
        <v>1</v>
      </c>
    </row>
    <row r="29" spans="1:5" x14ac:dyDescent="0.2">
      <c r="A29" t="s">
        <v>438</v>
      </c>
      <c r="B29" t="s">
        <v>89</v>
      </c>
      <c r="C29" t="s">
        <v>34</v>
      </c>
      <c r="D29" t="s">
        <v>411</v>
      </c>
      <c r="E29" t="b">
        <v>1</v>
      </c>
    </row>
    <row r="30" spans="1:5" x14ac:dyDescent="0.2">
      <c r="A30" t="s">
        <v>439</v>
      </c>
      <c r="B30" t="s">
        <v>91</v>
      </c>
      <c r="C30" t="s">
        <v>34</v>
      </c>
      <c r="D30" t="s">
        <v>411</v>
      </c>
      <c r="E30" t="b">
        <v>1</v>
      </c>
    </row>
    <row r="31" spans="1:5" x14ac:dyDescent="0.2">
      <c r="A31" t="s">
        <v>440</v>
      </c>
      <c r="B31" t="s">
        <v>93</v>
      </c>
      <c r="C31" t="s">
        <v>34</v>
      </c>
      <c r="D31" t="s">
        <v>411</v>
      </c>
      <c r="E31" t="b">
        <v>1</v>
      </c>
    </row>
    <row r="32" spans="1:5" x14ac:dyDescent="0.2">
      <c r="A32" t="s">
        <v>441</v>
      </c>
      <c r="B32" t="s">
        <v>95</v>
      </c>
      <c r="C32" t="s">
        <v>34</v>
      </c>
      <c r="D32" t="s">
        <v>411</v>
      </c>
      <c r="E32" t="b">
        <v>1</v>
      </c>
    </row>
    <row r="33" spans="1:5" x14ac:dyDescent="0.2">
      <c r="A33" t="s">
        <v>442</v>
      </c>
      <c r="B33" t="s">
        <v>97</v>
      </c>
      <c r="C33" t="s">
        <v>37</v>
      </c>
      <c r="D33" t="s">
        <v>411</v>
      </c>
      <c r="E33" t="b">
        <v>1</v>
      </c>
    </row>
    <row r="34" spans="1:5" x14ac:dyDescent="0.2">
      <c r="A34" t="s">
        <v>443</v>
      </c>
      <c r="B34" t="s">
        <v>100</v>
      </c>
      <c r="C34" t="s">
        <v>37</v>
      </c>
      <c r="D34" t="s">
        <v>411</v>
      </c>
      <c r="E34" t="b">
        <v>1</v>
      </c>
    </row>
    <row r="35" spans="1:5" x14ac:dyDescent="0.2">
      <c r="A35" t="s">
        <v>444</v>
      </c>
      <c r="B35" t="s">
        <v>102</v>
      </c>
      <c r="C35" t="s">
        <v>37</v>
      </c>
      <c r="D35" t="s">
        <v>411</v>
      </c>
      <c r="E35" t="b">
        <v>1</v>
      </c>
    </row>
    <row r="36" spans="1:5" x14ac:dyDescent="0.2">
      <c r="A36" t="s">
        <v>445</v>
      </c>
      <c r="B36" t="s">
        <v>104</v>
      </c>
      <c r="C36" t="s">
        <v>37</v>
      </c>
      <c r="D36" t="s">
        <v>411</v>
      </c>
      <c r="E36" t="b">
        <v>1</v>
      </c>
    </row>
    <row r="37" spans="1:5" x14ac:dyDescent="0.2">
      <c r="A37" t="s">
        <v>446</v>
      </c>
      <c r="B37" t="s">
        <v>106</v>
      </c>
      <c r="C37" t="s">
        <v>38</v>
      </c>
      <c r="D37" t="s">
        <v>411</v>
      </c>
      <c r="E37" t="b">
        <v>1</v>
      </c>
    </row>
    <row r="38" spans="1:5" x14ac:dyDescent="0.2">
      <c r="A38" t="s">
        <v>447</v>
      </c>
      <c r="B38" t="s">
        <v>108</v>
      </c>
      <c r="C38" t="s">
        <v>38</v>
      </c>
      <c r="D38" t="s">
        <v>411</v>
      </c>
      <c r="E38" t="b">
        <v>1</v>
      </c>
    </row>
    <row r="39" spans="1:5" x14ac:dyDescent="0.2">
      <c r="A39" t="s">
        <v>448</v>
      </c>
      <c r="B39" t="s">
        <v>110</v>
      </c>
      <c r="C39" t="s">
        <v>38</v>
      </c>
      <c r="D39" t="s">
        <v>411</v>
      </c>
      <c r="E39" t="b">
        <v>1</v>
      </c>
    </row>
    <row r="40" spans="1:5" x14ac:dyDescent="0.2">
      <c r="A40" t="s">
        <v>449</v>
      </c>
      <c r="B40" t="s">
        <v>112</v>
      </c>
      <c r="C40" t="s">
        <v>38</v>
      </c>
      <c r="D40" t="s">
        <v>411</v>
      </c>
      <c r="E40" t="b">
        <v>1</v>
      </c>
    </row>
    <row r="41" spans="1:5" x14ac:dyDescent="0.2">
      <c r="A41" t="s">
        <v>450</v>
      </c>
      <c r="B41" t="s">
        <v>114</v>
      </c>
      <c r="C41" t="s">
        <v>38</v>
      </c>
      <c r="D41" t="s">
        <v>411</v>
      </c>
      <c r="E41" t="b">
        <v>1</v>
      </c>
    </row>
    <row r="42" spans="1:5" x14ac:dyDescent="0.2">
      <c r="A42" t="s">
        <v>451</v>
      </c>
      <c r="B42" t="s">
        <v>116</v>
      </c>
      <c r="C42" t="s">
        <v>39</v>
      </c>
      <c r="D42" t="s">
        <v>411</v>
      </c>
      <c r="E42" t="b">
        <v>1</v>
      </c>
    </row>
    <row r="43" spans="1:5" x14ac:dyDescent="0.2">
      <c r="A43" t="s">
        <v>452</v>
      </c>
      <c r="B43" t="s">
        <v>118</v>
      </c>
      <c r="C43" t="s">
        <v>41</v>
      </c>
      <c r="D43" t="s">
        <v>411</v>
      </c>
      <c r="E43" t="b">
        <v>1</v>
      </c>
    </row>
    <row r="44" spans="1:5" x14ac:dyDescent="0.2">
      <c r="A44" t="s">
        <v>453</v>
      </c>
      <c r="B44" t="s">
        <v>120</v>
      </c>
      <c r="C44" t="s">
        <v>43</v>
      </c>
      <c r="D44" t="s">
        <v>411</v>
      </c>
      <c r="E44" t="b">
        <v>1</v>
      </c>
    </row>
    <row r="45" spans="1:5" x14ac:dyDescent="0.2">
      <c r="A45" t="s">
        <v>454</v>
      </c>
      <c r="B45" t="s">
        <v>122</v>
      </c>
      <c r="C45" t="s">
        <v>43</v>
      </c>
      <c r="D45" t="s">
        <v>411</v>
      </c>
      <c r="E45" t="b">
        <v>1</v>
      </c>
    </row>
    <row r="46" spans="1:5" x14ac:dyDescent="0.2">
      <c r="A46" t="s">
        <v>455</v>
      </c>
      <c r="B46" t="s">
        <v>124</v>
      </c>
      <c r="C46" t="s">
        <v>45</v>
      </c>
      <c r="D46" t="s">
        <v>411</v>
      </c>
      <c r="E46" t="b">
        <v>1</v>
      </c>
    </row>
    <row r="47" spans="1:5" x14ac:dyDescent="0.2">
      <c r="A47" t="s">
        <v>456</v>
      </c>
      <c r="B47" t="s">
        <v>126</v>
      </c>
      <c r="C47" t="s">
        <v>47</v>
      </c>
      <c r="D47" t="s">
        <v>411</v>
      </c>
      <c r="E47" t="b">
        <v>1</v>
      </c>
    </row>
    <row r="48" spans="1:5" x14ac:dyDescent="0.2">
      <c r="A48" t="s">
        <v>457</v>
      </c>
      <c r="B48" t="s">
        <v>128</v>
      </c>
      <c r="C48" t="s">
        <v>49</v>
      </c>
      <c r="D48" t="s">
        <v>411</v>
      </c>
      <c r="E48" t="b">
        <v>1</v>
      </c>
    </row>
    <row r="49" spans="1:5" x14ac:dyDescent="0.2">
      <c r="A49" t="s">
        <v>458</v>
      </c>
      <c r="B49" t="s">
        <v>130</v>
      </c>
      <c r="C49" t="s">
        <v>51</v>
      </c>
      <c r="D49" t="s">
        <v>411</v>
      </c>
      <c r="E49" t="b">
        <v>1</v>
      </c>
    </row>
    <row r="50" spans="1:5" x14ac:dyDescent="0.2">
      <c r="A50" t="s">
        <v>459</v>
      </c>
      <c r="B50" t="s">
        <v>132</v>
      </c>
      <c r="C50" t="s">
        <v>51</v>
      </c>
      <c r="D50" t="s">
        <v>411</v>
      </c>
      <c r="E50" t="b">
        <v>1</v>
      </c>
    </row>
    <row r="51" spans="1:5" x14ac:dyDescent="0.2">
      <c r="A51" t="s">
        <v>460</v>
      </c>
      <c r="B51" t="s">
        <v>134</v>
      </c>
      <c r="C51" t="s">
        <v>53</v>
      </c>
      <c r="D51" t="s">
        <v>411</v>
      </c>
      <c r="E51" t="b">
        <v>1</v>
      </c>
    </row>
    <row r="52" spans="1:5" x14ac:dyDescent="0.2">
      <c r="A52" t="s">
        <v>461</v>
      </c>
      <c r="B52" t="s">
        <v>136</v>
      </c>
      <c r="C52" t="s">
        <v>55</v>
      </c>
      <c r="D52" t="s">
        <v>411</v>
      </c>
      <c r="E52" t="b">
        <v>1</v>
      </c>
    </row>
    <row r="53" spans="1:5" x14ac:dyDescent="0.2">
      <c r="A53" t="s">
        <v>462</v>
      </c>
      <c r="B53" t="s">
        <v>138</v>
      </c>
      <c r="C53" t="s">
        <v>55</v>
      </c>
      <c r="D53" t="s">
        <v>411</v>
      </c>
      <c r="E53" t="b">
        <v>1</v>
      </c>
    </row>
    <row r="54" spans="1:5" x14ac:dyDescent="0.2">
      <c r="A54" t="s">
        <v>463</v>
      </c>
      <c r="B54" t="s">
        <v>140</v>
      </c>
      <c r="C54" t="s">
        <v>57</v>
      </c>
      <c r="D54" t="s">
        <v>411</v>
      </c>
      <c r="E54" t="b">
        <v>1</v>
      </c>
    </row>
    <row r="55" spans="1:5" x14ac:dyDescent="0.2">
      <c r="A55" t="s">
        <v>464</v>
      </c>
      <c r="B55" t="s">
        <v>142</v>
      </c>
      <c r="C55" t="s">
        <v>59</v>
      </c>
      <c r="D55" t="s">
        <v>411</v>
      </c>
      <c r="E55" t="b">
        <v>1</v>
      </c>
    </row>
    <row r="56" spans="1:5" x14ac:dyDescent="0.2">
      <c r="A56" t="s">
        <v>465</v>
      </c>
      <c r="B56" t="s">
        <v>144</v>
      </c>
      <c r="C56" t="s">
        <v>61</v>
      </c>
      <c r="D56" t="s">
        <v>411</v>
      </c>
      <c r="E56" t="b">
        <v>1</v>
      </c>
    </row>
    <row r="57" spans="1:5" x14ac:dyDescent="0.2">
      <c r="A57" t="s">
        <v>466</v>
      </c>
      <c r="B57" t="s">
        <v>146</v>
      </c>
      <c r="C57" t="s">
        <v>61</v>
      </c>
      <c r="D57" t="s">
        <v>411</v>
      </c>
      <c r="E57" t="b">
        <v>1</v>
      </c>
    </row>
    <row r="58" spans="1:5" x14ac:dyDescent="0.2">
      <c r="A58" t="s">
        <v>467</v>
      </c>
      <c r="B58" t="s">
        <v>148</v>
      </c>
      <c r="C58" t="s">
        <v>63</v>
      </c>
      <c r="D58" t="s">
        <v>411</v>
      </c>
      <c r="E58" t="b">
        <v>1</v>
      </c>
    </row>
    <row r="59" spans="1:5" x14ac:dyDescent="0.2">
      <c r="A59" t="s">
        <v>468</v>
      </c>
      <c r="B59" t="s">
        <v>150</v>
      </c>
      <c r="C59" t="s">
        <v>65</v>
      </c>
      <c r="D59" t="s">
        <v>411</v>
      </c>
      <c r="E59" t="b">
        <v>1</v>
      </c>
    </row>
    <row r="60" spans="1:5" x14ac:dyDescent="0.2">
      <c r="A60" t="s">
        <v>469</v>
      </c>
      <c r="B60" t="s">
        <v>152</v>
      </c>
      <c r="C60" t="s">
        <v>67</v>
      </c>
      <c r="D60" t="s">
        <v>411</v>
      </c>
      <c r="E60" t="b">
        <v>1</v>
      </c>
    </row>
    <row r="61" spans="1:5" x14ac:dyDescent="0.2">
      <c r="A61" t="s">
        <v>470</v>
      </c>
      <c r="B61" t="s">
        <v>154</v>
      </c>
      <c r="C61" t="s">
        <v>69</v>
      </c>
      <c r="D61" t="s">
        <v>411</v>
      </c>
      <c r="E61" t="b">
        <v>1</v>
      </c>
    </row>
    <row r="62" spans="1:5" x14ac:dyDescent="0.2">
      <c r="A62" t="s">
        <v>471</v>
      </c>
      <c r="B62" t="s">
        <v>156</v>
      </c>
      <c r="C62" t="s">
        <v>71</v>
      </c>
      <c r="D62" t="s">
        <v>411</v>
      </c>
      <c r="E62" t="b">
        <v>1</v>
      </c>
    </row>
    <row r="63" spans="1:5" x14ac:dyDescent="0.2">
      <c r="A63" t="s">
        <v>472</v>
      </c>
      <c r="B63" t="s">
        <v>158</v>
      </c>
      <c r="C63" t="s">
        <v>73</v>
      </c>
      <c r="D63" t="s">
        <v>411</v>
      </c>
      <c r="E63" t="b">
        <v>1</v>
      </c>
    </row>
    <row r="64" spans="1:5" x14ac:dyDescent="0.2">
      <c r="A64" t="s">
        <v>473</v>
      </c>
      <c r="B64" t="s">
        <v>160</v>
      </c>
      <c r="C64" t="s">
        <v>75</v>
      </c>
      <c r="D64" t="s">
        <v>411</v>
      </c>
      <c r="E64" t="b">
        <v>1</v>
      </c>
    </row>
    <row r="65" spans="1:5" x14ac:dyDescent="0.2">
      <c r="A65" t="s">
        <v>475</v>
      </c>
      <c r="B65" t="s">
        <v>203</v>
      </c>
      <c r="C65" t="s">
        <v>77</v>
      </c>
      <c r="D65" t="s">
        <v>476</v>
      </c>
      <c r="E65" t="b">
        <v>1</v>
      </c>
    </row>
    <row r="66" spans="1:5" x14ac:dyDescent="0.2">
      <c r="A66" t="s">
        <v>477</v>
      </c>
      <c r="B66" t="s">
        <v>203</v>
      </c>
      <c r="C66" t="s">
        <v>162</v>
      </c>
      <c r="D66" t="s">
        <v>478</v>
      </c>
      <c r="E66" t="b">
        <v>1</v>
      </c>
    </row>
    <row r="67" spans="1:5" x14ac:dyDescent="0.2">
      <c r="A67" t="s">
        <v>480</v>
      </c>
      <c r="B67" t="s">
        <v>212</v>
      </c>
      <c r="C67" t="s">
        <v>77</v>
      </c>
      <c r="D67" t="s">
        <v>476</v>
      </c>
      <c r="E67" t="b">
        <v>1</v>
      </c>
    </row>
    <row r="68" spans="1:5" x14ac:dyDescent="0.2">
      <c r="A68" t="s">
        <v>481</v>
      </c>
      <c r="B68" t="s">
        <v>212</v>
      </c>
      <c r="C68" t="s">
        <v>162</v>
      </c>
      <c r="D68" t="s">
        <v>478</v>
      </c>
      <c r="E68" t="b">
        <v>1</v>
      </c>
    </row>
    <row r="69" spans="1:5" x14ac:dyDescent="0.2">
      <c r="A69" t="s">
        <v>482</v>
      </c>
      <c r="B69" t="s">
        <v>215</v>
      </c>
      <c r="C69" t="s">
        <v>77</v>
      </c>
      <c r="D69" t="s">
        <v>476</v>
      </c>
      <c r="E69" t="b">
        <v>1</v>
      </c>
    </row>
    <row r="70" spans="1:5" x14ac:dyDescent="0.2">
      <c r="A70" t="s">
        <v>483</v>
      </c>
      <c r="B70" t="s">
        <v>215</v>
      </c>
      <c r="C70" t="s">
        <v>162</v>
      </c>
      <c r="D70" t="s">
        <v>478</v>
      </c>
      <c r="E70" t="b">
        <v>1</v>
      </c>
    </row>
    <row r="71" spans="1:5" x14ac:dyDescent="0.2">
      <c r="A71" t="s">
        <v>484</v>
      </c>
      <c r="B71" t="s">
        <v>219</v>
      </c>
      <c r="C71" t="s">
        <v>85</v>
      </c>
      <c r="D71" t="s">
        <v>476</v>
      </c>
      <c r="E71" t="b">
        <v>1</v>
      </c>
    </row>
    <row r="72" spans="1:5" x14ac:dyDescent="0.2">
      <c r="A72" t="s">
        <v>485</v>
      </c>
      <c r="B72" t="s">
        <v>219</v>
      </c>
      <c r="C72" t="s">
        <v>162</v>
      </c>
      <c r="D72" t="s">
        <v>478</v>
      </c>
      <c r="E72" t="b">
        <v>1</v>
      </c>
    </row>
    <row r="73" spans="1:5" x14ac:dyDescent="0.2">
      <c r="A73" t="s">
        <v>486</v>
      </c>
      <c r="B73" t="s">
        <v>224</v>
      </c>
      <c r="C73" t="s">
        <v>77</v>
      </c>
      <c r="D73" t="s">
        <v>476</v>
      </c>
      <c r="E73" t="b">
        <v>1</v>
      </c>
    </row>
    <row r="74" spans="1:5" x14ac:dyDescent="0.2">
      <c r="A74" t="s">
        <v>487</v>
      </c>
      <c r="B74" t="s">
        <v>224</v>
      </c>
      <c r="C74" t="s">
        <v>162</v>
      </c>
      <c r="D74" t="s">
        <v>478</v>
      </c>
      <c r="E74" t="b">
        <v>1</v>
      </c>
    </row>
    <row r="75" spans="1:5" x14ac:dyDescent="0.2">
      <c r="A75" t="s">
        <v>488</v>
      </c>
      <c r="B75" t="s">
        <v>227</v>
      </c>
      <c r="C75" t="s">
        <v>87</v>
      </c>
      <c r="D75" t="s">
        <v>476</v>
      </c>
      <c r="E75" t="b">
        <v>1</v>
      </c>
    </row>
    <row r="76" spans="1:5" x14ac:dyDescent="0.2">
      <c r="A76" t="s">
        <v>489</v>
      </c>
      <c r="B76" t="s">
        <v>227</v>
      </c>
      <c r="C76" t="s">
        <v>162</v>
      </c>
      <c r="D76" t="s">
        <v>478</v>
      </c>
      <c r="E76" t="b">
        <v>1</v>
      </c>
    </row>
    <row r="77" spans="1:5" x14ac:dyDescent="0.2">
      <c r="A77" t="s">
        <v>490</v>
      </c>
      <c r="B77" t="s">
        <v>232</v>
      </c>
      <c r="C77" t="s">
        <v>77</v>
      </c>
      <c r="D77" t="s">
        <v>476</v>
      </c>
      <c r="E77" t="b">
        <v>1</v>
      </c>
    </row>
    <row r="78" spans="1:5" x14ac:dyDescent="0.2">
      <c r="A78" t="s">
        <v>491</v>
      </c>
      <c r="B78" t="s">
        <v>232</v>
      </c>
      <c r="C78" t="s">
        <v>165</v>
      </c>
      <c r="D78" t="s">
        <v>478</v>
      </c>
      <c r="E78" t="b">
        <v>1</v>
      </c>
    </row>
    <row r="79" spans="1:5" x14ac:dyDescent="0.2">
      <c r="A79" t="s">
        <v>492</v>
      </c>
      <c r="B79" t="s">
        <v>238</v>
      </c>
      <c r="C79" t="s">
        <v>77</v>
      </c>
      <c r="D79" t="s">
        <v>476</v>
      </c>
      <c r="E79" t="b">
        <v>1</v>
      </c>
    </row>
    <row r="80" spans="1:5" x14ac:dyDescent="0.2">
      <c r="A80" t="s">
        <v>493</v>
      </c>
      <c r="B80" t="s">
        <v>238</v>
      </c>
      <c r="C80" t="s">
        <v>165</v>
      </c>
      <c r="D80" t="s">
        <v>478</v>
      </c>
      <c r="E80" t="b">
        <v>1</v>
      </c>
    </row>
    <row r="81" spans="1:5" x14ac:dyDescent="0.2">
      <c r="A81" t="s">
        <v>494</v>
      </c>
      <c r="B81" t="s">
        <v>241</v>
      </c>
      <c r="C81" t="s">
        <v>77</v>
      </c>
      <c r="D81" t="s">
        <v>476</v>
      </c>
      <c r="E81" t="b">
        <v>1</v>
      </c>
    </row>
    <row r="82" spans="1:5" x14ac:dyDescent="0.2">
      <c r="A82" t="s">
        <v>495</v>
      </c>
      <c r="B82" t="s">
        <v>241</v>
      </c>
      <c r="C82" t="s">
        <v>165</v>
      </c>
      <c r="D82" t="s">
        <v>478</v>
      </c>
      <c r="E82" t="b">
        <v>1</v>
      </c>
    </row>
    <row r="83" spans="1:5" x14ac:dyDescent="0.2">
      <c r="A83" t="s">
        <v>496</v>
      </c>
      <c r="B83" t="s">
        <v>245</v>
      </c>
      <c r="C83" t="s">
        <v>77</v>
      </c>
      <c r="D83" t="s">
        <v>476</v>
      </c>
      <c r="E83" t="b">
        <v>1</v>
      </c>
    </row>
    <row r="84" spans="1:5" x14ac:dyDescent="0.2">
      <c r="A84" t="s">
        <v>497</v>
      </c>
      <c r="B84" t="s">
        <v>245</v>
      </c>
      <c r="C84" t="s">
        <v>165</v>
      </c>
      <c r="D84" t="s">
        <v>478</v>
      </c>
      <c r="E84" t="b">
        <v>1</v>
      </c>
    </row>
    <row r="85" spans="1:5" x14ac:dyDescent="0.2">
      <c r="A85" t="s">
        <v>498</v>
      </c>
      <c r="B85" t="s">
        <v>247</v>
      </c>
      <c r="C85" t="s">
        <v>77</v>
      </c>
      <c r="D85" t="s">
        <v>476</v>
      </c>
      <c r="E85" t="b">
        <v>1</v>
      </c>
    </row>
    <row r="86" spans="1:5" x14ac:dyDescent="0.2">
      <c r="A86" t="s">
        <v>499</v>
      </c>
      <c r="B86" t="s">
        <v>247</v>
      </c>
      <c r="C86" t="s">
        <v>165</v>
      </c>
      <c r="D86" t="s">
        <v>478</v>
      </c>
      <c r="E86" t="b">
        <v>1</v>
      </c>
    </row>
    <row r="87" spans="1:5" x14ac:dyDescent="0.2">
      <c r="A87" t="s">
        <v>500</v>
      </c>
      <c r="B87" t="s">
        <v>250</v>
      </c>
      <c r="C87" t="s">
        <v>77</v>
      </c>
      <c r="D87" t="s">
        <v>476</v>
      </c>
      <c r="E87" t="b">
        <v>1</v>
      </c>
    </row>
    <row r="88" spans="1:5" x14ac:dyDescent="0.2">
      <c r="A88" t="s">
        <v>501</v>
      </c>
      <c r="B88" t="s">
        <v>250</v>
      </c>
      <c r="C88" t="s">
        <v>165</v>
      </c>
      <c r="D88" t="s">
        <v>478</v>
      </c>
      <c r="E88" t="b">
        <v>1</v>
      </c>
    </row>
    <row r="89" spans="1:5" x14ac:dyDescent="0.2">
      <c r="A89" t="s">
        <v>502</v>
      </c>
      <c r="B89" t="s">
        <v>252</v>
      </c>
      <c r="C89" t="s">
        <v>91</v>
      </c>
      <c r="D89" t="s">
        <v>476</v>
      </c>
      <c r="E89" t="b">
        <v>1</v>
      </c>
    </row>
    <row r="90" spans="1:5" x14ac:dyDescent="0.2">
      <c r="A90" t="s">
        <v>503</v>
      </c>
      <c r="B90" t="s">
        <v>252</v>
      </c>
      <c r="C90" t="s">
        <v>165</v>
      </c>
      <c r="D90" t="s">
        <v>478</v>
      </c>
      <c r="E90" t="b">
        <v>1</v>
      </c>
    </row>
    <row r="91" spans="1:5" x14ac:dyDescent="0.2">
      <c r="A91" t="s">
        <v>504</v>
      </c>
      <c r="B91" t="s">
        <v>256</v>
      </c>
      <c r="C91" t="s">
        <v>77</v>
      </c>
      <c r="D91" t="s">
        <v>476</v>
      </c>
      <c r="E91" t="b">
        <v>1</v>
      </c>
    </row>
    <row r="92" spans="1:5" x14ac:dyDescent="0.2">
      <c r="A92" t="s">
        <v>505</v>
      </c>
      <c r="B92" t="s">
        <v>256</v>
      </c>
      <c r="C92" t="s">
        <v>165</v>
      </c>
      <c r="D92" t="s">
        <v>478</v>
      </c>
      <c r="E92" t="b">
        <v>1</v>
      </c>
    </row>
    <row r="93" spans="1:5" x14ac:dyDescent="0.2">
      <c r="A93" t="s">
        <v>506</v>
      </c>
      <c r="B93" t="s">
        <v>258</v>
      </c>
      <c r="C93" t="s">
        <v>87</v>
      </c>
      <c r="D93" t="s">
        <v>476</v>
      </c>
      <c r="E93" t="b">
        <v>1</v>
      </c>
    </row>
    <row r="94" spans="1:5" x14ac:dyDescent="0.2">
      <c r="A94" t="s">
        <v>507</v>
      </c>
      <c r="B94" t="s">
        <v>258</v>
      </c>
      <c r="C94" t="s">
        <v>165</v>
      </c>
      <c r="D94" t="s">
        <v>478</v>
      </c>
      <c r="E94" t="b">
        <v>1</v>
      </c>
    </row>
    <row r="95" spans="1:5" x14ac:dyDescent="0.2">
      <c r="A95" t="s">
        <v>508</v>
      </c>
      <c r="B95" t="s">
        <v>261</v>
      </c>
      <c r="C95" t="s">
        <v>77</v>
      </c>
      <c r="D95" t="s">
        <v>476</v>
      </c>
      <c r="E95" t="b">
        <v>1</v>
      </c>
    </row>
    <row r="96" spans="1:5" x14ac:dyDescent="0.2">
      <c r="A96" t="s">
        <v>509</v>
      </c>
      <c r="B96" t="s">
        <v>261</v>
      </c>
      <c r="C96" t="s">
        <v>165</v>
      </c>
      <c r="D96" t="s">
        <v>478</v>
      </c>
      <c r="E96" t="b">
        <v>1</v>
      </c>
    </row>
    <row r="97" spans="1:5" x14ac:dyDescent="0.2">
      <c r="A97" t="s">
        <v>510</v>
      </c>
      <c r="B97" t="s">
        <v>263</v>
      </c>
      <c r="C97" t="s">
        <v>81</v>
      </c>
      <c r="D97" t="s">
        <v>476</v>
      </c>
      <c r="E97" t="b">
        <v>1</v>
      </c>
    </row>
    <row r="98" spans="1:5" x14ac:dyDescent="0.2">
      <c r="A98" t="s">
        <v>511</v>
      </c>
      <c r="B98" t="s">
        <v>263</v>
      </c>
      <c r="C98" t="s">
        <v>165</v>
      </c>
      <c r="D98" t="s">
        <v>478</v>
      </c>
      <c r="E98" t="b">
        <v>1</v>
      </c>
    </row>
    <row r="99" spans="1:5" x14ac:dyDescent="0.2">
      <c r="A99" t="s">
        <v>512</v>
      </c>
      <c r="B99" t="s">
        <v>266</v>
      </c>
      <c r="C99" t="s">
        <v>95</v>
      </c>
      <c r="D99" t="s">
        <v>476</v>
      </c>
      <c r="E99" t="b">
        <v>1</v>
      </c>
    </row>
    <row r="100" spans="1:5" x14ac:dyDescent="0.2">
      <c r="A100" t="s">
        <v>513</v>
      </c>
      <c r="B100" t="s">
        <v>266</v>
      </c>
      <c r="C100" t="s">
        <v>165</v>
      </c>
      <c r="D100" t="s">
        <v>478</v>
      </c>
      <c r="E100" t="b">
        <v>1</v>
      </c>
    </row>
    <row r="101" spans="1:5" x14ac:dyDescent="0.2">
      <c r="A101" t="s">
        <v>514</v>
      </c>
      <c r="B101" t="s">
        <v>268</v>
      </c>
      <c r="C101" t="s">
        <v>77</v>
      </c>
      <c r="D101" t="s">
        <v>476</v>
      </c>
      <c r="E101" t="b">
        <v>1</v>
      </c>
    </row>
    <row r="102" spans="1:5" x14ac:dyDescent="0.2">
      <c r="A102" t="s">
        <v>515</v>
      </c>
      <c r="B102" t="s">
        <v>268</v>
      </c>
      <c r="C102" t="s">
        <v>165</v>
      </c>
      <c r="D102" t="s">
        <v>478</v>
      </c>
      <c r="E102" t="b">
        <v>1</v>
      </c>
    </row>
    <row r="103" spans="1:5" x14ac:dyDescent="0.2">
      <c r="A103" t="s">
        <v>516</v>
      </c>
      <c r="B103" t="s">
        <v>271</v>
      </c>
      <c r="C103" t="s">
        <v>77</v>
      </c>
      <c r="D103" t="s">
        <v>476</v>
      </c>
      <c r="E103" t="b">
        <v>1</v>
      </c>
    </row>
    <row r="104" spans="1:5" x14ac:dyDescent="0.2">
      <c r="A104" t="s">
        <v>517</v>
      </c>
      <c r="B104" t="s">
        <v>271</v>
      </c>
      <c r="C104" t="s">
        <v>167</v>
      </c>
      <c r="D104" t="s">
        <v>478</v>
      </c>
      <c r="E104" t="b">
        <v>1</v>
      </c>
    </row>
    <row r="105" spans="1:5" x14ac:dyDescent="0.2">
      <c r="A105" t="s">
        <v>518</v>
      </c>
      <c r="B105" t="s">
        <v>275</v>
      </c>
      <c r="C105" t="s">
        <v>89</v>
      </c>
      <c r="D105" t="s">
        <v>476</v>
      </c>
      <c r="E105" t="b">
        <v>1</v>
      </c>
    </row>
    <row r="106" spans="1:5" x14ac:dyDescent="0.2">
      <c r="A106" t="s">
        <v>519</v>
      </c>
      <c r="B106" t="s">
        <v>275</v>
      </c>
      <c r="C106" t="s">
        <v>167</v>
      </c>
      <c r="D106" t="s">
        <v>478</v>
      </c>
      <c r="E106" t="b">
        <v>1</v>
      </c>
    </row>
    <row r="107" spans="1:5" x14ac:dyDescent="0.2">
      <c r="A107" t="s">
        <v>520</v>
      </c>
      <c r="B107" t="s">
        <v>279</v>
      </c>
      <c r="C107" t="s">
        <v>77</v>
      </c>
      <c r="D107" t="s">
        <v>476</v>
      </c>
      <c r="E107" t="b">
        <v>1</v>
      </c>
    </row>
    <row r="108" spans="1:5" x14ac:dyDescent="0.2">
      <c r="A108" t="s">
        <v>521</v>
      </c>
      <c r="B108" t="s">
        <v>279</v>
      </c>
      <c r="C108" t="s">
        <v>167</v>
      </c>
      <c r="D108" t="s">
        <v>478</v>
      </c>
      <c r="E108" t="b">
        <v>1</v>
      </c>
    </row>
    <row r="109" spans="1:5" x14ac:dyDescent="0.2">
      <c r="A109" t="s">
        <v>522</v>
      </c>
      <c r="B109" t="s">
        <v>281</v>
      </c>
      <c r="C109" t="s">
        <v>81</v>
      </c>
      <c r="D109" t="s">
        <v>476</v>
      </c>
      <c r="E109" t="b">
        <v>1</v>
      </c>
    </row>
    <row r="110" spans="1:5" x14ac:dyDescent="0.2">
      <c r="A110" t="s">
        <v>523</v>
      </c>
      <c r="B110" t="s">
        <v>281</v>
      </c>
      <c r="C110" t="s">
        <v>167</v>
      </c>
      <c r="D110" t="s">
        <v>478</v>
      </c>
      <c r="E110" t="b">
        <v>1</v>
      </c>
    </row>
    <row r="111" spans="1:5" x14ac:dyDescent="0.2">
      <c r="A111" t="s">
        <v>524</v>
      </c>
      <c r="B111" t="s">
        <v>283</v>
      </c>
      <c r="C111" t="s">
        <v>77</v>
      </c>
      <c r="D111" t="s">
        <v>476</v>
      </c>
      <c r="E111" t="b">
        <v>1</v>
      </c>
    </row>
    <row r="112" spans="1:5" x14ac:dyDescent="0.2">
      <c r="A112" t="s">
        <v>525</v>
      </c>
      <c r="B112" t="s">
        <v>283</v>
      </c>
      <c r="C112" t="s">
        <v>167</v>
      </c>
      <c r="D112" t="s">
        <v>478</v>
      </c>
      <c r="E112" t="b">
        <v>1</v>
      </c>
    </row>
    <row r="113" spans="1:5" x14ac:dyDescent="0.2">
      <c r="A113" t="s">
        <v>526</v>
      </c>
      <c r="B113" t="s">
        <v>285</v>
      </c>
      <c r="C113" t="s">
        <v>93</v>
      </c>
      <c r="D113" t="s">
        <v>476</v>
      </c>
      <c r="E113" t="b">
        <v>1</v>
      </c>
    </row>
    <row r="114" spans="1:5" x14ac:dyDescent="0.2">
      <c r="A114" t="s">
        <v>527</v>
      </c>
      <c r="B114" t="s">
        <v>285</v>
      </c>
      <c r="C114" t="s">
        <v>167</v>
      </c>
      <c r="D114" t="s">
        <v>478</v>
      </c>
      <c r="E114" t="b">
        <v>1</v>
      </c>
    </row>
    <row r="115" spans="1:5" x14ac:dyDescent="0.2">
      <c r="A115" t="s">
        <v>528</v>
      </c>
      <c r="B115" t="s">
        <v>287</v>
      </c>
      <c r="C115" t="s">
        <v>95</v>
      </c>
      <c r="D115" t="s">
        <v>476</v>
      </c>
      <c r="E115" t="b">
        <v>1</v>
      </c>
    </row>
    <row r="116" spans="1:5" x14ac:dyDescent="0.2">
      <c r="A116" t="s">
        <v>529</v>
      </c>
      <c r="B116" t="s">
        <v>287</v>
      </c>
      <c r="C116" t="s">
        <v>169</v>
      </c>
      <c r="D116" t="s">
        <v>478</v>
      </c>
      <c r="E116" t="b">
        <v>1</v>
      </c>
    </row>
    <row r="117" spans="1:5" x14ac:dyDescent="0.2">
      <c r="A117" t="s">
        <v>530</v>
      </c>
      <c r="B117" t="s">
        <v>290</v>
      </c>
      <c r="C117" t="s">
        <v>95</v>
      </c>
      <c r="D117" t="s">
        <v>476</v>
      </c>
      <c r="E117" t="b">
        <v>1</v>
      </c>
    </row>
    <row r="118" spans="1:5" x14ac:dyDescent="0.2">
      <c r="A118" t="s">
        <v>531</v>
      </c>
      <c r="B118" t="s">
        <v>290</v>
      </c>
      <c r="C118" t="s">
        <v>169</v>
      </c>
      <c r="D118" t="s">
        <v>478</v>
      </c>
      <c r="E118" t="b">
        <v>1</v>
      </c>
    </row>
    <row r="119" spans="1:5" x14ac:dyDescent="0.2">
      <c r="A119" t="s">
        <v>532</v>
      </c>
      <c r="B119" t="s">
        <v>293</v>
      </c>
      <c r="C119" t="s">
        <v>85</v>
      </c>
      <c r="D119" t="s">
        <v>476</v>
      </c>
      <c r="E119" t="b">
        <v>1</v>
      </c>
    </row>
    <row r="120" spans="1:5" x14ac:dyDescent="0.2">
      <c r="A120" t="s">
        <v>533</v>
      </c>
      <c r="B120" t="s">
        <v>293</v>
      </c>
      <c r="C120" t="s">
        <v>169</v>
      </c>
      <c r="D120" t="s">
        <v>478</v>
      </c>
      <c r="E120" t="b">
        <v>1</v>
      </c>
    </row>
    <row r="121" spans="1:5" x14ac:dyDescent="0.2">
      <c r="A121" t="s">
        <v>534</v>
      </c>
      <c r="B121" t="s">
        <v>296</v>
      </c>
      <c r="C121" t="s">
        <v>95</v>
      </c>
      <c r="D121" t="s">
        <v>476</v>
      </c>
      <c r="E121" t="b">
        <v>1</v>
      </c>
    </row>
    <row r="122" spans="1:5" x14ac:dyDescent="0.2">
      <c r="A122" t="s">
        <v>535</v>
      </c>
      <c r="B122" t="s">
        <v>296</v>
      </c>
      <c r="C122" t="s">
        <v>169</v>
      </c>
      <c r="D122" t="s">
        <v>478</v>
      </c>
      <c r="E122" t="b">
        <v>1</v>
      </c>
    </row>
    <row r="123" spans="1:5" x14ac:dyDescent="0.2">
      <c r="A123" t="s">
        <v>536</v>
      </c>
      <c r="B123" t="s">
        <v>299</v>
      </c>
      <c r="C123" t="s">
        <v>95</v>
      </c>
      <c r="D123" t="s">
        <v>476</v>
      </c>
      <c r="E123" t="b">
        <v>1</v>
      </c>
    </row>
    <row r="124" spans="1:5" x14ac:dyDescent="0.2">
      <c r="A124" t="s">
        <v>537</v>
      </c>
      <c r="B124" t="s">
        <v>299</v>
      </c>
      <c r="C124" t="s">
        <v>169</v>
      </c>
      <c r="D124" t="s">
        <v>478</v>
      </c>
      <c r="E124" t="b">
        <v>1</v>
      </c>
    </row>
    <row r="125" spans="1:5" x14ac:dyDescent="0.2">
      <c r="A125" t="s">
        <v>538</v>
      </c>
      <c r="B125" t="s">
        <v>301</v>
      </c>
      <c r="C125" t="s">
        <v>95</v>
      </c>
      <c r="D125" t="s">
        <v>476</v>
      </c>
      <c r="E125" t="b">
        <v>1</v>
      </c>
    </row>
    <row r="126" spans="1:5" x14ac:dyDescent="0.2">
      <c r="A126" t="s">
        <v>539</v>
      </c>
      <c r="B126" t="s">
        <v>301</v>
      </c>
      <c r="C126" t="s">
        <v>169</v>
      </c>
      <c r="D126" t="s">
        <v>478</v>
      </c>
      <c r="E126" t="b">
        <v>1</v>
      </c>
    </row>
    <row r="127" spans="1:5" x14ac:dyDescent="0.2">
      <c r="A127" t="s">
        <v>540</v>
      </c>
      <c r="B127" t="s">
        <v>303</v>
      </c>
      <c r="C127" t="s">
        <v>95</v>
      </c>
      <c r="D127" t="s">
        <v>476</v>
      </c>
      <c r="E127" t="b">
        <v>1</v>
      </c>
    </row>
    <row r="128" spans="1:5" x14ac:dyDescent="0.2">
      <c r="A128" t="s">
        <v>541</v>
      </c>
      <c r="B128" t="s">
        <v>303</v>
      </c>
      <c r="C128" t="s">
        <v>169</v>
      </c>
      <c r="D128" t="s">
        <v>478</v>
      </c>
      <c r="E128" t="b">
        <v>1</v>
      </c>
    </row>
    <row r="129" spans="1:5" x14ac:dyDescent="0.2">
      <c r="A129" t="s">
        <v>542</v>
      </c>
      <c r="B129" t="s">
        <v>305</v>
      </c>
      <c r="C129" t="s">
        <v>95</v>
      </c>
      <c r="D129" t="s">
        <v>476</v>
      </c>
      <c r="E129" t="b">
        <v>1</v>
      </c>
    </row>
    <row r="130" spans="1:5" x14ac:dyDescent="0.2">
      <c r="A130" t="s">
        <v>543</v>
      </c>
      <c r="B130" t="s">
        <v>305</v>
      </c>
      <c r="C130" t="s">
        <v>169</v>
      </c>
      <c r="D130" t="s">
        <v>478</v>
      </c>
      <c r="E130" t="b">
        <v>1</v>
      </c>
    </row>
    <row r="131" spans="1:5" x14ac:dyDescent="0.2">
      <c r="A131" t="s">
        <v>544</v>
      </c>
      <c r="B131" t="s">
        <v>307</v>
      </c>
      <c r="C131" t="s">
        <v>95</v>
      </c>
      <c r="D131" t="s">
        <v>476</v>
      </c>
      <c r="E131" t="b">
        <v>1</v>
      </c>
    </row>
    <row r="132" spans="1:5" x14ac:dyDescent="0.2">
      <c r="A132" t="s">
        <v>545</v>
      </c>
      <c r="B132" t="s">
        <v>307</v>
      </c>
      <c r="C132" t="s">
        <v>169</v>
      </c>
      <c r="D132" t="s">
        <v>478</v>
      </c>
      <c r="E132" t="b">
        <v>1</v>
      </c>
    </row>
    <row r="133" spans="1:5" x14ac:dyDescent="0.2">
      <c r="A133" t="s">
        <v>546</v>
      </c>
      <c r="B133" t="s">
        <v>309</v>
      </c>
      <c r="C133" t="s">
        <v>77</v>
      </c>
      <c r="D133" t="s">
        <v>476</v>
      </c>
      <c r="E133" t="b">
        <v>1</v>
      </c>
    </row>
    <row r="134" spans="1:5" x14ac:dyDescent="0.2">
      <c r="A134" t="s">
        <v>547</v>
      </c>
      <c r="B134" t="s">
        <v>309</v>
      </c>
      <c r="C134" t="s">
        <v>171</v>
      </c>
      <c r="D134" t="s">
        <v>478</v>
      </c>
      <c r="E134" t="b">
        <v>1</v>
      </c>
    </row>
    <row r="135" spans="1:5" x14ac:dyDescent="0.2">
      <c r="A135" t="s">
        <v>548</v>
      </c>
      <c r="B135" t="s">
        <v>313</v>
      </c>
      <c r="C135" t="s">
        <v>83</v>
      </c>
      <c r="D135" t="s">
        <v>476</v>
      </c>
      <c r="E135" t="b">
        <v>1</v>
      </c>
    </row>
    <row r="136" spans="1:5" x14ac:dyDescent="0.2">
      <c r="A136" t="s">
        <v>549</v>
      </c>
      <c r="B136" t="s">
        <v>313</v>
      </c>
      <c r="C136" t="s">
        <v>171</v>
      </c>
      <c r="D136" t="s">
        <v>478</v>
      </c>
      <c r="E136" t="b">
        <v>1</v>
      </c>
    </row>
    <row r="137" spans="1:5" x14ac:dyDescent="0.2">
      <c r="A137" t="s">
        <v>550</v>
      </c>
      <c r="B137" t="s">
        <v>316</v>
      </c>
      <c r="C137" t="s">
        <v>81</v>
      </c>
      <c r="D137" t="s">
        <v>476</v>
      </c>
      <c r="E137" t="b">
        <v>1</v>
      </c>
    </row>
    <row r="138" spans="1:5" x14ac:dyDescent="0.2">
      <c r="A138" t="s">
        <v>551</v>
      </c>
      <c r="B138" t="s">
        <v>316</v>
      </c>
      <c r="C138" t="s">
        <v>171</v>
      </c>
      <c r="D138" t="s">
        <v>478</v>
      </c>
      <c r="E138" t="b">
        <v>1</v>
      </c>
    </row>
    <row r="139" spans="1:5" x14ac:dyDescent="0.2">
      <c r="A139" t="s">
        <v>552</v>
      </c>
      <c r="B139" t="s">
        <v>319</v>
      </c>
      <c r="C139" t="s">
        <v>77</v>
      </c>
      <c r="D139" t="s">
        <v>476</v>
      </c>
      <c r="E139" t="b">
        <v>1</v>
      </c>
    </row>
    <row r="140" spans="1:5" x14ac:dyDescent="0.2">
      <c r="A140" t="s">
        <v>553</v>
      </c>
      <c r="B140" t="s">
        <v>319</v>
      </c>
      <c r="C140" t="s">
        <v>173</v>
      </c>
      <c r="D140" t="s">
        <v>478</v>
      </c>
      <c r="E140" t="b">
        <v>1</v>
      </c>
    </row>
    <row r="141" spans="1:5" x14ac:dyDescent="0.2">
      <c r="A141" t="s">
        <v>554</v>
      </c>
      <c r="B141" t="s">
        <v>323</v>
      </c>
      <c r="C141" t="s">
        <v>93</v>
      </c>
      <c r="D141" t="s">
        <v>476</v>
      </c>
      <c r="E141" t="b">
        <v>1</v>
      </c>
    </row>
    <row r="142" spans="1:5" x14ac:dyDescent="0.2">
      <c r="A142" t="s">
        <v>555</v>
      </c>
      <c r="B142" t="s">
        <v>323</v>
      </c>
      <c r="C142" t="s">
        <v>173</v>
      </c>
      <c r="D142" t="s">
        <v>478</v>
      </c>
      <c r="E142" t="b">
        <v>1</v>
      </c>
    </row>
    <row r="143" spans="1:5" x14ac:dyDescent="0.2">
      <c r="A143" t="s">
        <v>556</v>
      </c>
      <c r="B143" t="s">
        <v>326</v>
      </c>
      <c r="C143" t="s">
        <v>83</v>
      </c>
      <c r="D143" t="s">
        <v>476</v>
      </c>
      <c r="E143" t="b">
        <v>1</v>
      </c>
    </row>
    <row r="144" spans="1:5" x14ac:dyDescent="0.2">
      <c r="A144" t="s">
        <v>557</v>
      </c>
      <c r="B144" t="s">
        <v>326</v>
      </c>
      <c r="C144" t="s">
        <v>173</v>
      </c>
      <c r="D144" t="s">
        <v>478</v>
      </c>
      <c r="E144" t="b">
        <v>1</v>
      </c>
    </row>
    <row r="145" spans="1:5" x14ac:dyDescent="0.2">
      <c r="A145" t="s">
        <v>558</v>
      </c>
      <c r="B145" t="s">
        <v>328</v>
      </c>
      <c r="C145" t="s">
        <v>95</v>
      </c>
      <c r="D145" t="s">
        <v>476</v>
      </c>
      <c r="E145" t="b">
        <v>1</v>
      </c>
    </row>
    <row r="146" spans="1:5" x14ac:dyDescent="0.2">
      <c r="A146" t="s">
        <v>559</v>
      </c>
      <c r="B146" t="s">
        <v>328</v>
      </c>
      <c r="C146" t="s">
        <v>173</v>
      </c>
      <c r="D146" t="s">
        <v>478</v>
      </c>
      <c r="E146" t="b">
        <v>1</v>
      </c>
    </row>
    <row r="147" spans="1:5" x14ac:dyDescent="0.2">
      <c r="A147" t="s">
        <v>560</v>
      </c>
      <c r="B147" t="s">
        <v>331</v>
      </c>
      <c r="C147" t="s">
        <v>91</v>
      </c>
      <c r="D147" t="s">
        <v>476</v>
      </c>
      <c r="E147" t="b">
        <v>1</v>
      </c>
    </row>
    <row r="148" spans="1:5" x14ac:dyDescent="0.2">
      <c r="A148" t="s">
        <v>561</v>
      </c>
      <c r="B148" t="s">
        <v>331</v>
      </c>
      <c r="C148" t="s">
        <v>173</v>
      </c>
      <c r="D148" t="s">
        <v>478</v>
      </c>
      <c r="E148" t="b">
        <v>1</v>
      </c>
    </row>
    <row r="149" spans="1:5" x14ac:dyDescent="0.2">
      <c r="A149" t="s">
        <v>562</v>
      </c>
      <c r="B149" t="s">
        <v>334</v>
      </c>
      <c r="C149" t="s">
        <v>91</v>
      </c>
      <c r="D149" t="s">
        <v>476</v>
      </c>
      <c r="E149" t="b">
        <v>1</v>
      </c>
    </row>
    <row r="150" spans="1:5" x14ac:dyDescent="0.2">
      <c r="A150" t="s">
        <v>563</v>
      </c>
      <c r="B150" t="s">
        <v>334</v>
      </c>
      <c r="C150" t="s">
        <v>173</v>
      </c>
      <c r="D150" t="s">
        <v>478</v>
      </c>
      <c r="E150" t="b">
        <v>1</v>
      </c>
    </row>
    <row r="151" spans="1:5" x14ac:dyDescent="0.2">
      <c r="A151" t="s">
        <v>564</v>
      </c>
      <c r="B151" t="s">
        <v>337</v>
      </c>
      <c r="C151" t="s">
        <v>83</v>
      </c>
      <c r="D151" t="s">
        <v>476</v>
      </c>
      <c r="E151" t="b">
        <v>1</v>
      </c>
    </row>
    <row r="152" spans="1:5" x14ac:dyDescent="0.2">
      <c r="A152" t="s">
        <v>565</v>
      </c>
      <c r="B152" t="s">
        <v>337</v>
      </c>
      <c r="C152" t="s">
        <v>173</v>
      </c>
      <c r="D152" t="s">
        <v>478</v>
      </c>
      <c r="E152" t="b">
        <v>1</v>
      </c>
    </row>
    <row r="153" spans="1:5" x14ac:dyDescent="0.2">
      <c r="A153" t="s">
        <v>566</v>
      </c>
      <c r="B153" t="s">
        <v>339</v>
      </c>
      <c r="C153" t="s">
        <v>95</v>
      </c>
      <c r="D153" t="s">
        <v>476</v>
      </c>
      <c r="E153" t="b">
        <v>1</v>
      </c>
    </row>
    <row r="154" spans="1:5" x14ac:dyDescent="0.2">
      <c r="A154" t="s">
        <v>567</v>
      </c>
      <c r="B154" t="s">
        <v>339</v>
      </c>
      <c r="C154" t="s">
        <v>173</v>
      </c>
      <c r="D154" t="s">
        <v>478</v>
      </c>
      <c r="E154" t="b">
        <v>1</v>
      </c>
    </row>
    <row r="155" spans="1:5" x14ac:dyDescent="0.2">
      <c r="A155" t="s">
        <v>568</v>
      </c>
      <c r="B155" t="s">
        <v>341</v>
      </c>
      <c r="C155" t="s">
        <v>87</v>
      </c>
      <c r="D155" t="s">
        <v>476</v>
      </c>
      <c r="E155" t="b">
        <v>1</v>
      </c>
    </row>
    <row r="156" spans="1:5" x14ac:dyDescent="0.2">
      <c r="A156" t="s">
        <v>569</v>
      </c>
      <c r="B156" t="s">
        <v>341</v>
      </c>
      <c r="C156" t="s">
        <v>173</v>
      </c>
      <c r="D156" t="s">
        <v>478</v>
      </c>
      <c r="E156" t="b">
        <v>1</v>
      </c>
    </row>
    <row r="157" spans="1:5" x14ac:dyDescent="0.2">
      <c r="A157" t="s">
        <v>570</v>
      </c>
      <c r="B157" t="s">
        <v>343</v>
      </c>
      <c r="C157" t="s">
        <v>95</v>
      </c>
      <c r="D157" t="s">
        <v>476</v>
      </c>
      <c r="E157" t="b">
        <v>1</v>
      </c>
    </row>
    <row r="158" spans="1:5" x14ac:dyDescent="0.2">
      <c r="A158" t="s">
        <v>571</v>
      </c>
      <c r="B158" t="s">
        <v>343</v>
      </c>
      <c r="C158" t="s">
        <v>173</v>
      </c>
      <c r="D158" t="s">
        <v>478</v>
      </c>
      <c r="E158" t="b">
        <v>1</v>
      </c>
    </row>
    <row r="159" spans="1:5" x14ac:dyDescent="0.2">
      <c r="A159" t="s">
        <v>572</v>
      </c>
      <c r="B159" t="s">
        <v>346</v>
      </c>
      <c r="C159" t="s">
        <v>77</v>
      </c>
      <c r="D159" t="s">
        <v>476</v>
      </c>
      <c r="E159" t="b">
        <v>1</v>
      </c>
    </row>
    <row r="160" spans="1:5" x14ac:dyDescent="0.2">
      <c r="A160" t="s">
        <v>573</v>
      </c>
      <c r="B160" t="s">
        <v>346</v>
      </c>
      <c r="C160" t="s">
        <v>175</v>
      </c>
      <c r="D160" t="s">
        <v>478</v>
      </c>
      <c r="E160" t="b">
        <v>1</v>
      </c>
    </row>
    <row r="161" spans="1:5" x14ac:dyDescent="0.2">
      <c r="A161" t="s">
        <v>574</v>
      </c>
      <c r="B161" t="s">
        <v>350</v>
      </c>
      <c r="C161" t="s">
        <v>95</v>
      </c>
      <c r="D161" t="s">
        <v>476</v>
      </c>
      <c r="E161" t="b">
        <v>1</v>
      </c>
    </row>
    <row r="162" spans="1:5" x14ac:dyDescent="0.2">
      <c r="A162" t="s">
        <v>575</v>
      </c>
      <c r="B162" t="s">
        <v>350</v>
      </c>
      <c r="C162" t="s">
        <v>175</v>
      </c>
      <c r="D162" t="s">
        <v>478</v>
      </c>
      <c r="E162" t="b">
        <v>1</v>
      </c>
    </row>
    <row r="163" spans="1:5" x14ac:dyDescent="0.2">
      <c r="A163" t="s">
        <v>576</v>
      </c>
      <c r="B163" t="s">
        <v>353</v>
      </c>
      <c r="C163" t="s">
        <v>77</v>
      </c>
      <c r="D163" t="s">
        <v>476</v>
      </c>
      <c r="E163" t="b">
        <v>1</v>
      </c>
    </row>
    <row r="164" spans="1:5" x14ac:dyDescent="0.2">
      <c r="A164" t="s">
        <v>577</v>
      </c>
      <c r="B164" t="s">
        <v>353</v>
      </c>
      <c r="C164" t="s">
        <v>175</v>
      </c>
      <c r="D164" t="s">
        <v>478</v>
      </c>
      <c r="E164" t="b">
        <v>1</v>
      </c>
    </row>
    <row r="165" spans="1:5" x14ac:dyDescent="0.2">
      <c r="A165" t="s">
        <v>578</v>
      </c>
      <c r="B165" t="s">
        <v>356</v>
      </c>
      <c r="C165" t="s">
        <v>93</v>
      </c>
      <c r="D165" t="s">
        <v>476</v>
      </c>
      <c r="E165" t="b">
        <v>1</v>
      </c>
    </row>
    <row r="166" spans="1:5" x14ac:dyDescent="0.2">
      <c r="A166" t="s">
        <v>579</v>
      </c>
      <c r="B166" t="s">
        <v>356</v>
      </c>
      <c r="C166" t="s">
        <v>175</v>
      </c>
      <c r="D166" t="s">
        <v>478</v>
      </c>
      <c r="E166" t="b">
        <v>1</v>
      </c>
    </row>
    <row r="167" spans="1:5" x14ac:dyDescent="0.2">
      <c r="A167" t="s">
        <v>580</v>
      </c>
      <c r="B167" t="s">
        <v>359</v>
      </c>
      <c r="C167" t="s">
        <v>95</v>
      </c>
      <c r="D167" t="s">
        <v>476</v>
      </c>
      <c r="E167" t="b">
        <v>1</v>
      </c>
    </row>
    <row r="168" spans="1:5" x14ac:dyDescent="0.2">
      <c r="A168" t="s">
        <v>581</v>
      </c>
      <c r="B168" t="s">
        <v>359</v>
      </c>
      <c r="C168" t="s">
        <v>175</v>
      </c>
      <c r="D168" t="s">
        <v>478</v>
      </c>
      <c r="E168" t="b">
        <v>1</v>
      </c>
    </row>
    <row r="169" spans="1:5" x14ac:dyDescent="0.2">
      <c r="A169" t="s">
        <v>582</v>
      </c>
      <c r="B169" t="s">
        <v>362</v>
      </c>
      <c r="C169" t="s">
        <v>83</v>
      </c>
      <c r="D169" t="s">
        <v>476</v>
      </c>
      <c r="E169" t="b">
        <v>1</v>
      </c>
    </row>
    <row r="170" spans="1:5" x14ac:dyDescent="0.2">
      <c r="A170" t="s">
        <v>583</v>
      </c>
      <c r="B170" t="s">
        <v>362</v>
      </c>
      <c r="C170" t="s">
        <v>175</v>
      </c>
      <c r="D170" t="s">
        <v>478</v>
      </c>
      <c r="E170" t="b">
        <v>1</v>
      </c>
    </row>
    <row r="171" spans="1:5" x14ac:dyDescent="0.2">
      <c r="A171" t="s">
        <v>584</v>
      </c>
      <c r="B171" t="s">
        <v>365</v>
      </c>
      <c r="C171" t="s">
        <v>95</v>
      </c>
      <c r="D171" t="s">
        <v>476</v>
      </c>
      <c r="E171" t="b">
        <v>1</v>
      </c>
    </row>
    <row r="172" spans="1:5" x14ac:dyDescent="0.2">
      <c r="A172" t="s">
        <v>585</v>
      </c>
      <c r="B172" t="s">
        <v>365</v>
      </c>
      <c r="C172" t="s">
        <v>175</v>
      </c>
      <c r="D172" t="s">
        <v>478</v>
      </c>
      <c r="E172" t="b">
        <v>1</v>
      </c>
    </row>
    <row r="173" spans="1:5" x14ac:dyDescent="0.2">
      <c r="A173" t="s">
        <v>586</v>
      </c>
      <c r="B173" t="s">
        <v>368</v>
      </c>
      <c r="C173" t="s">
        <v>95</v>
      </c>
      <c r="D173" t="s">
        <v>476</v>
      </c>
      <c r="E173" t="b">
        <v>1</v>
      </c>
    </row>
    <row r="174" spans="1:5" x14ac:dyDescent="0.2">
      <c r="A174" t="s">
        <v>587</v>
      </c>
      <c r="B174" t="s">
        <v>368</v>
      </c>
      <c r="C174" t="s">
        <v>175</v>
      </c>
      <c r="D174" t="s">
        <v>478</v>
      </c>
      <c r="E174" t="b">
        <v>1</v>
      </c>
    </row>
    <row r="175" spans="1:5" x14ac:dyDescent="0.2">
      <c r="A175" t="s">
        <v>588</v>
      </c>
      <c r="B175" t="s">
        <v>370</v>
      </c>
      <c r="C175" t="s">
        <v>77</v>
      </c>
      <c r="D175" t="s">
        <v>476</v>
      </c>
      <c r="E175" t="b">
        <v>1</v>
      </c>
    </row>
    <row r="176" spans="1:5" x14ac:dyDescent="0.2">
      <c r="A176" t="s">
        <v>589</v>
      </c>
      <c r="B176" t="s">
        <v>370</v>
      </c>
      <c r="C176" t="s">
        <v>177</v>
      </c>
      <c r="D176" t="s">
        <v>478</v>
      </c>
      <c r="E176" t="b">
        <v>1</v>
      </c>
    </row>
    <row r="177" spans="1:5" x14ac:dyDescent="0.2">
      <c r="A177" t="s">
        <v>590</v>
      </c>
      <c r="B177" t="s">
        <v>374</v>
      </c>
      <c r="C177" t="s">
        <v>77</v>
      </c>
      <c r="D177" t="s">
        <v>476</v>
      </c>
      <c r="E177" t="b">
        <v>1</v>
      </c>
    </row>
    <row r="178" spans="1:5" x14ac:dyDescent="0.2">
      <c r="A178" t="s">
        <v>591</v>
      </c>
      <c r="B178" t="s">
        <v>374</v>
      </c>
      <c r="C178" t="s">
        <v>177</v>
      </c>
      <c r="D178" t="s">
        <v>478</v>
      </c>
      <c r="E178" t="b">
        <v>1</v>
      </c>
    </row>
    <row r="179" spans="1:5" x14ac:dyDescent="0.2">
      <c r="A179" t="s">
        <v>592</v>
      </c>
      <c r="B179" t="s">
        <v>377</v>
      </c>
      <c r="C179" t="s">
        <v>77</v>
      </c>
      <c r="D179" t="s">
        <v>476</v>
      </c>
      <c r="E179" t="b">
        <v>1</v>
      </c>
    </row>
    <row r="180" spans="1:5" x14ac:dyDescent="0.2">
      <c r="A180" t="s">
        <v>593</v>
      </c>
      <c r="B180" t="s">
        <v>377</v>
      </c>
      <c r="C180" t="s">
        <v>177</v>
      </c>
      <c r="D180" t="s">
        <v>478</v>
      </c>
      <c r="E180" t="b">
        <v>1</v>
      </c>
    </row>
    <row r="181" spans="1:5" x14ac:dyDescent="0.2">
      <c r="A181" t="s">
        <v>594</v>
      </c>
      <c r="B181" t="s">
        <v>379</v>
      </c>
      <c r="C181" t="s">
        <v>77</v>
      </c>
      <c r="D181" t="s">
        <v>476</v>
      </c>
      <c r="E181" t="b">
        <v>1</v>
      </c>
    </row>
    <row r="182" spans="1:5" x14ac:dyDescent="0.2">
      <c r="A182" t="s">
        <v>595</v>
      </c>
      <c r="B182" t="s">
        <v>379</v>
      </c>
      <c r="C182" t="s">
        <v>177</v>
      </c>
      <c r="D182" t="s">
        <v>478</v>
      </c>
      <c r="E182" t="b">
        <v>1</v>
      </c>
    </row>
    <row r="183" spans="1:5" x14ac:dyDescent="0.2">
      <c r="A183" t="s">
        <v>596</v>
      </c>
      <c r="B183" t="s">
        <v>381</v>
      </c>
      <c r="C183" t="s">
        <v>77</v>
      </c>
      <c r="D183" t="s">
        <v>476</v>
      </c>
      <c r="E183" t="b">
        <v>1</v>
      </c>
    </row>
    <row r="184" spans="1:5" x14ac:dyDescent="0.2">
      <c r="A184" t="s">
        <v>597</v>
      </c>
      <c r="B184" t="s">
        <v>381</v>
      </c>
      <c r="C184" t="s">
        <v>177</v>
      </c>
      <c r="D184" t="s">
        <v>478</v>
      </c>
      <c r="E184" t="b">
        <v>1</v>
      </c>
    </row>
    <row r="185" spans="1:5" x14ac:dyDescent="0.2">
      <c r="A185" t="s">
        <v>598</v>
      </c>
      <c r="B185" t="s">
        <v>384</v>
      </c>
      <c r="C185" t="s">
        <v>95</v>
      </c>
      <c r="D185" t="s">
        <v>476</v>
      </c>
      <c r="E185" t="b">
        <v>1</v>
      </c>
    </row>
    <row r="186" spans="1:5" x14ac:dyDescent="0.2">
      <c r="A186" t="s">
        <v>599</v>
      </c>
      <c r="B186" t="s">
        <v>384</v>
      </c>
      <c r="C186" t="s">
        <v>177</v>
      </c>
      <c r="D186" t="s">
        <v>478</v>
      </c>
      <c r="E186" t="b">
        <v>1</v>
      </c>
    </row>
    <row r="187" spans="1:5" x14ac:dyDescent="0.2">
      <c r="A187" t="s">
        <v>600</v>
      </c>
      <c r="B187" t="s">
        <v>387</v>
      </c>
      <c r="C187" t="s">
        <v>95</v>
      </c>
      <c r="D187" t="s">
        <v>476</v>
      </c>
      <c r="E187" t="b">
        <v>1</v>
      </c>
    </row>
    <row r="188" spans="1:5" x14ac:dyDescent="0.2">
      <c r="A188" t="s">
        <v>601</v>
      </c>
      <c r="B188" t="s">
        <v>387</v>
      </c>
      <c r="C188" t="s">
        <v>177</v>
      </c>
      <c r="D188" t="s">
        <v>478</v>
      </c>
      <c r="E188" t="b">
        <v>1</v>
      </c>
    </row>
    <row r="189" spans="1:5" x14ac:dyDescent="0.2">
      <c r="A189" t="s">
        <v>602</v>
      </c>
      <c r="B189" t="s">
        <v>389</v>
      </c>
      <c r="C189" t="s">
        <v>77</v>
      </c>
      <c r="D189" t="s">
        <v>476</v>
      </c>
      <c r="E189" t="b">
        <v>1</v>
      </c>
    </row>
    <row r="190" spans="1:5" x14ac:dyDescent="0.2">
      <c r="A190" t="s">
        <v>603</v>
      </c>
      <c r="B190" t="s">
        <v>389</v>
      </c>
      <c r="C190" t="s">
        <v>177</v>
      </c>
      <c r="D190" t="s">
        <v>478</v>
      </c>
      <c r="E190" t="b">
        <v>1</v>
      </c>
    </row>
    <row r="191" spans="1:5" x14ac:dyDescent="0.2">
      <c r="A191" t="s">
        <v>604</v>
      </c>
      <c r="B191" t="s">
        <v>391</v>
      </c>
      <c r="C191" t="s">
        <v>77</v>
      </c>
      <c r="D191" t="s">
        <v>476</v>
      </c>
      <c r="E191" t="b">
        <v>1</v>
      </c>
    </row>
    <row r="192" spans="1:5" x14ac:dyDescent="0.2">
      <c r="A192" t="s">
        <v>605</v>
      </c>
      <c r="B192" t="s">
        <v>391</v>
      </c>
      <c r="C192" t="s">
        <v>179</v>
      </c>
      <c r="D192" t="s">
        <v>478</v>
      </c>
      <c r="E192" t="b">
        <v>1</v>
      </c>
    </row>
    <row r="193" spans="1:5" x14ac:dyDescent="0.2">
      <c r="A193" t="s">
        <v>606</v>
      </c>
      <c r="B193" t="s">
        <v>395</v>
      </c>
      <c r="C193" t="s">
        <v>77</v>
      </c>
      <c r="D193" t="s">
        <v>476</v>
      </c>
      <c r="E193" t="b">
        <v>1</v>
      </c>
    </row>
    <row r="194" spans="1:5" x14ac:dyDescent="0.2">
      <c r="A194" t="s">
        <v>607</v>
      </c>
      <c r="B194" t="s">
        <v>395</v>
      </c>
      <c r="C194" t="s">
        <v>179</v>
      </c>
      <c r="D194" t="s">
        <v>478</v>
      </c>
      <c r="E194" t="b">
        <v>1</v>
      </c>
    </row>
    <row r="195" spans="1:5" x14ac:dyDescent="0.2">
      <c r="A195" t="s">
        <v>608</v>
      </c>
      <c r="B195" t="s">
        <v>398</v>
      </c>
      <c r="C195" t="s">
        <v>77</v>
      </c>
      <c r="D195" t="s">
        <v>476</v>
      </c>
      <c r="E195" t="b">
        <v>1</v>
      </c>
    </row>
    <row r="196" spans="1:5" x14ac:dyDescent="0.2">
      <c r="A196" t="s">
        <v>609</v>
      </c>
      <c r="B196" t="s">
        <v>398</v>
      </c>
      <c r="C196" t="s">
        <v>179</v>
      </c>
      <c r="D196" t="s">
        <v>478</v>
      </c>
      <c r="E196" t="b">
        <v>1</v>
      </c>
    </row>
    <row r="197" spans="1:5" x14ac:dyDescent="0.2">
      <c r="A197" t="s">
        <v>610</v>
      </c>
      <c r="B197" t="s">
        <v>401</v>
      </c>
      <c r="C197" t="s">
        <v>77</v>
      </c>
      <c r="D197" t="s">
        <v>476</v>
      </c>
      <c r="E197" t="b">
        <v>1</v>
      </c>
    </row>
    <row r="198" spans="1:5" x14ac:dyDescent="0.2">
      <c r="A198" t="s">
        <v>611</v>
      </c>
      <c r="B198" t="s">
        <v>401</v>
      </c>
      <c r="C198" t="s">
        <v>179</v>
      </c>
      <c r="D198" t="s">
        <v>478</v>
      </c>
      <c r="E198" t="b">
        <v>1</v>
      </c>
    </row>
    <row r="199" spans="1:5" x14ac:dyDescent="0.2">
      <c r="A199" t="s">
        <v>772</v>
      </c>
      <c r="B199" t="s">
        <v>612</v>
      </c>
      <c r="C199" t="s">
        <v>97</v>
      </c>
      <c r="D199" t="s">
        <v>476</v>
      </c>
      <c r="E199" t="b">
        <v>1</v>
      </c>
    </row>
    <row r="200" spans="1:5" x14ac:dyDescent="0.2">
      <c r="A200" t="s">
        <v>773</v>
      </c>
      <c r="B200" t="s">
        <v>612</v>
      </c>
      <c r="C200" t="s">
        <v>169</v>
      </c>
      <c r="D200" t="s">
        <v>478</v>
      </c>
      <c r="E200" t="b">
        <v>1</v>
      </c>
    </row>
    <row r="201" spans="1:5" x14ac:dyDescent="0.2">
      <c r="A201" t="s">
        <v>774</v>
      </c>
      <c r="B201" t="s">
        <v>617</v>
      </c>
      <c r="C201" t="s">
        <v>97</v>
      </c>
      <c r="D201" t="s">
        <v>476</v>
      </c>
      <c r="E201" t="b">
        <v>1</v>
      </c>
    </row>
    <row r="202" spans="1:5" x14ac:dyDescent="0.2">
      <c r="A202" t="s">
        <v>775</v>
      </c>
      <c r="B202" t="s">
        <v>617</v>
      </c>
      <c r="C202" t="s">
        <v>169</v>
      </c>
      <c r="D202" t="s">
        <v>478</v>
      </c>
      <c r="E202" t="b">
        <v>1</v>
      </c>
    </row>
    <row r="203" spans="1:5" x14ac:dyDescent="0.2">
      <c r="A203" t="s">
        <v>776</v>
      </c>
      <c r="B203" t="s">
        <v>620</v>
      </c>
      <c r="C203" t="s">
        <v>97</v>
      </c>
      <c r="D203" t="s">
        <v>476</v>
      </c>
      <c r="E203" t="b">
        <v>1</v>
      </c>
    </row>
    <row r="204" spans="1:5" x14ac:dyDescent="0.2">
      <c r="A204" t="s">
        <v>777</v>
      </c>
      <c r="B204" t="s">
        <v>620</v>
      </c>
      <c r="C204" t="s">
        <v>169</v>
      </c>
      <c r="D204" t="s">
        <v>478</v>
      </c>
      <c r="E204" t="b">
        <v>1</v>
      </c>
    </row>
    <row r="205" spans="1:5" x14ac:dyDescent="0.2">
      <c r="A205" t="s">
        <v>778</v>
      </c>
      <c r="B205" t="s">
        <v>622</v>
      </c>
      <c r="C205" t="s">
        <v>97</v>
      </c>
      <c r="D205" t="s">
        <v>476</v>
      </c>
      <c r="E205" t="b">
        <v>1</v>
      </c>
    </row>
    <row r="206" spans="1:5" x14ac:dyDescent="0.2">
      <c r="A206" t="s">
        <v>779</v>
      </c>
      <c r="B206" t="s">
        <v>622</v>
      </c>
      <c r="C206" t="s">
        <v>169</v>
      </c>
      <c r="D206" t="s">
        <v>478</v>
      </c>
      <c r="E206" t="b">
        <v>1</v>
      </c>
    </row>
    <row r="207" spans="1:5" x14ac:dyDescent="0.2">
      <c r="A207" t="s">
        <v>780</v>
      </c>
      <c r="B207" t="s">
        <v>624</v>
      </c>
      <c r="C207" t="s">
        <v>97</v>
      </c>
      <c r="D207" t="s">
        <v>476</v>
      </c>
      <c r="E207" t="b">
        <v>1</v>
      </c>
    </row>
    <row r="208" spans="1:5" x14ac:dyDescent="0.2">
      <c r="A208" t="s">
        <v>781</v>
      </c>
      <c r="B208" t="s">
        <v>624</v>
      </c>
      <c r="C208" t="s">
        <v>169</v>
      </c>
      <c r="D208" t="s">
        <v>478</v>
      </c>
      <c r="E208" t="b">
        <v>1</v>
      </c>
    </row>
    <row r="209" spans="1:5" x14ac:dyDescent="0.2">
      <c r="A209" t="s">
        <v>782</v>
      </c>
      <c r="B209" t="s">
        <v>626</v>
      </c>
      <c r="C209" t="s">
        <v>97</v>
      </c>
      <c r="D209" t="s">
        <v>476</v>
      </c>
      <c r="E209" t="b">
        <v>1</v>
      </c>
    </row>
    <row r="210" spans="1:5" x14ac:dyDescent="0.2">
      <c r="A210" t="s">
        <v>783</v>
      </c>
      <c r="B210" t="s">
        <v>626</v>
      </c>
      <c r="C210" t="s">
        <v>169</v>
      </c>
      <c r="D210" t="s">
        <v>478</v>
      </c>
      <c r="E210" t="b">
        <v>1</v>
      </c>
    </row>
    <row r="211" spans="1:5" x14ac:dyDescent="0.2">
      <c r="A211" t="s">
        <v>784</v>
      </c>
      <c r="B211" t="s">
        <v>628</v>
      </c>
      <c r="C211" t="s">
        <v>97</v>
      </c>
      <c r="D211" t="s">
        <v>476</v>
      </c>
      <c r="E211" t="b">
        <v>1</v>
      </c>
    </row>
    <row r="212" spans="1:5" x14ac:dyDescent="0.2">
      <c r="A212" t="s">
        <v>785</v>
      </c>
      <c r="B212" t="s">
        <v>628</v>
      </c>
      <c r="C212" t="s">
        <v>169</v>
      </c>
      <c r="D212" t="s">
        <v>478</v>
      </c>
      <c r="E212" t="b">
        <v>1</v>
      </c>
    </row>
    <row r="213" spans="1:5" x14ac:dyDescent="0.2">
      <c r="A213" t="s">
        <v>786</v>
      </c>
      <c r="B213" t="s">
        <v>630</v>
      </c>
      <c r="C213" t="s">
        <v>97</v>
      </c>
      <c r="D213" t="s">
        <v>476</v>
      </c>
      <c r="E213" t="b">
        <v>1</v>
      </c>
    </row>
    <row r="214" spans="1:5" x14ac:dyDescent="0.2">
      <c r="A214" t="s">
        <v>787</v>
      </c>
      <c r="B214" t="s">
        <v>630</v>
      </c>
      <c r="C214" t="s">
        <v>169</v>
      </c>
      <c r="D214" t="s">
        <v>478</v>
      </c>
      <c r="E214" t="b">
        <v>1</v>
      </c>
    </row>
    <row r="215" spans="1:5" x14ac:dyDescent="0.2">
      <c r="A215" t="s">
        <v>788</v>
      </c>
      <c r="B215" t="s">
        <v>634</v>
      </c>
      <c r="C215" t="s">
        <v>97</v>
      </c>
      <c r="D215" t="s">
        <v>476</v>
      </c>
      <c r="E215" t="b">
        <v>1</v>
      </c>
    </row>
    <row r="216" spans="1:5" x14ac:dyDescent="0.2">
      <c r="A216" t="s">
        <v>789</v>
      </c>
      <c r="B216" t="s">
        <v>634</v>
      </c>
      <c r="C216" t="s">
        <v>169</v>
      </c>
      <c r="D216" t="s">
        <v>478</v>
      </c>
      <c r="E216" t="b">
        <v>1</v>
      </c>
    </row>
    <row r="217" spans="1:5" x14ac:dyDescent="0.2">
      <c r="A217" t="s">
        <v>790</v>
      </c>
      <c r="B217" t="s">
        <v>637</v>
      </c>
      <c r="C217" t="s">
        <v>97</v>
      </c>
      <c r="D217" t="s">
        <v>476</v>
      </c>
      <c r="E217" t="b">
        <v>1</v>
      </c>
    </row>
    <row r="218" spans="1:5" x14ac:dyDescent="0.2">
      <c r="A218" t="s">
        <v>791</v>
      </c>
      <c r="B218" t="s">
        <v>637</v>
      </c>
      <c r="C218" t="s">
        <v>169</v>
      </c>
      <c r="D218" t="s">
        <v>478</v>
      </c>
      <c r="E218" t="b">
        <v>1</v>
      </c>
    </row>
    <row r="219" spans="1:5" x14ac:dyDescent="0.2">
      <c r="A219" t="s">
        <v>792</v>
      </c>
      <c r="B219" t="s">
        <v>640</v>
      </c>
      <c r="C219" t="s">
        <v>97</v>
      </c>
      <c r="D219" t="s">
        <v>476</v>
      </c>
      <c r="E219" t="b">
        <v>1</v>
      </c>
    </row>
    <row r="220" spans="1:5" x14ac:dyDescent="0.2">
      <c r="A220" t="s">
        <v>793</v>
      </c>
      <c r="B220" t="s">
        <v>640</v>
      </c>
      <c r="C220" t="s">
        <v>169</v>
      </c>
      <c r="D220" t="s">
        <v>478</v>
      </c>
      <c r="E220" t="b">
        <v>1</v>
      </c>
    </row>
    <row r="221" spans="1:5" x14ac:dyDescent="0.2">
      <c r="A221" t="s">
        <v>794</v>
      </c>
      <c r="B221" t="s">
        <v>643</v>
      </c>
      <c r="C221" t="s">
        <v>97</v>
      </c>
      <c r="D221" t="s">
        <v>476</v>
      </c>
      <c r="E221" t="b">
        <v>1</v>
      </c>
    </row>
    <row r="222" spans="1:5" x14ac:dyDescent="0.2">
      <c r="A222" t="s">
        <v>795</v>
      </c>
      <c r="B222" t="s">
        <v>643</v>
      </c>
      <c r="C222" t="s">
        <v>169</v>
      </c>
      <c r="D222" t="s">
        <v>478</v>
      </c>
      <c r="E222" t="b">
        <v>1</v>
      </c>
    </row>
    <row r="223" spans="1:5" x14ac:dyDescent="0.2">
      <c r="A223" t="s">
        <v>796</v>
      </c>
      <c r="B223" t="s">
        <v>645</v>
      </c>
      <c r="C223" t="s">
        <v>97</v>
      </c>
      <c r="D223" t="s">
        <v>476</v>
      </c>
      <c r="E223" t="b">
        <v>1</v>
      </c>
    </row>
    <row r="224" spans="1:5" x14ac:dyDescent="0.2">
      <c r="A224" t="s">
        <v>797</v>
      </c>
      <c r="B224" t="s">
        <v>645</v>
      </c>
      <c r="C224" t="s">
        <v>169</v>
      </c>
      <c r="D224" t="s">
        <v>478</v>
      </c>
      <c r="E224" t="b">
        <v>1</v>
      </c>
    </row>
    <row r="225" spans="1:5" x14ac:dyDescent="0.2">
      <c r="A225" t="s">
        <v>798</v>
      </c>
      <c r="B225" t="s">
        <v>647</v>
      </c>
      <c r="C225" t="s">
        <v>97</v>
      </c>
      <c r="D225" t="s">
        <v>476</v>
      </c>
      <c r="E225" t="b">
        <v>1</v>
      </c>
    </row>
    <row r="226" spans="1:5" x14ac:dyDescent="0.2">
      <c r="A226" t="s">
        <v>799</v>
      </c>
      <c r="B226" t="s">
        <v>647</v>
      </c>
      <c r="C226" t="s">
        <v>165</v>
      </c>
      <c r="D226" t="s">
        <v>478</v>
      </c>
      <c r="E226" t="b">
        <v>1</v>
      </c>
    </row>
    <row r="227" spans="1:5" x14ac:dyDescent="0.2">
      <c r="A227" t="s">
        <v>800</v>
      </c>
      <c r="B227" t="s">
        <v>651</v>
      </c>
      <c r="C227" t="s">
        <v>97</v>
      </c>
      <c r="D227" t="s">
        <v>476</v>
      </c>
      <c r="E227" t="b">
        <v>1</v>
      </c>
    </row>
    <row r="228" spans="1:5" x14ac:dyDescent="0.2">
      <c r="A228" t="s">
        <v>801</v>
      </c>
      <c r="B228" t="s">
        <v>651</v>
      </c>
      <c r="C228" t="s">
        <v>187</v>
      </c>
      <c r="D228" t="s">
        <v>478</v>
      </c>
      <c r="E228" t="b">
        <v>1</v>
      </c>
    </row>
    <row r="229" spans="1:5" x14ac:dyDescent="0.2">
      <c r="A229" t="s">
        <v>802</v>
      </c>
      <c r="B229" t="s">
        <v>655</v>
      </c>
      <c r="C229" t="s">
        <v>97</v>
      </c>
      <c r="D229" t="s">
        <v>476</v>
      </c>
      <c r="E229" t="b">
        <v>1</v>
      </c>
    </row>
    <row r="230" spans="1:5" x14ac:dyDescent="0.2">
      <c r="A230" t="s">
        <v>803</v>
      </c>
      <c r="B230" t="s">
        <v>655</v>
      </c>
      <c r="C230" t="s">
        <v>165</v>
      </c>
      <c r="D230" t="s">
        <v>478</v>
      </c>
      <c r="E230" t="b">
        <v>1</v>
      </c>
    </row>
    <row r="231" spans="1:5" x14ac:dyDescent="0.2">
      <c r="A231" t="s">
        <v>804</v>
      </c>
      <c r="B231" t="s">
        <v>657</v>
      </c>
      <c r="C231" t="s">
        <v>97</v>
      </c>
      <c r="D231" t="s">
        <v>476</v>
      </c>
      <c r="E231" t="b">
        <v>1</v>
      </c>
    </row>
    <row r="232" spans="1:5" x14ac:dyDescent="0.2">
      <c r="A232" t="s">
        <v>805</v>
      </c>
      <c r="B232" t="s">
        <v>657</v>
      </c>
      <c r="C232" t="s">
        <v>165</v>
      </c>
      <c r="D232" t="s">
        <v>478</v>
      </c>
      <c r="E232" t="b">
        <v>1</v>
      </c>
    </row>
    <row r="233" spans="1:5" x14ac:dyDescent="0.2">
      <c r="A233" t="s">
        <v>806</v>
      </c>
      <c r="B233" t="s">
        <v>659</v>
      </c>
      <c r="C233" t="s">
        <v>97</v>
      </c>
      <c r="D233" t="s">
        <v>476</v>
      </c>
      <c r="E233" t="b">
        <v>1</v>
      </c>
    </row>
    <row r="234" spans="1:5" x14ac:dyDescent="0.2">
      <c r="A234" t="s">
        <v>807</v>
      </c>
      <c r="B234" t="s">
        <v>659</v>
      </c>
      <c r="C234" t="s">
        <v>189</v>
      </c>
      <c r="D234" t="s">
        <v>478</v>
      </c>
      <c r="E234" t="b">
        <v>1</v>
      </c>
    </row>
    <row r="235" spans="1:5" x14ac:dyDescent="0.2">
      <c r="A235" t="s">
        <v>808</v>
      </c>
      <c r="B235" t="s">
        <v>662</v>
      </c>
      <c r="C235" t="s">
        <v>97</v>
      </c>
      <c r="D235" t="s">
        <v>476</v>
      </c>
      <c r="E235" t="b">
        <v>1</v>
      </c>
    </row>
    <row r="236" spans="1:5" x14ac:dyDescent="0.2">
      <c r="A236" t="s">
        <v>809</v>
      </c>
      <c r="B236" t="s">
        <v>662</v>
      </c>
      <c r="C236" t="s">
        <v>187</v>
      </c>
      <c r="D236" t="s">
        <v>478</v>
      </c>
      <c r="E236" t="b">
        <v>1</v>
      </c>
    </row>
    <row r="237" spans="1:5" x14ac:dyDescent="0.2">
      <c r="A237" t="s">
        <v>810</v>
      </c>
      <c r="B237" t="s">
        <v>665</v>
      </c>
      <c r="C237" t="s">
        <v>97</v>
      </c>
      <c r="D237" t="s">
        <v>476</v>
      </c>
      <c r="E237" t="b">
        <v>1</v>
      </c>
    </row>
    <row r="238" spans="1:5" x14ac:dyDescent="0.2">
      <c r="A238" t="s">
        <v>811</v>
      </c>
      <c r="B238" t="s">
        <v>665</v>
      </c>
      <c r="C238" t="s">
        <v>175</v>
      </c>
      <c r="D238" t="s">
        <v>478</v>
      </c>
      <c r="E238" t="b">
        <v>1</v>
      </c>
    </row>
    <row r="239" spans="1:5" x14ac:dyDescent="0.2">
      <c r="A239" t="s">
        <v>812</v>
      </c>
      <c r="B239" t="s">
        <v>669</v>
      </c>
      <c r="C239" t="s">
        <v>97</v>
      </c>
      <c r="D239" t="s">
        <v>476</v>
      </c>
      <c r="E239" t="b">
        <v>1</v>
      </c>
    </row>
    <row r="240" spans="1:5" x14ac:dyDescent="0.2">
      <c r="A240" t="s">
        <v>813</v>
      </c>
      <c r="B240" t="s">
        <v>669</v>
      </c>
      <c r="C240" t="s">
        <v>175</v>
      </c>
      <c r="D240" t="s">
        <v>478</v>
      </c>
      <c r="E240" t="b">
        <v>1</v>
      </c>
    </row>
    <row r="241" spans="1:5" x14ac:dyDescent="0.2">
      <c r="A241" t="s">
        <v>814</v>
      </c>
      <c r="B241" t="s">
        <v>673</v>
      </c>
      <c r="C241" t="s">
        <v>97</v>
      </c>
      <c r="D241" t="s">
        <v>476</v>
      </c>
      <c r="E241" t="b">
        <v>1</v>
      </c>
    </row>
    <row r="242" spans="1:5" x14ac:dyDescent="0.2">
      <c r="A242" t="s">
        <v>815</v>
      </c>
      <c r="B242" t="s">
        <v>673</v>
      </c>
      <c r="C242" t="s">
        <v>173</v>
      </c>
      <c r="D242" t="s">
        <v>478</v>
      </c>
      <c r="E242" t="b">
        <v>1</v>
      </c>
    </row>
    <row r="243" spans="1:5" x14ac:dyDescent="0.2">
      <c r="A243" t="s">
        <v>816</v>
      </c>
      <c r="B243" t="s">
        <v>676</v>
      </c>
      <c r="C243" t="s">
        <v>104</v>
      </c>
      <c r="D243" t="s">
        <v>476</v>
      </c>
      <c r="E243" t="b">
        <v>1</v>
      </c>
    </row>
    <row r="244" spans="1:5" x14ac:dyDescent="0.2">
      <c r="A244" t="s">
        <v>817</v>
      </c>
      <c r="B244" t="s">
        <v>676</v>
      </c>
      <c r="C244" t="s">
        <v>189</v>
      </c>
      <c r="D244" t="s">
        <v>478</v>
      </c>
      <c r="E244" t="b">
        <v>1</v>
      </c>
    </row>
    <row r="245" spans="1:5" x14ac:dyDescent="0.2">
      <c r="A245" t="s">
        <v>818</v>
      </c>
      <c r="B245" t="s">
        <v>679</v>
      </c>
      <c r="C245" t="s">
        <v>160</v>
      </c>
      <c r="D245" t="s">
        <v>476</v>
      </c>
      <c r="E245" t="b">
        <v>1</v>
      </c>
    </row>
    <row r="246" spans="1:5" x14ac:dyDescent="0.2">
      <c r="A246" t="s">
        <v>819</v>
      </c>
      <c r="B246" t="s">
        <v>679</v>
      </c>
      <c r="C246" t="s">
        <v>169</v>
      </c>
      <c r="D246" t="s">
        <v>478</v>
      </c>
      <c r="E246" t="b">
        <v>1</v>
      </c>
    </row>
    <row r="247" spans="1:5" x14ac:dyDescent="0.2">
      <c r="A247" t="s">
        <v>820</v>
      </c>
      <c r="B247" t="s">
        <v>683</v>
      </c>
      <c r="C247" t="s">
        <v>160</v>
      </c>
      <c r="D247" t="s">
        <v>476</v>
      </c>
      <c r="E247" t="b">
        <v>1</v>
      </c>
    </row>
    <row r="248" spans="1:5" x14ac:dyDescent="0.2">
      <c r="A248" t="s">
        <v>821</v>
      </c>
      <c r="B248" t="s">
        <v>683</v>
      </c>
      <c r="C248" t="s">
        <v>162</v>
      </c>
      <c r="D248" t="s">
        <v>478</v>
      </c>
      <c r="E248" t="b">
        <v>1</v>
      </c>
    </row>
    <row r="249" spans="1:5" x14ac:dyDescent="0.2">
      <c r="A249" t="s">
        <v>822</v>
      </c>
      <c r="B249" t="s">
        <v>685</v>
      </c>
      <c r="C249" t="s">
        <v>160</v>
      </c>
      <c r="D249" t="s">
        <v>476</v>
      </c>
      <c r="E249" t="b">
        <v>1</v>
      </c>
    </row>
    <row r="250" spans="1:5" x14ac:dyDescent="0.2">
      <c r="A250" t="s">
        <v>823</v>
      </c>
      <c r="B250" t="s">
        <v>685</v>
      </c>
      <c r="C250" t="s">
        <v>169</v>
      </c>
      <c r="D250" t="s">
        <v>478</v>
      </c>
      <c r="E250" t="b">
        <v>1</v>
      </c>
    </row>
    <row r="251" spans="1:5" x14ac:dyDescent="0.2">
      <c r="A251" t="s">
        <v>824</v>
      </c>
      <c r="B251" t="s">
        <v>687</v>
      </c>
      <c r="C251" t="s">
        <v>106</v>
      </c>
      <c r="D251" t="s">
        <v>476</v>
      </c>
      <c r="E251" t="b">
        <v>1</v>
      </c>
    </row>
    <row r="252" spans="1:5" x14ac:dyDescent="0.2">
      <c r="A252" t="s">
        <v>825</v>
      </c>
      <c r="B252" t="s">
        <v>687</v>
      </c>
      <c r="C252" t="s">
        <v>169</v>
      </c>
      <c r="D252" t="s">
        <v>478</v>
      </c>
      <c r="E252" t="b">
        <v>1</v>
      </c>
    </row>
    <row r="253" spans="1:5" x14ac:dyDescent="0.2">
      <c r="A253" t="s">
        <v>826</v>
      </c>
      <c r="B253" t="s">
        <v>692</v>
      </c>
      <c r="C253" t="s">
        <v>106</v>
      </c>
      <c r="D253" t="s">
        <v>476</v>
      </c>
      <c r="E253" t="b">
        <v>1</v>
      </c>
    </row>
    <row r="254" spans="1:5" x14ac:dyDescent="0.2">
      <c r="A254" t="s">
        <v>827</v>
      </c>
      <c r="B254" t="s">
        <v>692</v>
      </c>
      <c r="C254" t="s">
        <v>169</v>
      </c>
      <c r="D254" t="s">
        <v>478</v>
      </c>
      <c r="E254" t="b">
        <v>1</v>
      </c>
    </row>
    <row r="255" spans="1:5" x14ac:dyDescent="0.2">
      <c r="A255" t="s">
        <v>828</v>
      </c>
      <c r="B255" t="s">
        <v>695</v>
      </c>
      <c r="C255" t="s">
        <v>106</v>
      </c>
      <c r="D255" t="s">
        <v>476</v>
      </c>
      <c r="E255" t="b">
        <v>1</v>
      </c>
    </row>
    <row r="256" spans="1:5" x14ac:dyDescent="0.2">
      <c r="A256" t="s">
        <v>829</v>
      </c>
      <c r="B256" t="s">
        <v>695</v>
      </c>
      <c r="C256" t="s">
        <v>169</v>
      </c>
      <c r="D256" t="s">
        <v>478</v>
      </c>
      <c r="E256" t="b">
        <v>1</v>
      </c>
    </row>
    <row r="257" spans="1:5" x14ac:dyDescent="0.2">
      <c r="A257" t="s">
        <v>830</v>
      </c>
      <c r="B257" t="s">
        <v>699</v>
      </c>
      <c r="C257" t="s">
        <v>106</v>
      </c>
      <c r="D257" t="s">
        <v>476</v>
      </c>
      <c r="E257" t="b">
        <v>1</v>
      </c>
    </row>
    <row r="258" spans="1:5" x14ac:dyDescent="0.2">
      <c r="A258" t="s">
        <v>831</v>
      </c>
      <c r="B258" t="s">
        <v>699</v>
      </c>
      <c r="C258" t="s">
        <v>169</v>
      </c>
      <c r="D258" t="s">
        <v>478</v>
      </c>
      <c r="E258" t="b">
        <v>1</v>
      </c>
    </row>
    <row r="259" spans="1:5" x14ac:dyDescent="0.2">
      <c r="A259" t="s">
        <v>832</v>
      </c>
      <c r="B259" t="s">
        <v>701</v>
      </c>
      <c r="C259" t="s">
        <v>106</v>
      </c>
      <c r="D259" t="s">
        <v>476</v>
      </c>
      <c r="E259" t="b">
        <v>1</v>
      </c>
    </row>
    <row r="260" spans="1:5" x14ac:dyDescent="0.2">
      <c r="A260" t="s">
        <v>833</v>
      </c>
      <c r="B260" t="s">
        <v>701</v>
      </c>
      <c r="C260" t="s">
        <v>183</v>
      </c>
      <c r="D260" t="s">
        <v>478</v>
      </c>
      <c r="E260" t="b">
        <v>1</v>
      </c>
    </row>
    <row r="261" spans="1:5" x14ac:dyDescent="0.2">
      <c r="A261" t="s">
        <v>834</v>
      </c>
      <c r="B261" t="s">
        <v>704</v>
      </c>
      <c r="C261" t="s">
        <v>106</v>
      </c>
      <c r="D261" t="s">
        <v>476</v>
      </c>
      <c r="E261" t="b">
        <v>1</v>
      </c>
    </row>
    <row r="262" spans="1:5" x14ac:dyDescent="0.2">
      <c r="A262" t="s">
        <v>835</v>
      </c>
      <c r="B262" t="s">
        <v>704</v>
      </c>
      <c r="C262" t="s">
        <v>183</v>
      </c>
      <c r="D262" t="s">
        <v>478</v>
      </c>
      <c r="E262" t="b">
        <v>1</v>
      </c>
    </row>
    <row r="263" spans="1:5" x14ac:dyDescent="0.2">
      <c r="A263" t="s">
        <v>836</v>
      </c>
      <c r="B263" t="s">
        <v>706</v>
      </c>
      <c r="C263" t="s">
        <v>106</v>
      </c>
      <c r="D263" t="s">
        <v>476</v>
      </c>
      <c r="E263" t="b">
        <v>1</v>
      </c>
    </row>
    <row r="264" spans="1:5" x14ac:dyDescent="0.2">
      <c r="A264" t="s">
        <v>837</v>
      </c>
      <c r="B264" t="s">
        <v>706</v>
      </c>
      <c r="C264" t="s">
        <v>183</v>
      </c>
      <c r="D264" t="s">
        <v>478</v>
      </c>
      <c r="E264" t="b">
        <v>1</v>
      </c>
    </row>
    <row r="265" spans="1:5" x14ac:dyDescent="0.2">
      <c r="A265" t="s">
        <v>838</v>
      </c>
      <c r="B265" t="s">
        <v>708</v>
      </c>
      <c r="C265" t="s">
        <v>110</v>
      </c>
      <c r="D265" t="s">
        <v>476</v>
      </c>
      <c r="E265" t="b">
        <v>1</v>
      </c>
    </row>
    <row r="266" spans="1:5" x14ac:dyDescent="0.2">
      <c r="A266" t="s">
        <v>839</v>
      </c>
      <c r="B266" t="s">
        <v>708</v>
      </c>
      <c r="C266" t="s">
        <v>169</v>
      </c>
      <c r="D266" t="s">
        <v>478</v>
      </c>
      <c r="E266" t="b">
        <v>1</v>
      </c>
    </row>
    <row r="267" spans="1:5" x14ac:dyDescent="0.2">
      <c r="A267" t="s">
        <v>840</v>
      </c>
      <c r="B267" t="s">
        <v>711</v>
      </c>
      <c r="C267" t="s">
        <v>106</v>
      </c>
      <c r="D267" t="s">
        <v>476</v>
      </c>
      <c r="E267" t="b">
        <v>1</v>
      </c>
    </row>
    <row r="268" spans="1:5" x14ac:dyDescent="0.2">
      <c r="A268" t="s">
        <v>841</v>
      </c>
      <c r="B268" t="s">
        <v>711</v>
      </c>
      <c r="C268" t="s">
        <v>169</v>
      </c>
      <c r="D268" t="s">
        <v>478</v>
      </c>
      <c r="E268" t="b">
        <v>1</v>
      </c>
    </row>
    <row r="269" spans="1:5" x14ac:dyDescent="0.2">
      <c r="A269" t="s">
        <v>842</v>
      </c>
      <c r="B269" t="s">
        <v>713</v>
      </c>
      <c r="C269" t="s">
        <v>110</v>
      </c>
      <c r="D269" t="s">
        <v>476</v>
      </c>
      <c r="E269" t="b">
        <v>1</v>
      </c>
    </row>
    <row r="270" spans="1:5" x14ac:dyDescent="0.2">
      <c r="A270" t="s">
        <v>843</v>
      </c>
      <c r="B270" t="s">
        <v>713</v>
      </c>
      <c r="C270" t="s">
        <v>169</v>
      </c>
      <c r="D270" t="s">
        <v>478</v>
      </c>
      <c r="E270" t="b">
        <v>1</v>
      </c>
    </row>
    <row r="271" spans="1:5" x14ac:dyDescent="0.2">
      <c r="A271" t="s">
        <v>844</v>
      </c>
      <c r="B271" t="s">
        <v>715</v>
      </c>
      <c r="C271" t="s">
        <v>108</v>
      </c>
      <c r="D271" t="s">
        <v>476</v>
      </c>
      <c r="E271" t="b">
        <v>1</v>
      </c>
    </row>
    <row r="272" spans="1:5" x14ac:dyDescent="0.2">
      <c r="A272" t="s">
        <v>845</v>
      </c>
      <c r="B272" t="s">
        <v>715</v>
      </c>
      <c r="C272" t="s">
        <v>169</v>
      </c>
      <c r="D272" t="s">
        <v>478</v>
      </c>
      <c r="E272" t="b">
        <v>1</v>
      </c>
    </row>
    <row r="273" spans="1:5" x14ac:dyDescent="0.2">
      <c r="A273" t="s">
        <v>846</v>
      </c>
      <c r="B273" t="s">
        <v>717</v>
      </c>
      <c r="C273" t="s">
        <v>106</v>
      </c>
      <c r="D273" t="s">
        <v>476</v>
      </c>
      <c r="E273" t="b">
        <v>1</v>
      </c>
    </row>
    <row r="274" spans="1:5" x14ac:dyDescent="0.2">
      <c r="A274" t="s">
        <v>847</v>
      </c>
      <c r="B274" t="s">
        <v>717</v>
      </c>
      <c r="C274" t="s">
        <v>169</v>
      </c>
      <c r="D274" t="s">
        <v>478</v>
      </c>
      <c r="E274" t="b">
        <v>1</v>
      </c>
    </row>
    <row r="275" spans="1:5" x14ac:dyDescent="0.2">
      <c r="A275" t="s">
        <v>848</v>
      </c>
      <c r="B275" t="s">
        <v>719</v>
      </c>
      <c r="C275" t="s">
        <v>106</v>
      </c>
      <c r="D275" t="s">
        <v>476</v>
      </c>
      <c r="E275" t="b">
        <v>1</v>
      </c>
    </row>
    <row r="276" spans="1:5" x14ac:dyDescent="0.2">
      <c r="A276" t="s">
        <v>849</v>
      </c>
      <c r="B276" t="s">
        <v>719</v>
      </c>
      <c r="C276" t="s">
        <v>169</v>
      </c>
      <c r="D276" t="s">
        <v>478</v>
      </c>
      <c r="E276" t="b">
        <v>1</v>
      </c>
    </row>
    <row r="277" spans="1:5" x14ac:dyDescent="0.2">
      <c r="A277" t="s">
        <v>850</v>
      </c>
      <c r="B277" t="s">
        <v>721</v>
      </c>
      <c r="C277" t="s">
        <v>114</v>
      </c>
      <c r="D277" t="s">
        <v>476</v>
      </c>
      <c r="E277" t="b">
        <v>1</v>
      </c>
    </row>
    <row r="278" spans="1:5" x14ac:dyDescent="0.2">
      <c r="A278" t="s">
        <v>851</v>
      </c>
      <c r="B278" t="s">
        <v>721</v>
      </c>
      <c r="C278" t="s">
        <v>169</v>
      </c>
      <c r="D278" t="s">
        <v>478</v>
      </c>
      <c r="E278" t="b">
        <v>1</v>
      </c>
    </row>
    <row r="279" spans="1:5" x14ac:dyDescent="0.2">
      <c r="A279" t="s">
        <v>852</v>
      </c>
      <c r="B279" t="s">
        <v>723</v>
      </c>
      <c r="C279" t="s">
        <v>106</v>
      </c>
      <c r="D279" t="s">
        <v>476</v>
      </c>
      <c r="E279" t="b">
        <v>1</v>
      </c>
    </row>
    <row r="280" spans="1:5" x14ac:dyDescent="0.2">
      <c r="A280" t="s">
        <v>853</v>
      </c>
      <c r="B280" t="s">
        <v>723</v>
      </c>
      <c r="C280" t="s">
        <v>187</v>
      </c>
      <c r="D280" t="s">
        <v>478</v>
      </c>
      <c r="E280" t="b">
        <v>1</v>
      </c>
    </row>
    <row r="281" spans="1:5" x14ac:dyDescent="0.2">
      <c r="A281" t="s">
        <v>854</v>
      </c>
      <c r="B281" t="s">
        <v>727</v>
      </c>
      <c r="C281" t="s">
        <v>106</v>
      </c>
      <c r="D281" t="s">
        <v>476</v>
      </c>
      <c r="E281" t="b">
        <v>1</v>
      </c>
    </row>
    <row r="282" spans="1:5" x14ac:dyDescent="0.2">
      <c r="A282" t="s">
        <v>855</v>
      </c>
      <c r="B282" t="s">
        <v>727</v>
      </c>
      <c r="C282" t="s">
        <v>187</v>
      </c>
      <c r="D282" t="s">
        <v>478</v>
      </c>
      <c r="E282" t="b">
        <v>1</v>
      </c>
    </row>
    <row r="283" spans="1:5" x14ac:dyDescent="0.2">
      <c r="A283" t="s">
        <v>856</v>
      </c>
      <c r="B283" t="s">
        <v>730</v>
      </c>
      <c r="C283" t="s">
        <v>108</v>
      </c>
      <c r="D283" t="s">
        <v>476</v>
      </c>
      <c r="E283" t="b">
        <v>1</v>
      </c>
    </row>
    <row r="284" spans="1:5" x14ac:dyDescent="0.2">
      <c r="A284" t="s">
        <v>857</v>
      </c>
      <c r="B284" t="s">
        <v>730</v>
      </c>
      <c r="C284" t="s">
        <v>187</v>
      </c>
      <c r="D284" t="s">
        <v>478</v>
      </c>
      <c r="E284" t="b">
        <v>1</v>
      </c>
    </row>
    <row r="285" spans="1:5" x14ac:dyDescent="0.2">
      <c r="A285" t="s">
        <v>858</v>
      </c>
      <c r="B285" t="s">
        <v>732</v>
      </c>
      <c r="C285" t="s">
        <v>108</v>
      </c>
      <c r="D285" t="s">
        <v>476</v>
      </c>
      <c r="E285" t="b">
        <v>1</v>
      </c>
    </row>
    <row r="286" spans="1:5" x14ac:dyDescent="0.2">
      <c r="A286" t="s">
        <v>859</v>
      </c>
      <c r="B286" t="s">
        <v>732</v>
      </c>
      <c r="C286" t="s">
        <v>187</v>
      </c>
      <c r="D286" t="s">
        <v>478</v>
      </c>
      <c r="E286" t="b">
        <v>1</v>
      </c>
    </row>
    <row r="287" spans="1:5" x14ac:dyDescent="0.2">
      <c r="A287" t="s">
        <v>860</v>
      </c>
      <c r="B287" t="s">
        <v>734</v>
      </c>
      <c r="C287" t="s">
        <v>114</v>
      </c>
      <c r="D287" t="s">
        <v>476</v>
      </c>
      <c r="E287" t="b">
        <v>1</v>
      </c>
    </row>
    <row r="288" spans="1:5" x14ac:dyDescent="0.2">
      <c r="A288" t="s">
        <v>861</v>
      </c>
      <c r="B288" t="s">
        <v>734</v>
      </c>
      <c r="C288" t="s">
        <v>187</v>
      </c>
      <c r="D288" t="s">
        <v>478</v>
      </c>
      <c r="E288" t="b">
        <v>1</v>
      </c>
    </row>
    <row r="289" spans="1:5" x14ac:dyDescent="0.2">
      <c r="A289" t="s">
        <v>862</v>
      </c>
      <c r="B289" t="s">
        <v>736</v>
      </c>
      <c r="C289" t="s">
        <v>110</v>
      </c>
      <c r="D289" t="s">
        <v>476</v>
      </c>
      <c r="E289" t="b">
        <v>1</v>
      </c>
    </row>
    <row r="290" spans="1:5" x14ac:dyDescent="0.2">
      <c r="A290" t="s">
        <v>863</v>
      </c>
      <c r="B290" t="s">
        <v>736</v>
      </c>
      <c r="C290" t="s">
        <v>187</v>
      </c>
      <c r="D290" t="s">
        <v>478</v>
      </c>
      <c r="E290" t="b">
        <v>1</v>
      </c>
    </row>
    <row r="291" spans="1:5" x14ac:dyDescent="0.2">
      <c r="A291" t="s">
        <v>864</v>
      </c>
      <c r="B291" t="s">
        <v>738</v>
      </c>
      <c r="C291" t="s">
        <v>110</v>
      </c>
      <c r="D291" t="s">
        <v>476</v>
      </c>
      <c r="E291" t="b">
        <v>1</v>
      </c>
    </row>
    <row r="292" spans="1:5" x14ac:dyDescent="0.2">
      <c r="A292" t="s">
        <v>865</v>
      </c>
      <c r="B292" t="s">
        <v>738</v>
      </c>
      <c r="C292" t="s">
        <v>175</v>
      </c>
      <c r="D292" t="s">
        <v>478</v>
      </c>
      <c r="E292" t="b">
        <v>1</v>
      </c>
    </row>
    <row r="293" spans="1:5" x14ac:dyDescent="0.2">
      <c r="A293" t="s">
        <v>866</v>
      </c>
      <c r="B293" t="s">
        <v>742</v>
      </c>
      <c r="C293" t="s">
        <v>106</v>
      </c>
      <c r="D293" t="s">
        <v>476</v>
      </c>
      <c r="E293" t="b">
        <v>1</v>
      </c>
    </row>
    <row r="294" spans="1:5" x14ac:dyDescent="0.2">
      <c r="A294" t="s">
        <v>867</v>
      </c>
      <c r="B294" t="s">
        <v>742</v>
      </c>
      <c r="C294" t="s">
        <v>175</v>
      </c>
      <c r="D294" t="s">
        <v>478</v>
      </c>
      <c r="E294" t="b">
        <v>1</v>
      </c>
    </row>
    <row r="295" spans="1:5" x14ac:dyDescent="0.2">
      <c r="A295" t="s">
        <v>868</v>
      </c>
      <c r="B295" t="s">
        <v>744</v>
      </c>
      <c r="C295" t="s">
        <v>108</v>
      </c>
      <c r="D295" t="s">
        <v>476</v>
      </c>
      <c r="E295" t="b">
        <v>1</v>
      </c>
    </row>
    <row r="296" spans="1:5" x14ac:dyDescent="0.2">
      <c r="A296" t="s">
        <v>869</v>
      </c>
      <c r="B296" t="s">
        <v>744</v>
      </c>
      <c r="C296" t="s">
        <v>175</v>
      </c>
      <c r="D296" t="s">
        <v>478</v>
      </c>
      <c r="E296" t="b">
        <v>1</v>
      </c>
    </row>
    <row r="297" spans="1:5" x14ac:dyDescent="0.2">
      <c r="A297" t="s">
        <v>870</v>
      </c>
      <c r="B297" t="s">
        <v>746</v>
      </c>
      <c r="C297" t="s">
        <v>106</v>
      </c>
      <c r="D297" t="s">
        <v>476</v>
      </c>
      <c r="E297" t="b">
        <v>1</v>
      </c>
    </row>
    <row r="298" spans="1:5" x14ac:dyDescent="0.2">
      <c r="A298" t="s">
        <v>871</v>
      </c>
      <c r="B298" t="s">
        <v>746</v>
      </c>
      <c r="C298" t="s">
        <v>175</v>
      </c>
      <c r="D298" t="s">
        <v>478</v>
      </c>
      <c r="E298" t="b">
        <v>1</v>
      </c>
    </row>
    <row r="299" spans="1:5" x14ac:dyDescent="0.2">
      <c r="A299" t="s">
        <v>872</v>
      </c>
      <c r="B299" t="s">
        <v>748</v>
      </c>
      <c r="C299" t="s">
        <v>106</v>
      </c>
      <c r="D299" t="s">
        <v>476</v>
      </c>
      <c r="E299" t="b">
        <v>1</v>
      </c>
    </row>
    <row r="300" spans="1:5" x14ac:dyDescent="0.2">
      <c r="A300" t="s">
        <v>873</v>
      </c>
      <c r="B300" t="s">
        <v>748</v>
      </c>
      <c r="C300" t="s">
        <v>175</v>
      </c>
      <c r="D300" t="s">
        <v>478</v>
      </c>
      <c r="E300" t="b">
        <v>1</v>
      </c>
    </row>
    <row r="301" spans="1:5" x14ac:dyDescent="0.2">
      <c r="A301" t="s">
        <v>874</v>
      </c>
      <c r="B301" t="s">
        <v>750</v>
      </c>
      <c r="C301" t="s">
        <v>114</v>
      </c>
      <c r="D301" t="s">
        <v>476</v>
      </c>
      <c r="E301" t="b">
        <v>1</v>
      </c>
    </row>
    <row r="302" spans="1:5" x14ac:dyDescent="0.2">
      <c r="A302" t="s">
        <v>875</v>
      </c>
      <c r="B302" t="s">
        <v>750</v>
      </c>
      <c r="C302" t="s">
        <v>175</v>
      </c>
      <c r="D302" t="s">
        <v>478</v>
      </c>
      <c r="E302" t="b">
        <v>1</v>
      </c>
    </row>
    <row r="303" spans="1:5" x14ac:dyDescent="0.2">
      <c r="A303" t="s">
        <v>876</v>
      </c>
      <c r="B303" t="s">
        <v>752</v>
      </c>
      <c r="C303" t="s">
        <v>114</v>
      </c>
      <c r="D303" t="s">
        <v>476</v>
      </c>
      <c r="E303" t="b">
        <v>1</v>
      </c>
    </row>
    <row r="304" spans="1:5" x14ac:dyDescent="0.2">
      <c r="A304" t="s">
        <v>877</v>
      </c>
      <c r="B304" t="s">
        <v>752</v>
      </c>
      <c r="C304" t="s">
        <v>173</v>
      </c>
      <c r="D304" t="s">
        <v>478</v>
      </c>
      <c r="E304" t="b">
        <v>1</v>
      </c>
    </row>
    <row r="305" spans="1:7" x14ac:dyDescent="0.2">
      <c r="A305" t="s">
        <v>878</v>
      </c>
      <c r="B305" t="s">
        <v>755</v>
      </c>
      <c r="C305" t="s">
        <v>106</v>
      </c>
      <c r="D305" t="s">
        <v>476</v>
      </c>
      <c r="E305" t="b">
        <v>1</v>
      </c>
    </row>
    <row r="306" spans="1:7" x14ac:dyDescent="0.2">
      <c r="A306" t="s">
        <v>879</v>
      </c>
      <c r="B306" t="s">
        <v>755</v>
      </c>
      <c r="C306" t="s">
        <v>173</v>
      </c>
      <c r="D306" t="s">
        <v>478</v>
      </c>
      <c r="E306" t="b">
        <v>1</v>
      </c>
    </row>
    <row r="307" spans="1:7" x14ac:dyDescent="0.2">
      <c r="A307" t="s">
        <v>880</v>
      </c>
      <c r="B307" t="s">
        <v>757</v>
      </c>
      <c r="C307" t="s">
        <v>106</v>
      </c>
      <c r="D307" t="s">
        <v>476</v>
      </c>
      <c r="E307" t="b">
        <v>1</v>
      </c>
    </row>
    <row r="308" spans="1:7" x14ac:dyDescent="0.2">
      <c r="A308" t="s">
        <v>881</v>
      </c>
      <c r="B308" t="s">
        <v>757</v>
      </c>
      <c r="C308" t="s">
        <v>173</v>
      </c>
      <c r="D308" t="s">
        <v>478</v>
      </c>
      <c r="E308" t="b">
        <v>1</v>
      </c>
    </row>
    <row r="309" spans="1:7" x14ac:dyDescent="0.2">
      <c r="A309" t="s">
        <v>882</v>
      </c>
      <c r="B309" t="s">
        <v>759</v>
      </c>
      <c r="C309" t="s">
        <v>114</v>
      </c>
      <c r="D309" t="s">
        <v>476</v>
      </c>
      <c r="E309" t="b">
        <v>1</v>
      </c>
    </row>
    <row r="310" spans="1:7" x14ac:dyDescent="0.2">
      <c r="A310" t="s">
        <v>883</v>
      </c>
      <c r="B310" t="s">
        <v>759</v>
      </c>
      <c r="C310" t="s">
        <v>173</v>
      </c>
      <c r="D310" t="s">
        <v>478</v>
      </c>
      <c r="E310" t="b">
        <v>1</v>
      </c>
    </row>
    <row r="311" spans="1:7" x14ac:dyDescent="0.2">
      <c r="A311" t="s">
        <v>884</v>
      </c>
      <c r="B311" t="s">
        <v>761</v>
      </c>
      <c r="C311" t="s">
        <v>112</v>
      </c>
      <c r="D311" t="s">
        <v>476</v>
      </c>
      <c r="E311" t="b">
        <v>1</v>
      </c>
    </row>
    <row r="312" spans="1:7" x14ac:dyDescent="0.2">
      <c r="A312" t="s">
        <v>885</v>
      </c>
      <c r="B312" t="s">
        <v>761</v>
      </c>
      <c r="C312" t="s">
        <v>181</v>
      </c>
      <c r="D312" t="s">
        <v>478</v>
      </c>
      <c r="E312" t="b">
        <v>1</v>
      </c>
    </row>
    <row r="313" spans="1:7" x14ac:dyDescent="0.2">
      <c r="A313" t="s">
        <v>886</v>
      </c>
      <c r="B313" t="s">
        <v>765</v>
      </c>
      <c r="C313" t="s">
        <v>110</v>
      </c>
      <c r="D313" t="s">
        <v>476</v>
      </c>
      <c r="E313" t="b">
        <v>1</v>
      </c>
    </row>
    <row r="314" spans="1:7" x14ac:dyDescent="0.2">
      <c r="A314" t="s">
        <v>887</v>
      </c>
      <c r="B314" t="s">
        <v>765</v>
      </c>
      <c r="C314" t="s">
        <v>181</v>
      </c>
      <c r="D314" t="s">
        <v>478</v>
      </c>
      <c r="E314" t="b">
        <v>1</v>
      </c>
    </row>
    <row r="315" spans="1:7" x14ac:dyDescent="0.2">
      <c r="A315" t="s">
        <v>888</v>
      </c>
      <c r="B315" t="s">
        <v>767</v>
      </c>
      <c r="C315" t="s">
        <v>106</v>
      </c>
      <c r="D315" t="s">
        <v>476</v>
      </c>
      <c r="E315" t="b">
        <v>1</v>
      </c>
    </row>
    <row r="316" spans="1:7" x14ac:dyDescent="0.2">
      <c r="A316" t="s">
        <v>889</v>
      </c>
      <c r="B316" t="s">
        <v>767</v>
      </c>
      <c r="C316" t="s">
        <v>181</v>
      </c>
      <c r="D316" t="s">
        <v>478</v>
      </c>
      <c r="E316" t="b">
        <v>1</v>
      </c>
    </row>
    <row r="317" spans="1:7" x14ac:dyDescent="0.2">
      <c r="A317" t="s">
        <v>890</v>
      </c>
      <c r="B317" t="s">
        <v>769</v>
      </c>
      <c r="C317" t="s">
        <v>108</v>
      </c>
      <c r="D317" t="s">
        <v>476</v>
      </c>
      <c r="E317" t="b">
        <v>1</v>
      </c>
    </row>
    <row r="318" spans="1:7" x14ac:dyDescent="0.2">
      <c r="A318" t="s">
        <v>891</v>
      </c>
      <c r="B318" t="s">
        <v>769</v>
      </c>
      <c r="C318" t="s">
        <v>181</v>
      </c>
      <c r="D318" t="s">
        <v>478</v>
      </c>
      <c r="E318" t="b">
        <v>1</v>
      </c>
    </row>
    <row r="319" spans="1:7" x14ac:dyDescent="0.2">
      <c r="A319" t="s">
        <v>892</v>
      </c>
      <c r="B319" t="s">
        <v>215</v>
      </c>
      <c r="C319" t="s">
        <v>100</v>
      </c>
      <c r="D319" t="s">
        <v>476</v>
      </c>
      <c r="E319" t="b">
        <v>1</v>
      </c>
      <c r="G319" t="s">
        <v>893</v>
      </c>
    </row>
    <row r="320" spans="1:7" x14ac:dyDescent="0.2">
      <c r="A320" t="s">
        <v>894</v>
      </c>
      <c r="B320" t="s">
        <v>215</v>
      </c>
      <c r="C320" t="s">
        <v>102</v>
      </c>
      <c r="D320" t="s">
        <v>476</v>
      </c>
      <c r="E320" t="b">
        <v>1</v>
      </c>
      <c r="G320" t="s">
        <v>893</v>
      </c>
    </row>
    <row r="321" spans="1:7" x14ac:dyDescent="0.2">
      <c r="A321" t="s">
        <v>895</v>
      </c>
      <c r="B321" t="s">
        <v>215</v>
      </c>
      <c r="C321" t="s">
        <v>97</v>
      </c>
      <c r="D321" t="s">
        <v>476</v>
      </c>
      <c r="E321" t="b">
        <v>1</v>
      </c>
      <c r="G321" t="s">
        <v>893</v>
      </c>
    </row>
    <row r="322" spans="1:7" x14ac:dyDescent="0.2">
      <c r="A322" t="s">
        <v>896</v>
      </c>
      <c r="B322" t="s">
        <v>203</v>
      </c>
      <c r="C322" t="s">
        <v>100</v>
      </c>
      <c r="D322" t="s">
        <v>476</v>
      </c>
      <c r="E322" t="b">
        <v>1</v>
      </c>
      <c r="G322" t="s">
        <v>893</v>
      </c>
    </row>
    <row r="323" spans="1:7" x14ac:dyDescent="0.2">
      <c r="A323" t="s">
        <v>897</v>
      </c>
      <c r="B323" t="s">
        <v>203</v>
      </c>
      <c r="C323" t="s">
        <v>102</v>
      </c>
      <c r="D323" t="s">
        <v>476</v>
      </c>
      <c r="E323" t="b">
        <v>1</v>
      </c>
      <c r="G323" t="s">
        <v>893</v>
      </c>
    </row>
    <row r="324" spans="1:7" x14ac:dyDescent="0.2">
      <c r="A324" t="s">
        <v>898</v>
      </c>
      <c r="B324" t="s">
        <v>212</v>
      </c>
      <c r="C324" t="s">
        <v>97</v>
      </c>
      <c r="D324" t="s">
        <v>476</v>
      </c>
      <c r="E324" t="b">
        <v>1</v>
      </c>
      <c r="G324" t="s">
        <v>893</v>
      </c>
    </row>
    <row r="325" spans="1:7" x14ac:dyDescent="0.2">
      <c r="A325" t="s">
        <v>899</v>
      </c>
      <c r="B325" t="s">
        <v>224</v>
      </c>
      <c r="C325" t="s">
        <v>97</v>
      </c>
      <c r="D325" t="s">
        <v>476</v>
      </c>
      <c r="E325" t="b">
        <v>1</v>
      </c>
      <c r="G325" t="s">
        <v>893</v>
      </c>
    </row>
    <row r="326" spans="1:7" x14ac:dyDescent="0.2">
      <c r="A326" t="s">
        <v>900</v>
      </c>
      <c r="B326" t="s">
        <v>679</v>
      </c>
      <c r="C326" t="s">
        <v>104</v>
      </c>
      <c r="D326" t="s">
        <v>476</v>
      </c>
      <c r="E326" t="b">
        <v>1</v>
      </c>
      <c r="G326" t="s">
        <v>893</v>
      </c>
    </row>
    <row r="327" spans="1:7" x14ac:dyDescent="0.2">
      <c r="A327" t="s">
        <v>901</v>
      </c>
      <c r="B327" t="s">
        <v>683</v>
      </c>
      <c r="C327" t="s">
        <v>104</v>
      </c>
      <c r="D327" t="s">
        <v>476</v>
      </c>
      <c r="E327" t="b">
        <v>1</v>
      </c>
      <c r="G327" t="s">
        <v>893</v>
      </c>
    </row>
    <row r="328" spans="1:7" x14ac:dyDescent="0.2">
      <c r="A328" t="s">
        <v>902</v>
      </c>
      <c r="B328" t="s">
        <v>685</v>
      </c>
      <c r="C328" t="s">
        <v>104</v>
      </c>
      <c r="D328" t="s">
        <v>476</v>
      </c>
      <c r="E328" t="b">
        <v>1</v>
      </c>
      <c r="G328" t="s">
        <v>893</v>
      </c>
    </row>
    <row r="329" spans="1:7" x14ac:dyDescent="0.2">
      <c r="A329" t="s">
        <v>903</v>
      </c>
      <c r="B329" t="s">
        <v>313</v>
      </c>
      <c r="C329" t="s">
        <v>104</v>
      </c>
      <c r="D329" t="s">
        <v>476</v>
      </c>
      <c r="E329" t="b">
        <v>1</v>
      </c>
      <c r="G329" t="s">
        <v>893</v>
      </c>
    </row>
    <row r="330" spans="1:7" x14ac:dyDescent="0.2">
      <c r="A330" t="s">
        <v>904</v>
      </c>
      <c r="B330" t="s">
        <v>316</v>
      </c>
      <c r="C330" t="s">
        <v>104</v>
      </c>
      <c r="D330" t="s">
        <v>476</v>
      </c>
      <c r="E330" t="b">
        <v>1</v>
      </c>
      <c r="G330" t="s">
        <v>893</v>
      </c>
    </row>
    <row r="331" spans="1:7" x14ac:dyDescent="0.2">
      <c r="A331" t="s">
        <v>905</v>
      </c>
      <c r="B331" t="s">
        <v>319</v>
      </c>
      <c r="C331" t="s">
        <v>104</v>
      </c>
      <c r="D331" t="s">
        <v>476</v>
      </c>
      <c r="E331" t="b">
        <v>1</v>
      </c>
      <c r="G331" t="s">
        <v>893</v>
      </c>
    </row>
    <row r="332" spans="1:7" x14ac:dyDescent="0.2">
      <c r="A332" t="s">
        <v>906</v>
      </c>
      <c r="B332" t="s">
        <v>370</v>
      </c>
      <c r="C332" t="s">
        <v>104</v>
      </c>
      <c r="D332" t="s">
        <v>476</v>
      </c>
      <c r="E332" t="b">
        <v>1</v>
      </c>
      <c r="G332" t="s">
        <v>893</v>
      </c>
    </row>
    <row r="333" spans="1:7" x14ac:dyDescent="0.2">
      <c r="A333" t="s">
        <v>907</v>
      </c>
      <c r="B333" t="s">
        <v>374</v>
      </c>
      <c r="C333" t="s">
        <v>104</v>
      </c>
      <c r="D333" t="s">
        <v>476</v>
      </c>
      <c r="E333" t="b">
        <v>1</v>
      </c>
      <c r="G333" t="s">
        <v>893</v>
      </c>
    </row>
    <row r="334" spans="1:7" x14ac:dyDescent="0.2">
      <c r="A334" t="s">
        <v>910</v>
      </c>
      <c r="B334" t="s">
        <v>679</v>
      </c>
      <c r="C334" t="s">
        <v>114</v>
      </c>
      <c r="D334" t="s">
        <v>476</v>
      </c>
      <c r="E334" t="b">
        <v>1</v>
      </c>
      <c r="G334" t="s">
        <v>911</v>
      </c>
    </row>
    <row r="335" spans="1:7" x14ac:dyDescent="0.2">
      <c r="A335" t="s">
        <v>912</v>
      </c>
      <c r="B335" t="s">
        <v>685</v>
      </c>
      <c r="C335" t="s">
        <v>114</v>
      </c>
      <c r="D335" t="s">
        <v>476</v>
      </c>
      <c r="E335" t="b">
        <v>1</v>
      </c>
      <c r="G335" t="s">
        <v>911</v>
      </c>
    </row>
    <row r="336" spans="1:7" x14ac:dyDescent="0.2">
      <c r="A336" t="s">
        <v>913</v>
      </c>
      <c r="B336" t="s">
        <v>224</v>
      </c>
      <c r="C336" t="s">
        <v>108</v>
      </c>
      <c r="D336" t="s">
        <v>476</v>
      </c>
      <c r="E336" t="b">
        <v>1</v>
      </c>
      <c r="G336" t="s">
        <v>911</v>
      </c>
    </row>
    <row r="337" spans="1:7" x14ac:dyDescent="0.2">
      <c r="A337" t="s">
        <v>914</v>
      </c>
      <c r="B337" t="s">
        <v>761</v>
      </c>
      <c r="C337" t="s">
        <v>687</v>
      </c>
      <c r="D337" t="s">
        <v>915</v>
      </c>
      <c r="E337" t="b">
        <v>0</v>
      </c>
      <c r="G337" t="s">
        <v>916</v>
      </c>
    </row>
    <row r="338" spans="1:7" x14ac:dyDescent="0.2">
      <c r="A338" t="s">
        <v>917</v>
      </c>
      <c r="B338" t="s">
        <v>761</v>
      </c>
      <c r="C338" t="s">
        <v>692</v>
      </c>
      <c r="D338" t="s">
        <v>915</v>
      </c>
      <c r="E338" t="b">
        <v>0</v>
      </c>
      <c r="G338" t="s">
        <v>916</v>
      </c>
    </row>
    <row r="339" spans="1:7" x14ac:dyDescent="0.2">
      <c r="A339" t="s">
        <v>918</v>
      </c>
      <c r="B339" t="s">
        <v>761</v>
      </c>
      <c r="C339" t="s">
        <v>695</v>
      </c>
      <c r="D339" t="s">
        <v>915</v>
      </c>
      <c r="E339" t="b">
        <v>0</v>
      </c>
      <c r="G339" t="s">
        <v>916</v>
      </c>
    </row>
    <row r="340" spans="1:7" x14ac:dyDescent="0.2">
      <c r="A340" t="s">
        <v>919</v>
      </c>
      <c r="B340" t="s">
        <v>761</v>
      </c>
      <c r="C340" t="s">
        <v>699</v>
      </c>
      <c r="D340" t="s">
        <v>915</v>
      </c>
      <c r="E340" t="b">
        <v>0</v>
      </c>
      <c r="G340" t="s">
        <v>916</v>
      </c>
    </row>
    <row r="341" spans="1:7" x14ac:dyDescent="0.2">
      <c r="A341" t="s">
        <v>920</v>
      </c>
      <c r="B341" t="s">
        <v>765</v>
      </c>
      <c r="C341" t="s">
        <v>687</v>
      </c>
      <c r="D341" t="s">
        <v>915</v>
      </c>
      <c r="E341" t="b">
        <v>0</v>
      </c>
      <c r="G341" t="s">
        <v>916</v>
      </c>
    </row>
    <row r="342" spans="1:7" x14ac:dyDescent="0.2">
      <c r="A342" t="s">
        <v>921</v>
      </c>
      <c r="B342" t="s">
        <v>765</v>
      </c>
      <c r="C342" t="s">
        <v>692</v>
      </c>
      <c r="D342" t="s">
        <v>915</v>
      </c>
      <c r="E342" t="b">
        <v>0</v>
      </c>
      <c r="G342" t="s">
        <v>916</v>
      </c>
    </row>
    <row r="343" spans="1:7" x14ac:dyDescent="0.2">
      <c r="A343" t="s">
        <v>1131</v>
      </c>
      <c r="B343" t="s">
        <v>922</v>
      </c>
      <c r="C343" t="s">
        <v>116</v>
      </c>
      <c r="D343" t="s">
        <v>476</v>
      </c>
      <c r="E343" t="b">
        <v>1</v>
      </c>
    </row>
    <row r="344" spans="1:7" x14ac:dyDescent="0.2">
      <c r="A344" t="s">
        <v>1132</v>
      </c>
      <c r="B344" t="s">
        <v>922</v>
      </c>
      <c r="C344" t="s">
        <v>169</v>
      </c>
      <c r="D344" t="s">
        <v>478</v>
      </c>
      <c r="E344" t="b">
        <v>1</v>
      </c>
    </row>
    <row r="345" spans="1:7" x14ac:dyDescent="0.2">
      <c r="A345" t="s">
        <v>1133</v>
      </c>
      <c r="B345" t="s">
        <v>926</v>
      </c>
      <c r="C345" t="s">
        <v>116</v>
      </c>
      <c r="D345" t="s">
        <v>476</v>
      </c>
      <c r="E345" t="b">
        <v>1</v>
      </c>
    </row>
    <row r="346" spans="1:7" x14ac:dyDescent="0.2">
      <c r="A346" t="s">
        <v>1134</v>
      </c>
      <c r="B346" t="s">
        <v>926</v>
      </c>
      <c r="C346" t="s">
        <v>169</v>
      </c>
      <c r="D346" t="s">
        <v>478</v>
      </c>
      <c r="E346" t="b">
        <v>1</v>
      </c>
    </row>
    <row r="347" spans="1:7" x14ac:dyDescent="0.2">
      <c r="A347" t="s">
        <v>1135</v>
      </c>
      <c r="B347" t="s">
        <v>929</v>
      </c>
      <c r="C347" t="s">
        <v>116</v>
      </c>
      <c r="D347" t="s">
        <v>476</v>
      </c>
      <c r="E347" t="b">
        <v>1</v>
      </c>
    </row>
    <row r="348" spans="1:7" x14ac:dyDescent="0.2">
      <c r="A348" t="s">
        <v>1136</v>
      </c>
      <c r="B348" t="s">
        <v>929</v>
      </c>
      <c r="C348" t="s">
        <v>169</v>
      </c>
      <c r="D348" t="s">
        <v>478</v>
      </c>
      <c r="E348" t="b">
        <v>1</v>
      </c>
    </row>
    <row r="349" spans="1:7" x14ac:dyDescent="0.2">
      <c r="A349" t="s">
        <v>1137</v>
      </c>
      <c r="B349" t="s">
        <v>933</v>
      </c>
      <c r="C349" t="s">
        <v>116</v>
      </c>
      <c r="D349" t="s">
        <v>476</v>
      </c>
      <c r="E349" t="b">
        <v>1</v>
      </c>
    </row>
    <row r="350" spans="1:7" x14ac:dyDescent="0.2">
      <c r="A350" t="s">
        <v>1138</v>
      </c>
      <c r="B350" t="s">
        <v>933</v>
      </c>
      <c r="C350" t="s">
        <v>169</v>
      </c>
      <c r="D350" t="s">
        <v>478</v>
      </c>
      <c r="E350" t="b">
        <v>1</v>
      </c>
    </row>
    <row r="351" spans="1:7" x14ac:dyDescent="0.2">
      <c r="A351" t="s">
        <v>1139</v>
      </c>
      <c r="B351" t="s">
        <v>937</v>
      </c>
      <c r="C351" t="s">
        <v>116</v>
      </c>
      <c r="D351" t="s">
        <v>476</v>
      </c>
      <c r="E351" t="b">
        <v>1</v>
      </c>
    </row>
    <row r="352" spans="1:7" x14ac:dyDescent="0.2">
      <c r="A352" t="s">
        <v>1140</v>
      </c>
      <c r="B352" t="s">
        <v>937</v>
      </c>
      <c r="C352" t="s">
        <v>165</v>
      </c>
      <c r="D352" t="s">
        <v>478</v>
      </c>
      <c r="E352" t="b">
        <v>1</v>
      </c>
    </row>
    <row r="353" spans="1:5" x14ac:dyDescent="0.2">
      <c r="A353" t="s">
        <v>1141</v>
      </c>
      <c r="B353" t="s">
        <v>941</v>
      </c>
      <c r="C353" t="s">
        <v>116</v>
      </c>
      <c r="D353" t="s">
        <v>476</v>
      </c>
      <c r="E353" t="b">
        <v>1</v>
      </c>
    </row>
    <row r="354" spans="1:5" x14ac:dyDescent="0.2">
      <c r="A354" t="s">
        <v>1142</v>
      </c>
      <c r="B354" t="s">
        <v>941</v>
      </c>
      <c r="C354" t="s">
        <v>189</v>
      </c>
      <c r="D354" t="s">
        <v>478</v>
      </c>
      <c r="E354" t="b">
        <v>1</v>
      </c>
    </row>
    <row r="355" spans="1:5" x14ac:dyDescent="0.2">
      <c r="A355" t="s">
        <v>1143</v>
      </c>
      <c r="B355" t="s">
        <v>945</v>
      </c>
      <c r="C355" t="s">
        <v>116</v>
      </c>
      <c r="D355" t="s">
        <v>476</v>
      </c>
      <c r="E355" t="b">
        <v>1</v>
      </c>
    </row>
    <row r="356" spans="1:5" x14ac:dyDescent="0.2">
      <c r="A356" t="s">
        <v>1144</v>
      </c>
      <c r="B356" t="s">
        <v>945</v>
      </c>
      <c r="C356" t="s">
        <v>187</v>
      </c>
      <c r="D356" t="s">
        <v>478</v>
      </c>
      <c r="E356" t="b">
        <v>1</v>
      </c>
    </row>
    <row r="357" spans="1:5" x14ac:dyDescent="0.2">
      <c r="A357" t="s">
        <v>1145</v>
      </c>
      <c r="B357" t="s">
        <v>949</v>
      </c>
      <c r="C357" t="s">
        <v>116</v>
      </c>
      <c r="D357" t="s">
        <v>476</v>
      </c>
      <c r="E357" t="b">
        <v>1</v>
      </c>
    </row>
    <row r="358" spans="1:5" x14ac:dyDescent="0.2">
      <c r="A358" t="s">
        <v>1146</v>
      </c>
      <c r="B358" t="s">
        <v>949</v>
      </c>
      <c r="C358" t="s">
        <v>169</v>
      </c>
      <c r="D358" t="s">
        <v>478</v>
      </c>
      <c r="E358" t="b">
        <v>1</v>
      </c>
    </row>
    <row r="359" spans="1:5" x14ac:dyDescent="0.2">
      <c r="A359" t="s">
        <v>1147</v>
      </c>
      <c r="B359" t="s">
        <v>952</v>
      </c>
      <c r="C359" t="s">
        <v>118</v>
      </c>
      <c r="D359" t="s">
        <v>476</v>
      </c>
      <c r="E359" t="b">
        <v>1</v>
      </c>
    </row>
    <row r="360" spans="1:5" x14ac:dyDescent="0.2">
      <c r="A360" t="s">
        <v>1148</v>
      </c>
      <c r="B360" t="s">
        <v>952</v>
      </c>
      <c r="C360" t="s">
        <v>169</v>
      </c>
      <c r="D360" t="s">
        <v>478</v>
      </c>
      <c r="E360" t="b">
        <v>1</v>
      </c>
    </row>
    <row r="361" spans="1:5" x14ac:dyDescent="0.2">
      <c r="A361" t="s">
        <v>1149</v>
      </c>
      <c r="B361" t="s">
        <v>955</v>
      </c>
      <c r="C361" t="s">
        <v>118</v>
      </c>
      <c r="D361" t="s">
        <v>476</v>
      </c>
      <c r="E361" t="b">
        <v>1</v>
      </c>
    </row>
    <row r="362" spans="1:5" x14ac:dyDescent="0.2">
      <c r="A362" t="s">
        <v>1150</v>
      </c>
      <c r="B362" t="s">
        <v>955</v>
      </c>
      <c r="C362" t="s">
        <v>169</v>
      </c>
      <c r="D362" t="s">
        <v>478</v>
      </c>
      <c r="E362" t="b">
        <v>1</v>
      </c>
    </row>
    <row r="363" spans="1:5" x14ac:dyDescent="0.2">
      <c r="A363" t="s">
        <v>1151</v>
      </c>
      <c r="B363" t="s">
        <v>958</v>
      </c>
      <c r="C363" t="s">
        <v>118</v>
      </c>
      <c r="D363" t="s">
        <v>476</v>
      </c>
      <c r="E363" t="b">
        <v>1</v>
      </c>
    </row>
    <row r="364" spans="1:5" x14ac:dyDescent="0.2">
      <c r="A364" t="s">
        <v>1152</v>
      </c>
      <c r="B364" t="s">
        <v>958</v>
      </c>
      <c r="C364" t="s">
        <v>169</v>
      </c>
      <c r="D364" t="s">
        <v>478</v>
      </c>
      <c r="E364" t="b">
        <v>1</v>
      </c>
    </row>
    <row r="365" spans="1:5" x14ac:dyDescent="0.2">
      <c r="A365" t="s">
        <v>1153</v>
      </c>
      <c r="B365" t="s">
        <v>960</v>
      </c>
      <c r="C365" t="s">
        <v>118</v>
      </c>
      <c r="D365" t="s">
        <v>476</v>
      </c>
      <c r="E365" t="b">
        <v>1</v>
      </c>
    </row>
    <row r="366" spans="1:5" x14ac:dyDescent="0.2">
      <c r="A366" t="s">
        <v>1154</v>
      </c>
      <c r="B366" t="s">
        <v>960</v>
      </c>
      <c r="C366" t="s">
        <v>169</v>
      </c>
      <c r="D366" t="s">
        <v>478</v>
      </c>
      <c r="E366" t="b">
        <v>1</v>
      </c>
    </row>
    <row r="367" spans="1:5" x14ac:dyDescent="0.2">
      <c r="A367" t="s">
        <v>1155</v>
      </c>
      <c r="B367" t="s">
        <v>964</v>
      </c>
      <c r="C367" t="s">
        <v>122</v>
      </c>
      <c r="D367" t="s">
        <v>476</v>
      </c>
      <c r="E367" t="b">
        <v>1</v>
      </c>
    </row>
    <row r="368" spans="1:5" x14ac:dyDescent="0.2">
      <c r="A368" t="s">
        <v>1156</v>
      </c>
      <c r="B368" t="s">
        <v>964</v>
      </c>
      <c r="C368" t="s">
        <v>169</v>
      </c>
      <c r="D368" t="s">
        <v>478</v>
      </c>
      <c r="E368" t="b">
        <v>1</v>
      </c>
    </row>
    <row r="369" spans="1:5" x14ac:dyDescent="0.2">
      <c r="A369" t="s">
        <v>1157</v>
      </c>
      <c r="B369" t="s">
        <v>967</v>
      </c>
      <c r="C369" t="s">
        <v>120</v>
      </c>
      <c r="D369" t="s">
        <v>476</v>
      </c>
      <c r="E369" t="b">
        <v>1</v>
      </c>
    </row>
    <row r="370" spans="1:5" x14ac:dyDescent="0.2">
      <c r="A370" t="s">
        <v>1158</v>
      </c>
      <c r="B370" t="s">
        <v>967</v>
      </c>
      <c r="C370" t="s">
        <v>169</v>
      </c>
      <c r="D370" t="s">
        <v>478</v>
      </c>
      <c r="E370" t="b">
        <v>1</v>
      </c>
    </row>
    <row r="371" spans="1:5" x14ac:dyDescent="0.2">
      <c r="A371" t="s">
        <v>1159</v>
      </c>
      <c r="B371" t="s">
        <v>970</v>
      </c>
      <c r="C371" t="s">
        <v>120</v>
      </c>
      <c r="D371" t="s">
        <v>476</v>
      </c>
      <c r="E371" t="b">
        <v>1</v>
      </c>
    </row>
    <row r="372" spans="1:5" x14ac:dyDescent="0.2">
      <c r="A372" t="s">
        <v>1160</v>
      </c>
      <c r="B372" t="s">
        <v>970</v>
      </c>
      <c r="C372" t="s">
        <v>169</v>
      </c>
      <c r="D372" t="s">
        <v>478</v>
      </c>
      <c r="E372" t="b">
        <v>1</v>
      </c>
    </row>
    <row r="373" spans="1:5" x14ac:dyDescent="0.2">
      <c r="A373" t="s">
        <v>1161</v>
      </c>
      <c r="B373" t="s">
        <v>973</v>
      </c>
      <c r="C373" t="s">
        <v>124</v>
      </c>
      <c r="D373" t="s">
        <v>476</v>
      </c>
      <c r="E373" t="b">
        <v>1</v>
      </c>
    </row>
    <row r="374" spans="1:5" x14ac:dyDescent="0.2">
      <c r="A374" t="s">
        <v>1162</v>
      </c>
      <c r="B374" t="s">
        <v>973</v>
      </c>
      <c r="C374" t="s">
        <v>169</v>
      </c>
      <c r="D374" t="s">
        <v>478</v>
      </c>
      <c r="E374" t="b">
        <v>1</v>
      </c>
    </row>
    <row r="375" spans="1:5" x14ac:dyDescent="0.2">
      <c r="A375" t="s">
        <v>1163</v>
      </c>
      <c r="B375" t="s">
        <v>976</v>
      </c>
      <c r="C375" t="s">
        <v>124</v>
      </c>
      <c r="D375" t="s">
        <v>476</v>
      </c>
      <c r="E375" t="b">
        <v>1</v>
      </c>
    </row>
    <row r="376" spans="1:5" x14ac:dyDescent="0.2">
      <c r="A376" t="s">
        <v>1164</v>
      </c>
      <c r="B376" t="s">
        <v>976</v>
      </c>
      <c r="C376" t="s">
        <v>169</v>
      </c>
      <c r="D376" t="s">
        <v>478</v>
      </c>
      <c r="E376" t="b">
        <v>1</v>
      </c>
    </row>
    <row r="377" spans="1:5" x14ac:dyDescent="0.2">
      <c r="A377" t="s">
        <v>1165</v>
      </c>
      <c r="B377" t="s">
        <v>978</v>
      </c>
      <c r="C377" t="s">
        <v>124</v>
      </c>
      <c r="D377" t="s">
        <v>476</v>
      </c>
      <c r="E377" t="b">
        <v>1</v>
      </c>
    </row>
    <row r="378" spans="1:5" x14ac:dyDescent="0.2">
      <c r="A378" t="s">
        <v>1166</v>
      </c>
      <c r="B378" t="s">
        <v>978</v>
      </c>
      <c r="C378" t="s">
        <v>169</v>
      </c>
      <c r="D378" t="s">
        <v>478</v>
      </c>
      <c r="E378" t="b">
        <v>1</v>
      </c>
    </row>
    <row r="379" spans="1:5" x14ac:dyDescent="0.2">
      <c r="A379" t="s">
        <v>1167</v>
      </c>
      <c r="B379" t="s">
        <v>982</v>
      </c>
      <c r="C379" t="s">
        <v>126</v>
      </c>
      <c r="D379" t="s">
        <v>476</v>
      </c>
      <c r="E379" t="b">
        <v>1</v>
      </c>
    </row>
    <row r="380" spans="1:5" x14ac:dyDescent="0.2">
      <c r="A380" t="s">
        <v>1168</v>
      </c>
      <c r="B380" t="s">
        <v>982</v>
      </c>
      <c r="C380" t="s">
        <v>169</v>
      </c>
      <c r="D380" t="s">
        <v>478</v>
      </c>
      <c r="E380" t="b">
        <v>1</v>
      </c>
    </row>
    <row r="381" spans="1:5" x14ac:dyDescent="0.2">
      <c r="A381" t="s">
        <v>1169</v>
      </c>
      <c r="B381" t="s">
        <v>985</v>
      </c>
      <c r="C381" t="s">
        <v>126</v>
      </c>
      <c r="D381" t="s">
        <v>476</v>
      </c>
      <c r="E381" t="b">
        <v>1</v>
      </c>
    </row>
    <row r="382" spans="1:5" x14ac:dyDescent="0.2">
      <c r="A382" t="s">
        <v>1170</v>
      </c>
      <c r="B382" t="s">
        <v>985</v>
      </c>
      <c r="C382" t="s">
        <v>169</v>
      </c>
      <c r="D382" t="s">
        <v>478</v>
      </c>
      <c r="E382" t="b">
        <v>1</v>
      </c>
    </row>
    <row r="383" spans="1:5" x14ac:dyDescent="0.2">
      <c r="A383" t="s">
        <v>1171</v>
      </c>
      <c r="B383" t="s">
        <v>989</v>
      </c>
      <c r="C383" t="s">
        <v>128</v>
      </c>
      <c r="D383" t="s">
        <v>476</v>
      </c>
      <c r="E383" t="b">
        <v>1</v>
      </c>
    </row>
    <row r="384" spans="1:5" x14ac:dyDescent="0.2">
      <c r="A384" t="s">
        <v>1172</v>
      </c>
      <c r="B384" t="s">
        <v>989</v>
      </c>
      <c r="C384" t="s">
        <v>169</v>
      </c>
      <c r="D384" t="s">
        <v>478</v>
      </c>
      <c r="E384" t="b">
        <v>1</v>
      </c>
    </row>
    <row r="385" spans="1:5" x14ac:dyDescent="0.2">
      <c r="A385" t="s">
        <v>1173</v>
      </c>
      <c r="B385" t="s">
        <v>992</v>
      </c>
      <c r="C385" t="s">
        <v>128</v>
      </c>
      <c r="D385" t="s">
        <v>476</v>
      </c>
      <c r="E385" t="b">
        <v>1</v>
      </c>
    </row>
    <row r="386" spans="1:5" x14ac:dyDescent="0.2">
      <c r="A386" t="s">
        <v>1174</v>
      </c>
      <c r="B386" t="s">
        <v>992</v>
      </c>
      <c r="C386" t="s">
        <v>169</v>
      </c>
      <c r="D386" t="s">
        <v>478</v>
      </c>
      <c r="E386" t="b">
        <v>1</v>
      </c>
    </row>
    <row r="387" spans="1:5" x14ac:dyDescent="0.2">
      <c r="A387" t="s">
        <v>1175</v>
      </c>
      <c r="B387" t="s">
        <v>995</v>
      </c>
      <c r="C387" t="s">
        <v>128</v>
      </c>
      <c r="D387" t="s">
        <v>476</v>
      </c>
      <c r="E387" t="b">
        <v>1</v>
      </c>
    </row>
    <row r="388" spans="1:5" x14ac:dyDescent="0.2">
      <c r="A388" t="s">
        <v>1176</v>
      </c>
      <c r="B388" t="s">
        <v>995</v>
      </c>
      <c r="C388" t="s">
        <v>169</v>
      </c>
      <c r="D388" t="s">
        <v>478</v>
      </c>
      <c r="E388" t="b">
        <v>1</v>
      </c>
    </row>
    <row r="389" spans="1:5" x14ac:dyDescent="0.2">
      <c r="A389" t="s">
        <v>1177</v>
      </c>
      <c r="B389" t="s">
        <v>998</v>
      </c>
      <c r="C389" t="s">
        <v>116</v>
      </c>
      <c r="D389" t="s">
        <v>476</v>
      </c>
      <c r="E389" t="b">
        <v>1</v>
      </c>
    </row>
    <row r="390" spans="1:5" x14ac:dyDescent="0.2">
      <c r="A390" t="s">
        <v>1178</v>
      </c>
      <c r="B390" t="s">
        <v>998</v>
      </c>
      <c r="C390" t="s">
        <v>179</v>
      </c>
      <c r="D390" t="s">
        <v>478</v>
      </c>
      <c r="E390" t="b">
        <v>1</v>
      </c>
    </row>
    <row r="391" spans="1:5" x14ac:dyDescent="0.2">
      <c r="A391" t="s">
        <v>1179</v>
      </c>
      <c r="B391" t="s">
        <v>1002</v>
      </c>
      <c r="C391" t="s">
        <v>116</v>
      </c>
      <c r="D391" t="s">
        <v>476</v>
      </c>
      <c r="E391" t="b">
        <v>1</v>
      </c>
    </row>
    <row r="392" spans="1:5" x14ac:dyDescent="0.2">
      <c r="A392" t="s">
        <v>1180</v>
      </c>
      <c r="B392" t="s">
        <v>1002</v>
      </c>
      <c r="C392" t="s">
        <v>179</v>
      </c>
      <c r="D392" t="s">
        <v>478</v>
      </c>
      <c r="E392" t="b">
        <v>1</v>
      </c>
    </row>
    <row r="393" spans="1:5" x14ac:dyDescent="0.2">
      <c r="A393" t="s">
        <v>1181</v>
      </c>
      <c r="B393" t="s">
        <v>1005</v>
      </c>
      <c r="C393" t="s">
        <v>130</v>
      </c>
      <c r="D393" t="s">
        <v>476</v>
      </c>
      <c r="E393" t="b">
        <v>1</v>
      </c>
    </row>
    <row r="394" spans="1:5" x14ac:dyDescent="0.2">
      <c r="A394" t="s">
        <v>1182</v>
      </c>
      <c r="B394" t="s">
        <v>1005</v>
      </c>
      <c r="C394" t="s">
        <v>162</v>
      </c>
      <c r="D394" t="s">
        <v>478</v>
      </c>
      <c r="E394" t="b">
        <v>1</v>
      </c>
    </row>
    <row r="395" spans="1:5" x14ac:dyDescent="0.2">
      <c r="A395" t="s">
        <v>1183</v>
      </c>
      <c r="B395" t="s">
        <v>1009</v>
      </c>
      <c r="C395" t="s">
        <v>130</v>
      </c>
      <c r="D395" t="s">
        <v>476</v>
      </c>
      <c r="E395" t="b">
        <v>1</v>
      </c>
    </row>
    <row r="396" spans="1:5" x14ac:dyDescent="0.2">
      <c r="A396" t="s">
        <v>1184</v>
      </c>
      <c r="B396" t="s">
        <v>1009</v>
      </c>
      <c r="C396" t="s">
        <v>169</v>
      </c>
      <c r="D396" t="s">
        <v>478</v>
      </c>
      <c r="E396" t="b">
        <v>1</v>
      </c>
    </row>
    <row r="397" spans="1:5" x14ac:dyDescent="0.2">
      <c r="A397" t="s">
        <v>1185</v>
      </c>
      <c r="B397" t="s">
        <v>1011</v>
      </c>
      <c r="C397" t="s">
        <v>132</v>
      </c>
      <c r="D397" t="s">
        <v>476</v>
      </c>
      <c r="E397" t="b">
        <v>1</v>
      </c>
    </row>
    <row r="398" spans="1:5" x14ac:dyDescent="0.2">
      <c r="A398" t="s">
        <v>1186</v>
      </c>
      <c r="B398" t="s">
        <v>1011</v>
      </c>
      <c r="C398" t="s">
        <v>175</v>
      </c>
      <c r="D398" t="s">
        <v>478</v>
      </c>
      <c r="E398" t="b">
        <v>1</v>
      </c>
    </row>
    <row r="399" spans="1:5" x14ac:dyDescent="0.2">
      <c r="A399" t="s">
        <v>1187</v>
      </c>
      <c r="B399" t="s">
        <v>1015</v>
      </c>
      <c r="C399" t="s">
        <v>132</v>
      </c>
      <c r="D399" t="s">
        <v>476</v>
      </c>
      <c r="E399" t="b">
        <v>1</v>
      </c>
    </row>
    <row r="400" spans="1:5" x14ac:dyDescent="0.2">
      <c r="A400" t="s">
        <v>1188</v>
      </c>
      <c r="B400" t="s">
        <v>1015</v>
      </c>
      <c r="C400" t="s">
        <v>175</v>
      </c>
      <c r="D400" t="s">
        <v>478</v>
      </c>
      <c r="E400" t="b">
        <v>1</v>
      </c>
    </row>
    <row r="401" spans="1:5" x14ac:dyDescent="0.2">
      <c r="A401" t="s">
        <v>1189</v>
      </c>
      <c r="B401" t="s">
        <v>1017</v>
      </c>
      <c r="C401" t="s">
        <v>130</v>
      </c>
      <c r="D401" t="s">
        <v>476</v>
      </c>
      <c r="E401" t="b">
        <v>1</v>
      </c>
    </row>
    <row r="402" spans="1:5" x14ac:dyDescent="0.2">
      <c r="A402" t="s">
        <v>1190</v>
      </c>
      <c r="B402" t="s">
        <v>1017</v>
      </c>
      <c r="C402" t="s">
        <v>169</v>
      </c>
      <c r="D402" t="s">
        <v>478</v>
      </c>
      <c r="E402" t="b">
        <v>1</v>
      </c>
    </row>
    <row r="403" spans="1:5" x14ac:dyDescent="0.2">
      <c r="A403" t="s">
        <v>1191</v>
      </c>
      <c r="B403" t="s">
        <v>1020</v>
      </c>
      <c r="C403" t="s">
        <v>130</v>
      </c>
      <c r="D403" t="s">
        <v>476</v>
      </c>
      <c r="E403" t="b">
        <v>1</v>
      </c>
    </row>
    <row r="404" spans="1:5" x14ac:dyDescent="0.2">
      <c r="A404" t="s">
        <v>1192</v>
      </c>
      <c r="B404" t="s">
        <v>1020</v>
      </c>
      <c r="C404" t="s">
        <v>183</v>
      </c>
      <c r="D404" t="s">
        <v>478</v>
      </c>
      <c r="E404" t="b">
        <v>1</v>
      </c>
    </row>
    <row r="405" spans="1:5" x14ac:dyDescent="0.2">
      <c r="A405" t="s">
        <v>1193</v>
      </c>
      <c r="B405" t="s">
        <v>1022</v>
      </c>
      <c r="C405" t="s">
        <v>134</v>
      </c>
      <c r="D405" t="s">
        <v>476</v>
      </c>
      <c r="E405" t="b">
        <v>1</v>
      </c>
    </row>
    <row r="406" spans="1:5" x14ac:dyDescent="0.2">
      <c r="A406" t="s">
        <v>1194</v>
      </c>
      <c r="B406" t="s">
        <v>1022</v>
      </c>
      <c r="C406" t="s">
        <v>162</v>
      </c>
      <c r="D406" t="s">
        <v>478</v>
      </c>
      <c r="E406" t="b">
        <v>1</v>
      </c>
    </row>
    <row r="407" spans="1:5" x14ac:dyDescent="0.2">
      <c r="A407" t="s">
        <v>1195</v>
      </c>
      <c r="B407" t="s">
        <v>1026</v>
      </c>
      <c r="C407" t="s">
        <v>134</v>
      </c>
      <c r="D407" t="s">
        <v>476</v>
      </c>
      <c r="E407" t="b">
        <v>1</v>
      </c>
    </row>
    <row r="408" spans="1:5" x14ac:dyDescent="0.2">
      <c r="A408" t="s">
        <v>1196</v>
      </c>
      <c r="B408" t="s">
        <v>1026</v>
      </c>
      <c r="C408" t="s">
        <v>162</v>
      </c>
      <c r="D408" t="s">
        <v>478</v>
      </c>
      <c r="E408" t="b">
        <v>1</v>
      </c>
    </row>
    <row r="409" spans="1:5" x14ac:dyDescent="0.2">
      <c r="A409" t="s">
        <v>1197</v>
      </c>
      <c r="B409" t="s">
        <v>1028</v>
      </c>
      <c r="C409" t="s">
        <v>134</v>
      </c>
      <c r="D409" t="s">
        <v>476</v>
      </c>
      <c r="E409" t="b">
        <v>1</v>
      </c>
    </row>
    <row r="410" spans="1:5" x14ac:dyDescent="0.2">
      <c r="A410" t="s">
        <v>1198</v>
      </c>
      <c r="B410" t="s">
        <v>1028</v>
      </c>
      <c r="C410" t="s">
        <v>169</v>
      </c>
      <c r="D410" t="s">
        <v>478</v>
      </c>
      <c r="E410" t="b">
        <v>1</v>
      </c>
    </row>
    <row r="411" spans="1:5" x14ac:dyDescent="0.2">
      <c r="A411" t="s">
        <v>1199</v>
      </c>
      <c r="B411" t="s">
        <v>1030</v>
      </c>
      <c r="C411" t="s">
        <v>134</v>
      </c>
      <c r="D411" t="s">
        <v>476</v>
      </c>
      <c r="E411" t="b">
        <v>1</v>
      </c>
    </row>
    <row r="412" spans="1:5" x14ac:dyDescent="0.2">
      <c r="A412" t="s">
        <v>1200</v>
      </c>
      <c r="B412" t="s">
        <v>1030</v>
      </c>
      <c r="C412" t="s">
        <v>175</v>
      </c>
      <c r="D412" t="s">
        <v>478</v>
      </c>
      <c r="E412" t="b">
        <v>1</v>
      </c>
    </row>
    <row r="413" spans="1:5" x14ac:dyDescent="0.2">
      <c r="A413" t="s">
        <v>1201</v>
      </c>
      <c r="B413" t="s">
        <v>1032</v>
      </c>
      <c r="C413" t="s">
        <v>134</v>
      </c>
      <c r="D413" t="s">
        <v>476</v>
      </c>
      <c r="E413" t="b">
        <v>1</v>
      </c>
    </row>
    <row r="414" spans="1:5" x14ac:dyDescent="0.2">
      <c r="A414" t="s">
        <v>1202</v>
      </c>
      <c r="B414" t="s">
        <v>1032</v>
      </c>
      <c r="C414" t="s">
        <v>173</v>
      </c>
      <c r="D414" t="s">
        <v>478</v>
      </c>
      <c r="E414" t="b">
        <v>1</v>
      </c>
    </row>
    <row r="415" spans="1:5" x14ac:dyDescent="0.2">
      <c r="A415" t="s">
        <v>1203</v>
      </c>
      <c r="B415" t="s">
        <v>1034</v>
      </c>
      <c r="C415" t="s">
        <v>134</v>
      </c>
      <c r="D415" t="s">
        <v>476</v>
      </c>
      <c r="E415" t="b">
        <v>1</v>
      </c>
    </row>
    <row r="416" spans="1:5" x14ac:dyDescent="0.2">
      <c r="A416" t="s">
        <v>1204</v>
      </c>
      <c r="B416" t="s">
        <v>1034</v>
      </c>
      <c r="C416" t="s">
        <v>162</v>
      </c>
      <c r="D416" t="s">
        <v>478</v>
      </c>
      <c r="E416" t="b">
        <v>1</v>
      </c>
    </row>
    <row r="417" spans="1:5" x14ac:dyDescent="0.2">
      <c r="A417" t="s">
        <v>1205</v>
      </c>
      <c r="B417" t="s">
        <v>1036</v>
      </c>
      <c r="C417" t="s">
        <v>136</v>
      </c>
      <c r="D417" t="s">
        <v>476</v>
      </c>
      <c r="E417" t="b">
        <v>1</v>
      </c>
    </row>
    <row r="418" spans="1:5" x14ac:dyDescent="0.2">
      <c r="A418" t="s">
        <v>1206</v>
      </c>
      <c r="B418" t="s">
        <v>1036</v>
      </c>
      <c r="C418" t="s">
        <v>162</v>
      </c>
      <c r="D418" t="s">
        <v>478</v>
      </c>
      <c r="E418" t="b">
        <v>1</v>
      </c>
    </row>
    <row r="419" spans="1:5" x14ac:dyDescent="0.2">
      <c r="A419" t="s">
        <v>1207</v>
      </c>
      <c r="B419" t="s">
        <v>1040</v>
      </c>
      <c r="C419" t="s">
        <v>136</v>
      </c>
      <c r="D419" t="s">
        <v>476</v>
      </c>
      <c r="E419" t="b">
        <v>1</v>
      </c>
    </row>
    <row r="420" spans="1:5" x14ac:dyDescent="0.2">
      <c r="A420" t="s">
        <v>1208</v>
      </c>
      <c r="B420" t="s">
        <v>1040</v>
      </c>
      <c r="C420" t="s">
        <v>173</v>
      </c>
      <c r="D420" t="s">
        <v>478</v>
      </c>
      <c r="E420" t="b">
        <v>1</v>
      </c>
    </row>
    <row r="421" spans="1:5" x14ac:dyDescent="0.2">
      <c r="A421" t="s">
        <v>1209</v>
      </c>
      <c r="B421" t="s">
        <v>1042</v>
      </c>
      <c r="C421" t="s">
        <v>138</v>
      </c>
      <c r="D421" t="s">
        <v>476</v>
      </c>
      <c r="E421" t="b">
        <v>1</v>
      </c>
    </row>
    <row r="422" spans="1:5" x14ac:dyDescent="0.2">
      <c r="A422" t="s">
        <v>1210</v>
      </c>
      <c r="B422" t="s">
        <v>1042</v>
      </c>
      <c r="C422" t="s">
        <v>173</v>
      </c>
      <c r="D422" t="s">
        <v>478</v>
      </c>
      <c r="E422" t="b">
        <v>1</v>
      </c>
    </row>
    <row r="423" spans="1:5" x14ac:dyDescent="0.2">
      <c r="A423" t="s">
        <v>1211</v>
      </c>
      <c r="B423" t="s">
        <v>1046</v>
      </c>
      <c r="C423" t="s">
        <v>138</v>
      </c>
      <c r="D423" t="s">
        <v>476</v>
      </c>
      <c r="E423" t="b">
        <v>1</v>
      </c>
    </row>
    <row r="424" spans="1:5" x14ac:dyDescent="0.2">
      <c r="A424" t="s">
        <v>1212</v>
      </c>
      <c r="B424" t="s">
        <v>1046</v>
      </c>
      <c r="C424" t="s">
        <v>173</v>
      </c>
      <c r="D424" t="s">
        <v>478</v>
      </c>
      <c r="E424" t="b">
        <v>1</v>
      </c>
    </row>
    <row r="425" spans="1:5" x14ac:dyDescent="0.2">
      <c r="A425" t="s">
        <v>1213</v>
      </c>
      <c r="B425" t="s">
        <v>1048</v>
      </c>
      <c r="C425" t="s">
        <v>136</v>
      </c>
      <c r="D425" t="s">
        <v>476</v>
      </c>
      <c r="E425" t="b">
        <v>1</v>
      </c>
    </row>
    <row r="426" spans="1:5" x14ac:dyDescent="0.2">
      <c r="A426" t="s">
        <v>1214</v>
      </c>
      <c r="B426" t="s">
        <v>1048</v>
      </c>
      <c r="C426" t="s">
        <v>175</v>
      </c>
      <c r="D426" t="s">
        <v>478</v>
      </c>
      <c r="E426" t="b">
        <v>1</v>
      </c>
    </row>
    <row r="427" spans="1:5" x14ac:dyDescent="0.2">
      <c r="A427" t="s">
        <v>1215</v>
      </c>
      <c r="B427" t="s">
        <v>1050</v>
      </c>
      <c r="C427" t="s">
        <v>136</v>
      </c>
      <c r="D427" t="s">
        <v>476</v>
      </c>
      <c r="E427" t="b">
        <v>1</v>
      </c>
    </row>
    <row r="428" spans="1:5" x14ac:dyDescent="0.2">
      <c r="A428" t="s">
        <v>1216</v>
      </c>
      <c r="B428" t="s">
        <v>1050</v>
      </c>
      <c r="C428" t="s">
        <v>175</v>
      </c>
      <c r="D428" t="s">
        <v>478</v>
      </c>
      <c r="E428" t="b">
        <v>1</v>
      </c>
    </row>
    <row r="429" spans="1:5" x14ac:dyDescent="0.2">
      <c r="A429" t="s">
        <v>1217</v>
      </c>
      <c r="B429" t="s">
        <v>1053</v>
      </c>
      <c r="C429" t="s">
        <v>140</v>
      </c>
      <c r="D429" t="s">
        <v>476</v>
      </c>
      <c r="E429" t="b">
        <v>1</v>
      </c>
    </row>
    <row r="430" spans="1:5" x14ac:dyDescent="0.2">
      <c r="A430" t="s">
        <v>1218</v>
      </c>
      <c r="B430" t="s">
        <v>1053</v>
      </c>
      <c r="C430" t="s">
        <v>169</v>
      </c>
      <c r="D430" t="s">
        <v>478</v>
      </c>
      <c r="E430" t="b">
        <v>1</v>
      </c>
    </row>
    <row r="431" spans="1:5" x14ac:dyDescent="0.2">
      <c r="A431" t="s">
        <v>1219</v>
      </c>
      <c r="B431" t="s">
        <v>1057</v>
      </c>
      <c r="C431" t="s">
        <v>140</v>
      </c>
      <c r="D431" t="s">
        <v>476</v>
      </c>
      <c r="E431" t="b">
        <v>1</v>
      </c>
    </row>
    <row r="432" spans="1:5" x14ac:dyDescent="0.2">
      <c r="A432" t="s">
        <v>1220</v>
      </c>
      <c r="B432" t="s">
        <v>1057</v>
      </c>
      <c r="C432" t="s">
        <v>169</v>
      </c>
      <c r="D432" t="s">
        <v>478</v>
      </c>
      <c r="E432" t="b">
        <v>1</v>
      </c>
    </row>
    <row r="433" spans="1:5" x14ac:dyDescent="0.2">
      <c r="A433" t="s">
        <v>1221</v>
      </c>
      <c r="B433" t="s">
        <v>1060</v>
      </c>
      <c r="C433" t="s">
        <v>140</v>
      </c>
      <c r="D433" t="s">
        <v>476</v>
      </c>
      <c r="E433" t="b">
        <v>1</v>
      </c>
    </row>
    <row r="434" spans="1:5" x14ac:dyDescent="0.2">
      <c r="A434" t="s">
        <v>1222</v>
      </c>
      <c r="B434" t="s">
        <v>1060</v>
      </c>
      <c r="C434" t="s">
        <v>175</v>
      </c>
      <c r="D434" t="s">
        <v>478</v>
      </c>
      <c r="E434" t="b">
        <v>1</v>
      </c>
    </row>
    <row r="435" spans="1:5" x14ac:dyDescent="0.2">
      <c r="A435" t="s">
        <v>1223</v>
      </c>
      <c r="B435" t="s">
        <v>1062</v>
      </c>
      <c r="C435" t="s">
        <v>140</v>
      </c>
      <c r="D435" t="s">
        <v>476</v>
      </c>
      <c r="E435" t="b">
        <v>1</v>
      </c>
    </row>
    <row r="436" spans="1:5" x14ac:dyDescent="0.2">
      <c r="A436" t="s">
        <v>1224</v>
      </c>
      <c r="B436" t="s">
        <v>1062</v>
      </c>
      <c r="C436" t="s">
        <v>175</v>
      </c>
      <c r="D436" t="s">
        <v>478</v>
      </c>
      <c r="E436" t="b">
        <v>1</v>
      </c>
    </row>
    <row r="437" spans="1:5" x14ac:dyDescent="0.2">
      <c r="A437" t="s">
        <v>1225</v>
      </c>
      <c r="B437" t="s">
        <v>1064</v>
      </c>
      <c r="C437" t="s">
        <v>140</v>
      </c>
      <c r="D437" t="s">
        <v>476</v>
      </c>
      <c r="E437" t="b">
        <v>1</v>
      </c>
    </row>
    <row r="438" spans="1:5" x14ac:dyDescent="0.2">
      <c r="A438" t="s">
        <v>1226</v>
      </c>
      <c r="B438" t="s">
        <v>1064</v>
      </c>
      <c r="C438" t="s">
        <v>169</v>
      </c>
      <c r="D438" t="s">
        <v>478</v>
      </c>
      <c r="E438" t="b">
        <v>1</v>
      </c>
    </row>
    <row r="439" spans="1:5" x14ac:dyDescent="0.2">
      <c r="A439" t="s">
        <v>1227</v>
      </c>
      <c r="B439" t="s">
        <v>1066</v>
      </c>
      <c r="C439" t="s">
        <v>142</v>
      </c>
      <c r="D439" t="s">
        <v>476</v>
      </c>
      <c r="E439" t="b">
        <v>1</v>
      </c>
    </row>
    <row r="440" spans="1:5" x14ac:dyDescent="0.2">
      <c r="A440" t="s">
        <v>1228</v>
      </c>
      <c r="B440" t="s">
        <v>1066</v>
      </c>
      <c r="C440" t="s">
        <v>169</v>
      </c>
      <c r="D440" t="s">
        <v>478</v>
      </c>
      <c r="E440" t="b">
        <v>1</v>
      </c>
    </row>
    <row r="441" spans="1:5" x14ac:dyDescent="0.2">
      <c r="A441" t="s">
        <v>1229</v>
      </c>
      <c r="B441" t="s">
        <v>1070</v>
      </c>
      <c r="C441" t="s">
        <v>142</v>
      </c>
      <c r="D441" t="s">
        <v>476</v>
      </c>
      <c r="E441" t="b">
        <v>1</v>
      </c>
    </row>
    <row r="442" spans="1:5" x14ac:dyDescent="0.2">
      <c r="A442" t="s">
        <v>1230</v>
      </c>
      <c r="B442" t="s">
        <v>1070</v>
      </c>
      <c r="C442" t="s">
        <v>169</v>
      </c>
      <c r="D442" t="s">
        <v>478</v>
      </c>
      <c r="E442" t="b">
        <v>1</v>
      </c>
    </row>
    <row r="443" spans="1:5" x14ac:dyDescent="0.2">
      <c r="A443" t="s">
        <v>1231</v>
      </c>
      <c r="B443" t="s">
        <v>1072</v>
      </c>
      <c r="C443" t="s">
        <v>142</v>
      </c>
      <c r="D443" t="s">
        <v>476</v>
      </c>
      <c r="E443" t="b">
        <v>1</v>
      </c>
    </row>
    <row r="444" spans="1:5" x14ac:dyDescent="0.2">
      <c r="A444" t="s">
        <v>1232</v>
      </c>
      <c r="B444" t="s">
        <v>1072</v>
      </c>
      <c r="C444" t="s">
        <v>169</v>
      </c>
      <c r="D444" t="s">
        <v>478</v>
      </c>
      <c r="E444" t="b">
        <v>1</v>
      </c>
    </row>
    <row r="445" spans="1:5" x14ac:dyDescent="0.2">
      <c r="A445" t="s">
        <v>1233</v>
      </c>
      <c r="B445" t="s">
        <v>1074</v>
      </c>
      <c r="C445" t="s">
        <v>144</v>
      </c>
      <c r="D445" t="s">
        <v>476</v>
      </c>
      <c r="E445" t="b">
        <v>1</v>
      </c>
    </row>
    <row r="446" spans="1:5" x14ac:dyDescent="0.2">
      <c r="A446" t="s">
        <v>1234</v>
      </c>
      <c r="B446" t="s">
        <v>1074</v>
      </c>
      <c r="C446" t="s">
        <v>169</v>
      </c>
      <c r="D446" t="s">
        <v>478</v>
      </c>
      <c r="E446" t="b">
        <v>1</v>
      </c>
    </row>
    <row r="447" spans="1:5" x14ac:dyDescent="0.2">
      <c r="A447" t="s">
        <v>1235</v>
      </c>
      <c r="B447" t="s">
        <v>1078</v>
      </c>
      <c r="C447" t="s">
        <v>144</v>
      </c>
      <c r="D447" t="s">
        <v>476</v>
      </c>
      <c r="E447" t="b">
        <v>1</v>
      </c>
    </row>
    <row r="448" spans="1:5" x14ac:dyDescent="0.2">
      <c r="A448" t="s">
        <v>1236</v>
      </c>
      <c r="B448" t="s">
        <v>1078</v>
      </c>
      <c r="C448" t="s">
        <v>169</v>
      </c>
      <c r="D448" t="s">
        <v>478</v>
      </c>
      <c r="E448" t="b">
        <v>1</v>
      </c>
    </row>
    <row r="449" spans="1:5" x14ac:dyDescent="0.2">
      <c r="A449" t="s">
        <v>1237</v>
      </c>
      <c r="B449" t="s">
        <v>1081</v>
      </c>
      <c r="C449" t="s">
        <v>146</v>
      </c>
      <c r="D449" t="s">
        <v>476</v>
      </c>
      <c r="E449" t="b">
        <v>1</v>
      </c>
    </row>
    <row r="450" spans="1:5" x14ac:dyDescent="0.2">
      <c r="A450" t="s">
        <v>1238</v>
      </c>
      <c r="B450" t="s">
        <v>1081</v>
      </c>
      <c r="C450" t="s">
        <v>175</v>
      </c>
      <c r="D450" t="s">
        <v>478</v>
      </c>
      <c r="E450" t="b">
        <v>1</v>
      </c>
    </row>
    <row r="451" spans="1:5" x14ac:dyDescent="0.2">
      <c r="A451" t="s">
        <v>1239</v>
      </c>
      <c r="B451" t="s">
        <v>1084</v>
      </c>
      <c r="C451" t="s">
        <v>148</v>
      </c>
      <c r="D451" t="s">
        <v>476</v>
      </c>
      <c r="E451" t="b">
        <v>1</v>
      </c>
    </row>
    <row r="452" spans="1:5" x14ac:dyDescent="0.2">
      <c r="A452" t="s">
        <v>1240</v>
      </c>
      <c r="B452" t="s">
        <v>1084</v>
      </c>
      <c r="C452" t="s">
        <v>169</v>
      </c>
      <c r="D452" t="s">
        <v>478</v>
      </c>
      <c r="E452" t="b">
        <v>1</v>
      </c>
    </row>
    <row r="453" spans="1:5" x14ac:dyDescent="0.2">
      <c r="A453" t="s">
        <v>1241</v>
      </c>
      <c r="B453" t="s">
        <v>1088</v>
      </c>
      <c r="C453" t="s">
        <v>148</v>
      </c>
      <c r="D453" t="s">
        <v>476</v>
      </c>
      <c r="E453" t="b">
        <v>1</v>
      </c>
    </row>
    <row r="454" spans="1:5" x14ac:dyDescent="0.2">
      <c r="A454" t="s">
        <v>1242</v>
      </c>
      <c r="B454" t="s">
        <v>1088</v>
      </c>
      <c r="C454" t="s">
        <v>169</v>
      </c>
      <c r="D454" t="s">
        <v>478</v>
      </c>
      <c r="E454" t="b">
        <v>1</v>
      </c>
    </row>
    <row r="455" spans="1:5" x14ac:dyDescent="0.2">
      <c r="A455" t="s">
        <v>1243</v>
      </c>
      <c r="B455" t="s">
        <v>1092</v>
      </c>
      <c r="C455" t="s">
        <v>148</v>
      </c>
      <c r="D455" t="s">
        <v>476</v>
      </c>
      <c r="E455" t="b">
        <v>1</v>
      </c>
    </row>
    <row r="456" spans="1:5" x14ac:dyDescent="0.2">
      <c r="A456" t="s">
        <v>1244</v>
      </c>
      <c r="B456" t="s">
        <v>1092</v>
      </c>
      <c r="C456" t="s">
        <v>169</v>
      </c>
      <c r="D456" t="s">
        <v>478</v>
      </c>
      <c r="E456" t="b">
        <v>1</v>
      </c>
    </row>
    <row r="457" spans="1:5" x14ac:dyDescent="0.2">
      <c r="A457" t="s">
        <v>1245</v>
      </c>
      <c r="B457" t="s">
        <v>1094</v>
      </c>
      <c r="C457" t="s">
        <v>148</v>
      </c>
      <c r="D457" t="s">
        <v>476</v>
      </c>
      <c r="E457" t="b">
        <v>1</v>
      </c>
    </row>
    <row r="458" spans="1:5" x14ac:dyDescent="0.2">
      <c r="A458" t="s">
        <v>1246</v>
      </c>
      <c r="B458" t="s">
        <v>1094</v>
      </c>
      <c r="C458" t="s">
        <v>169</v>
      </c>
      <c r="D458" t="s">
        <v>478</v>
      </c>
      <c r="E458" t="b">
        <v>1</v>
      </c>
    </row>
    <row r="459" spans="1:5" x14ac:dyDescent="0.2">
      <c r="A459" t="s">
        <v>1247</v>
      </c>
      <c r="B459" t="s">
        <v>1096</v>
      </c>
      <c r="C459" t="s">
        <v>150</v>
      </c>
      <c r="D459" t="s">
        <v>476</v>
      </c>
      <c r="E459" t="b">
        <v>1</v>
      </c>
    </row>
    <row r="460" spans="1:5" x14ac:dyDescent="0.2">
      <c r="A460" t="s">
        <v>1248</v>
      </c>
      <c r="B460" t="s">
        <v>1096</v>
      </c>
      <c r="C460" t="s">
        <v>169</v>
      </c>
      <c r="D460" t="s">
        <v>478</v>
      </c>
      <c r="E460" t="b">
        <v>1</v>
      </c>
    </row>
    <row r="461" spans="1:5" x14ac:dyDescent="0.2">
      <c r="A461" t="s">
        <v>1249</v>
      </c>
      <c r="B461" t="s">
        <v>1099</v>
      </c>
      <c r="C461" t="s">
        <v>152</v>
      </c>
      <c r="D461" t="s">
        <v>476</v>
      </c>
      <c r="E461" t="b">
        <v>1</v>
      </c>
    </row>
    <row r="462" spans="1:5" x14ac:dyDescent="0.2">
      <c r="A462" t="s">
        <v>1250</v>
      </c>
      <c r="B462" t="s">
        <v>1099</v>
      </c>
      <c r="C462" t="s">
        <v>169</v>
      </c>
      <c r="D462" t="s">
        <v>478</v>
      </c>
      <c r="E462" t="b">
        <v>1</v>
      </c>
    </row>
    <row r="463" spans="1:5" x14ac:dyDescent="0.2">
      <c r="A463" t="s">
        <v>1251</v>
      </c>
      <c r="B463" t="s">
        <v>1102</v>
      </c>
      <c r="C463" t="s">
        <v>156</v>
      </c>
      <c r="D463" t="s">
        <v>476</v>
      </c>
      <c r="E463" t="b">
        <v>1</v>
      </c>
    </row>
    <row r="464" spans="1:5" x14ac:dyDescent="0.2">
      <c r="A464" t="s">
        <v>1252</v>
      </c>
      <c r="B464" t="s">
        <v>1102</v>
      </c>
      <c r="C464" t="s">
        <v>169</v>
      </c>
      <c r="D464" t="s">
        <v>478</v>
      </c>
      <c r="E464" t="b">
        <v>1</v>
      </c>
    </row>
    <row r="465" spans="1:5" x14ac:dyDescent="0.2">
      <c r="A465" t="s">
        <v>1253</v>
      </c>
      <c r="B465" t="s">
        <v>1106</v>
      </c>
      <c r="C465" t="s">
        <v>156</v>
      </c>
      <c r="D465" t="s">
        <v>476</v>
      </c>
      <c r="E465" t="b">
        <v>1</v>
      </c>
    </row>
    <row r="466" spans="1:5" x14ac:dyDescent="0.2">
      <c r="A466" t="s">
        <v>1254</v>
      </c>
      <c r="B466" t="s">
        <v>1106</v>
      </c>
      <c r="C466" t="s">
        <v>169</v>
      </c>
      <c r="D466" t="s">
        <v>478</v>
      </c>
      <c r="E466" t="b">
        <v>1</v>
      </c>
    </row>
    <row r="467" spans="1:5" x14ac:dyDescent="0.2">
      <c r="A467" t="s">
        <v>1255</v>
      </c>
      <c r="B467" t="s">
        <v>1109</v>
      </c>
      <c r="C467" t="s">
        <v>130</v>
      </c>
      <c r="D467" t="s">
        <v>476</v>
      </c>
      <c r="E467" t="b">
        <v>1</v>
      </c>
    </row>
    <row r="468" spans="1:5" x14ac:dyDescent="0.2">
      <c r="A468" t="s">
        <v>1256</v>
      </c>
      <c r="B468" t="s">
        <v>1109</v>
      </c>
      <c r="C468" t="s">
        <v>185</v>
      </c>
      <c r="D468" t="s">
        <v>478</v>
      </c>
      <c r="E468" t="b">
        <v>1</v>
      </c>
    </row>
    <row r="469" spans="1:5" x14ac:dyDescent="0.2">
      <c r="A469" t="s">
        <v>1257</v>
      </c>
      <c r="B469" t="s">
        <v>1114</v>
      </c>
      <c r="C469" t="s">
        <v>130</v>
      </c>
      <c r="D469" t="s">
        <v>476</v>
      </c>
      <c r="E469" t="b">
        <v>1</v>
      </c>
    </row>
    <row r="470" spans="1:5" x14ac:dyDescent="0.2">
      <c r="A470" t="s">
        <v>1258</v>
      </c>
      <c r="B470" t="s">
        <v>1114</v>
      </c>
      <c r="C470" t="s">
        <v>185</v>
      </c>
      <c r="D470" t="s">
        <v>478</v>
      </c>
      <c r="E470" t="b">
        <v>1</v>
      </c>
    </row>
    <row r="471" spans="1:5" x14ac:dyDescent="0.2">
      <c r="A471" t="s">
        <v>1259</v>
      </c>
      <c r="B471" t="s">
        <v>1118</v>
      </c>
      <c r="C471" t="s">
        <v>134</v>
      </c>
      <c r="D471" t="s">
        <v>476</v>
      </c>
      <c r="E471" t="b">
        <v>1</v>
      </c>
    </row>
    <row r="472" spans="1:5" x14ac:dyDescent="0.2">
      <c r="A472" t="s">
        <v>1260</v>
      </c>
      <c r="B472" t="s">
        <v>1118</v>
      </c>
      <c r="C472" t="s">
        <v>185</v>
      </c>
      <c r="D472" t="s">
        <v>478</v>
      </c>
      <c r="E472" t="b">
        <v>1</v>
      </c>
    </row>
    <row r="473" spans="1:5" x14ac:dyDescent="0.2">
      <c r="A473" t="s">
        <v>1261</v>
      </c>
      <c r="B473" t="s">
        <v>1120</v>
      </c>
      <c r="C473" t="s">
        <v>140</v>
      </c>
      <c r="D473" t="s">
        <v>476</v>
      </c>
      <c r="E473" t="b">
        <v>1</v>
      </c>
    </row>
    <row r="474" spans="1:5" x14ac:dyDescent="0.2">
      <c r="A474" t="s">
        <v>1262</v>
      </c>
      <c r="B474" t="s">
        <v>1120</v>
      </c>
      <c r="C474" t="s">
        <v>185</v>
      </c>
      <c r="D474" t="s">
        <v>478</v>
      </c>
      <c r="E474" t="b">
        <v>1</v>
      </c>
    </row>
    <row r="475" spans="1:5" x14ac:dyDescent="0.2">
      <c r="A475" t="s">
        <v>1263</v>
      </c>
      <c r="B475" t="s">
        <v>1122</v>
      </c>
      <c r="C475" t="s">
        <v>136</v>
      </c>
      <c r="D475" t="s">
        <v>476</v>
      </c>
      <c r="E475" t="b">
        <v>1</v>
      </c>
    </row>
    <row r="476" spans="1:5" x14ac:dyDescent="0.2">
      <c r="A476" t="s">
        <v>1264</v>
      </c>
      <c r="B476" t="s">
        <v>1122</v>
      </c>
      <c r="C476" t="s">
        <v>185</v>
      </c>
      <c r="D476" t="s">
        <v>478</v>
      </c>
      <c r="E476" t="b">
        <v>1</v>
      </c>
    </row>
    <row r="477" spans="1:5" x14ac:dyDescent="0.2">
      <c r="A477" t="s">
        <v>1265</v>
      </c>
      <c r="B477" t="s">
        <v>1124</v>
      </c>
      <c r="C477" t="s">
        <v>156</v>
      </c>
      <c r="D477" t="s">
        <v>476</v>
      </c>
      <c r="E477" t="b">
        <v>1</v>
      </c>
    </row>
    <row r="478" spans="1:5" x14ac:dyDescent="0.2">
      <c r="A478" t="s">
        <v>1266</v>
      </c>
      <c r="B478" t="s">
        <v>1124</v>
      </c>
      <c r="C478" t="s">
        <v>185</v>
      </c>
      <c r="D478" t="s">
        <v>478</v>
      </c>
      <c r="E478" t="b">
        <v>1</v>
      </c>
    </row>
    <row r="479" spans="1:5" x14ac:dyDescent="0.2">
      <c r="A479" t="s">
        <v>1267</v>
      </c>
      <c r="B479" t="s">
        <v>1127</v>
      </c>
      <c r="C479" t="s">
        <v>158</v>
      </c>
      <c r="D479" t="s">
        <v>476</v>
      </c>
      <c r="E479" t="b">
        <v>1</v>
      </c>
    </row>
    <row r="480" spans="1:5" x14ac:dyDescent="0.2">
      <c r="A480" t="s">
        <v>1268</v>
      </c>
      <c r="B480" t="s">
        <v>1127</v>
      </c>
      <c r="C480" t="s">
        <v>183</v>
      </c>
      <c r="D480" t="s">
        <v>478</v>
      </c>
      <c r="E480" t="b">
        <v>1</v>
      </c>
    </row>
    <row r="481" spans="1:7" x14ac:dyDescent="0.2">
      <c r="A481" t="s">
        <v>1269</v>
      </c>
      <c r="B481" t="s">
        <v>937</v>
      </c>
      <c r="C481" t="s">
        <v>941</v>
      </c>
      <c r="D481" t="s">
        <v>1270</v>
      </c>
      <c r="E481" t="b">
        <v>1</v>
      </c>
      <c r="G481" t="s">
        <v>1271</v>
      </c>
    </row>
    <row r="482" spans="1:7" x14ac:dyDescent="0.2">
      <c r="A482" t="s">
        <v>1274</v>
      </c>
      <c r="B482" t="s">
        <v>1066</v>
      </c>
      <c r="C482" t="s">
        <v>933</v>
      </c>
      <c r="D482" t="s">
        <v>1270</v>
      </c>
      <c r="E482" t="b">
        <v>1</v>
      </c>
    </row>
    <row r="483" spans="1:7" x14ac:dyDescent="0.2">
      <c r="A483" t="s">
        <v>1275</v>
      </c>
      <c r="B483" t="s">
        <v>1066</v>
      </c>
      <c r="C483" t="s">
        <v>978</v>
      </c>
      <c r="D483" t="s">
        <v>1270</v>
      </c>
      <c r="E483" t="b">
        <v>1</v>
      </c>
    </row>
    <row r="484" spans="1:7" x14ac:dyDescent="0.2">
      <c r="A484" t="s">
        <v>1276</v>
      </c>
      <c r="B484" t="s">
        <v>1066</v>
      </c>
      <c r="C484" t="s">
        <v>995</v>
      </c>
      <c r="D484" t="s">
        <v>1270</v>
      </c>
      <c r="E484" t="b">
        <v>1</v>
      </c>
    </row>
    <row r="485" spans="1:7" x14ac:dyDescent="0.2">
      <c r="A485" t="s">
        <v>1277</v>
      </c>
      <c r="B485" t="s">
        <v>1070</v>
      </c>
      <c r="C485" t="s">
        <v>952</v>
      </c>
      <c r="D485" t="s">
        <v>1270</v>
      </c>
      <c r="E485" t="b">
        <v>1</v>
      </c>
    </row>
    <row r="486" spans="1:7" x14ac:dyDescent="0.2">
      <c r="A486" t="s">
        <v>1278</v>
      </c>
      <c r="B486" t="s">
        <v>1070</v>
      </c>
      <c r="C486" t="s">
        <v>985</v>
      </c>
      <c r="D486" t="s">
        <v>1270</v>
      </c>
      <c r="E486" t="b">
        <v>1</v>
      </c>
    </row>
    <row r="487" spans="1:7" x14ac:dyDescent="0.2">
      <c r="A487" t="s">
        <v>1279</v>
      </c>
      <c r="B487" t="s">
        <v>1070</v>
      </c>
      <c r="C487" t="s">
        <v>992</v>
      </c>
      <c r="D487" t="s">
        <v>1270</v>
      </c>
      <c r="E487" t="b">
        <v>1</v>
      </c>
    </row>
    <row r="488" spans="1:7" x14ac:dyDescent="0.2">
      <c r="A488" t="s">
        <v>1280</v>
      </c>
      <c r="B488" t="s">
        <v>224</v>
      </c>
      <c r="C488" t="s">
        <v>960</v>
      </c>
      <c r="D488" t="s">
        <v>1270</v>
      </c>
      <c r="E488" t="b">
        <v>1</v>
      </c>
    </row>
    <row r="489" spans="1:7" x14ac:dyDescent="0.2">
      <c r="A489" t="s">
        <v>1281</v>
      </c>
      <c r="B489" t="s">
        <v>634</v>
      </c>
      <c r="C489" t="s">
        <v>651</v>
      </c>
      <c r="D489" t="s">
        <v>1270</v>
      </c>
      <c r="E489" t="b">
        <v>1</v>
      </c>
    </row>
    <row r="490" spans="1:7" x14ac:dyDescent="0.2">
      <c r="A490" t="s">
        <v>1282</v>
      </c>
      <c r="B490" t="s">
        <v>637</v>
      </c>
      <c r="C490" t="s">
        <v>655</v>
      </c>
      <c r="D490" t="s">
        <v>1270</v>
      </c>
      <c r="E490" t="b">
        <v>1</v>
      </c>
    </row>
    <row r="491" spans="1:7" x14ac:dyDescent="0.2">
      <c r="A491" t="s">
        <v>1283</v>
      </c>
      <c r="B491" t="s">
        <v>640</v>
      </c>
      <c r="C491" t="s">
        <v>647</v>
      </c>
      <c r="D491" t="s">
        <v>1270</v>
      </c>
      <c r="E491" t="b">
        <v>1</v>
      </c>
    </row>
    <row r="492" spans="1:7" x14ac:dyDescent="0.2">
      <c r="A492" t="s">
        <v>1284</v>
      </c>
      <c r="B492" t="s">
        <v>215</v>
      </c>
      <c r="C492" t="s">
        <v>116</v>
      </c>
      <c r="D492" t="s">
        <v>476</v>
      </c>
      <c r="E492" t="b">
        <v>1</v>
      </c>
      <c r="G492" t="s">
        <v>1285</v>
      </c>
    </row>
    <row r="493" spans="1:7" x14ac:dyDescent="0.2">
      <c r="A493" t="s">
        <v>1286</v>
      </c>
      <c r="B493" t="s">
        <v>224</v>
      </c>
      <c r="C493" t="s">
        <v>116</v>
      </c>
      <c r="D493" t="s">
        <v>476</v>
      </c>
      <c r="E493" t="b">
        <v>1</v>
      </c>
      <c r="G493" t="s">
        <v>1287</v>
      </c>
    </row>
    <row r="494" spans="1:7" x14ac:dyDescent="0.2">
      <c r="A494" t="s">
        <v>1288</v>
      </c>
      <c r="B494" t="s">
        <v>203</v>
      </c>
      <c r="C494" t="s">
        <v>116</v>
      </c>
      <c r="D494" t="s">
        <v>476</v>
      </c>
      <c r="E494" t="b">
        <v>1</v>
      </c>
      <c r="G494" t="s">
        <v>1289</v>
      </c>
    </row>
    <row r="495" spans="1:7" x14ac:dyDescent="0.2">
      <c r="A495" t="s">
        <v>1290</v>
      </c>
      <c r="B495" t="s">
        <v>212</v>
      </c>
      <c r="C495" t="s">
        <v>116</v>
      </c>
      <c r="D495" t="s">
        <v>476</v>
      </c>
      <c r="E495" t="b">
        <v>1</v>
      </c>
      <c r="G495" t="s">
        <v>1291</v>
      </c>
    </row>
    <row r="496" spans="1:7" x14ac:dyDescent="0.2">
      <c r="A496" t="s">
        <v>1292</v>
      </c>
      <c r="B496" t="s">
        <v>215</v>
      </c>
      <c r="C496" t="s">
        <v>77</v>
      </c>
      <c r="D496" t="s">
        <v>1293</v>
      </c>
      <c r="E496" t="b">
        <v>1</v>
      </c>
      <c r="G496" t="s">
        <v>1294</v>
      </c>
    </row>
    <row r="497" spans="1:7" x14ac:dyDescent="0.2">
      <c r="A497" t="s">
        <v>1295</v>
      </c>
      <c r="B497" t="s">
        <v>1066</v>
      </c>
      <c r="C497" t="s">
        <v>116</v>
      </c>
      <c r="D497" t="s">
        <v>1296</v>
      </c>
      <c r="E497" t="b">
        <v>1</v>
      </c>
      <c r="G497" t="s">
        <v>1297</v>
      </c>
    </row>
    <row r="498" spans="1:7" x14ac:dyDescent="0.2">
      <c r="A498" t="s">
        <v>1298</v>
      </c>
      <c r="B498" t="s">
        <v>1066</v>
      </c>
      <c r="C498" t="s">
        <v>118</v>
      </c>
      <c r="D498" t="s">
        <v>1296</v>
      </c>
      <c r="E498" t="b">
        <v>1</v>
      </c>
      <c r="G498" t="s">
        <v>1297</v>
      </c>
    </row>
    <row r="499" spans="1:7" x14ac:dyDescent="0.2">
      <c r="A499" t="s">
        <v>1299</v>
      </c>
      <c r="B499" t="s">
        <v>1066</v>
      </c>
      <c r="C499" t="s">
        <v>124</v>
      </c>
      <c r="D499" t="s">
        <v>1296</v>
      </c>
      <c r="E499" t="b">
        <v>1</v>
      </c>
      <c r="G499" t="s">
        <v>1297</v>
      </c>
    </row>
    <row r="500" spans="1:7" x14ac:dyDescent="0.2">
      <c r="A500" t="s">
        <v>1300</v>
      </c>
      <c r="B500" t="s">
        <v>1066</v>
      </c>
      <c r="C500" t="s">
        <v>120</v>
      </c>
      <c r="D500" t="s">
        <v>1296</v>
      </c>
      <c r="E500" t="b">
        <v>1</v>
      </c>
      <c r="G500" t="s">
        <v>1297</v>
      </c>
    </row>
    <row r="501" spans="1:7" x14ac:dyDescent="0.2">
      <c r="A501" t="s">
        <v>1301</v>
      </c>
      <c r="B501" t="s">
        <v>1005</v>
      </c>
      <c r="C501" t="s">
        <v>104</v>
      </c>
      <c r="D501" t="s">
        <v>476</v>
      </c>
      <c r="E501" t="b">
        <v>1</v>
      </c>
      <c r="G501" t="s">
        <v>1302</v>
      </c>
    </row>
    <row r="502" spans="1:7" x14ac:dyDescent="0.2">
      <c r="A502" t="s">
        <v>1303</v>
      </c>
      <c r="B502" t="s">
        <v>1005</v>
      </c>
      <c r="C502" t="s">
        <v>114</v>
      </c>
      <c r="D502" t="s">
        <v>476</v>
      </c>
      <c r="E502" t="b">
        <v>1</v>
      </c>
      <c r="G502" t="s">
        <v>1304</v>
      </c>
    </row>
    <row r="503" spans="1:7" x14ac:dyDescent="0.2">
      <c r="A503" t="s">
        <v>1305</v>
      </c>
      <c r="B503" t="s">
        <v>313</v>
      </c>
      <c r="C503" t="s">
        <v>156</v>
      </c>
      <c r="D503" t="s">
        <v>476</v>
      </c>
      <c r="E503" t="b">
        <v>1</v>
      </c>
      <c r="G503" t="s">
        <v>1306</v>
      </c>
    </row>
    <row r="504" spans="1:7" x14ac:dyDescent="0.2">
      <c r="A504" t="s">
        <v>1307</v>
      </c>
      <c r="B504" t="s">
        <v>313</v>
      </c>
      <c r="C504" t="s">
        <v>158</v>
      </c>
      <c r="D504" t="s">
        <v>476</v>
      </c>
      <c r="E504" t="b">
        <v>1</v>
      </c>
      <c r="G504" t="s">
        <v>1308</v>
      </c>
    </row>
    <row r="505" spans="1:7" x14ac:dyDescent="0.2">
      <c r="A505" t="s">
        <v>1309</v>
      </c>
      <c r="B505" t="s">
        <v>309</v>
      </c>
      <c r="C505" t="s">
        <v>156</v>
      </c>
      <c r="D505" t="s">
        <v>476</v>
      </c>
      <c r="E505" t="b">
        <v>1</v>
      </c>
      <c r="G505" t="s">
        <v>1306</v>
      </c>
    </row>
    <row r="506" spans="1:7" x14ac:dyDescent="0.2">
      <c r="A506" t="s">
        <v>1310</v>
      </c>
      <c r="B506" t="s">
        <v>309</v>
      </c>
      <c r="C506" t="s">
        <v>158</v>
      </c>
      <c r="D506" t="s">
        <v>476</v>
      </c>
      <c r="E506" t="b">
        <v>1</v>
      </c>
      <c r="G506" t="s">
        <v>1308</v>
      </c>
    </row>
    <row r="507" spans="1:7" x14ac:dyDescent="0.2">
      <c r="A507" t="s">
        <v>1311</v>
      </c>
      <c r="B507" t="s">
        <v>316</v>
      </c>
      <c r="C507" t="s">
        <v>156</v>
      </c>
      <c r="D507" t="s">
        <v>476</v>
      </c>
      <c r="E507" t="b">
        <v>1</v>
      </c>
      <c r="G507" t="s">
        <v>1306</v>
      </c>
    </row>
    <row r="508" spans="1:7" x14ac:dyDescent="0.2">
      <c r="A508" t="s">
        <v>1312</v>
      </c>
      <c r="B508" t="s">
        <v>316</v>
      </c>
      <c r="C508" t="s">
        <v>158</v>
      </c>
      <c r="D508" t="s">
        <v>476</v>
      </c>
      <c r="E508" t="b">
        <v>1</v>
      </c>
      <c r="G508" t="s">
        <v>1308</v>
      </c>
    </row>
    <row r="509" spans="1:7" x14ac:dyDescent="0.2">
      <c r="A509" t="s">
        <v>1313</v>
      </c>
      <c r="B509" t="s">
        <v>215</v>
      </c>
      <c r="C509" t="s">
        <v>156</v>
      </c>
      <c r="D509" t="s">
        <v>476</v>
      </c>
      <c r="E509" t="b">
        <v>1</v>
      </c>
      <c r="G509" t="s">
        <v>1306</v>
      </c>
    </row>
    <row r="510" spans="1:7" x14ac:dyDescent="0.2">
      <c r="A510" t="s">
        <v>1314</v>
      </c>
      <c r="B510" t="s">
        <v>215</v>
      </c>
      <c r="C510" t="s">
        <v>158</v>
      </c>
      <c r="D510" t="s">
        <v>476</v>
      </c>
      <c r="E510" t="b">
        <v>1</v>
      </c>
      <c r="G510" t="s">
        <v>1308</v>
      </c>
    </row>
    <row r="511" spans="1:7" x14ac:dyDescent="0.2">
      <c r="A511" t="s">
        <v>1622</v>
      </c>
      <c r="B511" t="s">
        <v>1455</v>
      </c>
      <c r="C511" t="s">
        <v>75</v>
      </c>
      <c r="D511" t="s">
        <v>411</v>
      </c>
      <c r="E511" t="b">
        <v>1</v>
      </c>
    </row>
    <row r="512" spans="1:7" x14ac:dyDescent="0.2">
      <c r="A512" t="s">
        <v>1623</v>
      </c>
      <c r="B512" t="s">
        <v>1438</v>
      </c>
      <c r="C512" t="s">
        <v>75</v>
      </c>
      <c r="D512" t="s">
        <v>411</v>
      </c>
      <c r="E512" t="b">
        <v>1</v>
      </c>
    </row>
    <row r="513" spans="1:7" x14ac:dyDescent="0.2">
      <c r="A513" t="s">
        <v>1624</v>
      </c>
      <c r="B513" t="s">
        <v>1441</v>
      </c>
      <c r="C513" t="s">
        <v>75</v>
      </c>
      <c r="D513" t="s">
        <v>411</v>
      </c>
      <c r="E513" t="b">
        <v>1</v>
      </c>
    </row>
    <row r="514" spans="1:7" x14ac:dyDescent="0.2">
      <c r="A514" t="s">
        <v>1625</v>
      </c>
      <c r="B514" t="s">
        <v>1443</v>
      </c>
      <c r="C514" t="s">
        <v>75</v>
      </c>
      <c r="D514" t="s">
        <v>411</v>
      </c>
      <c r="E514" t="b">
        <v>1</v>
      </c>
    </row>
    <row r="515" spans="1:7" x14ac:dyDescent="0.2">
      <c r="A515" t="s">
        <v>1626</v>
      </c>
      <c r="B515" t="s">
        <v>1445</v>
      </c>
      <c r="C515" t="s">
        <v>75</v>
      </c>
      <c r="D515" t="s">
        <v>411</v>
      </c>
      <c r="E515" t="b">
        <v>1</v>
      </c>
    </row>
    <row r="516" spans="1:7" x14ac:dyDescent="0.2">
      <c r="A516" t="s">
        <v>1627</v>
      </c>
      <c r="B516" t="s">
        <v>1447</v>
      </c>
      <c r="C516" t="s">
        <v>75</v>
      </c>
      <c r="D516" t="s">
        <v>411</v>
      </c>
      <c r="E516" t="b">
        <v>1</v>
      </c>
    </row>
    <row r="517" spans="1:7" x14ac:dyDescent="0.2">
      <c r="A517" t="s">
        <v>1628</v>
      </c>
      <c r="B517" t="s">
        <v>1449</v>
      </c>
      <c r="C517" t="s">
        <v>75</v>
      </c>
      <c r="D517" t="s">
        <v>411</v>
      </c>
      <c r="E517" t="b">
        <v>1</v>
      </c>
    </row>
    <row r="518" spans="1:7" x14ac:dyDescent="0.2">
      <c r="A518" t="s">
        <v>1629</v>
      </c>
      <c r="B518" t="s">
        <v>1451</v>
      </c>
      <c r="C518" t="s">
        <v>75</v>
      </c>
      <c r="D518" t="s">
        <v>411</v>
      </c>
      <c r="E518" t="b">
        <v>1</v>
      </c>
    </row>
    <row r="519" spans="1:7" x14ac:dyDescent="0.2">
      <c r="A519" t="s">
        <v>1630</v>
      </c>
      <c r="B519" t="s">
        <v>1458</v>
      </c>
      <c r="C519" t="s">
        <v>160</v>
      </c>
      <c r="D519" t="s">
        <v>476</v>
      </c>
      <c r="E519" t="b">
        <v>1</v>
      </c>
    </row>
    <row r="520" spans="1:7" x14ac:dyDescent="0.2">
      <c r="A520" t="s">
        <v>1631</v>
      </c>
      <c r="B520" t="s">
        <v>1458</v>
      </c>
      <c r="C520" t="s">
        <v>185</v>
      </c>
      <c r="D520" t="s">
        <v>478</v>
      </c>
      <c r="E520" t="b">
        <v>1</v>
      </c>
    </row>
    <row r="521" spans="1:7" x14ac:dyDescent="0.2">
      <c r="A521" t="s">
        <v>1632</v>
      </c>
      <c r="B521" t="s">
        <v>1458</v>
      </c>
      <c r="C521" t="s">
        <v>1441</v>
      </c>
      <c r="D521" t="s">
        <v>476</v>
      </c>
      <c r="E521" t="b">
        <v>1</v>
      </c>
      <c r="G521" t="s">
        <v>1633</v>
      </c>
    </row>
    <row r="522" spans="1:7" x14ac:dyDescent="0.2">
      <c r="A522" t="s">
        <v>1634</v>
      </c>
      <c r="B522" t="s">
        <v>1463</v>
      </c>
      <c r="C522" t="s">
        <v>160</v>
      </c>
      <c r="D522" t="s">
        <v>476</v>
      </c>
      <c r="E522" t="b">
        <v>1</v>
      </c>
    </row>
    <row r="523" spans="1:7" x14ac:dyDescent="0.2">
      <c r="A523" t="s">
        <v>1635</v>
      </c>
      <c r="B523" t="s">
        <v>1463</v>
      </c>
      <c r="C523" t="s">
        <v>185</v>
      </c>
      <c r="D523" t="s">
        <v>478</v>
      </c>
      <c r="E523" t="b">
        <v>1</v>
      </c>
    </row>
    <row r="524" spans="1:7" x14ac:dyDescent="0.2">
      <c r="A524" t="s">
        <v>1636</v>
      </c>
      <c r="B524" t="s">
        <v>1463</v>
      </c>
      <c r="C524" t="s">
        <v>1441</v>
      </c>
      <c r="D524" t="s">
        <v>476</v>
      </c>
      <c r="E524" t="b">
        <v>1</v>
      </c>
      <c r="G524" t="s">
        <v>1633</v>
      </c>
    </row>
    <row r="525" spans="1:7" x14ac:dyDescent="0.2">
      <c r="A525" t="s">
        <v>1637</v>
      </c>
      <c r="B525" t="s">
        <v>1463</v>
      </c>
      <c r="C525" t="s">
        <v>1438</v>
      </c>
      <c r="D525" t="s">
        <v>476</v>
      </c>
      <c r="E525" t="b">
        <v>1</v>
      </c>
      <c r="G525" t="s">
        <v>1633</v>
      </c>
    </row>
    <row r="526" spans="1:7" x14ac:dyDescent="0.2">
      <c r="A526" t="s">
        <v>1638</v>
      </c>
      <c r="B526" t="s">
        <v>1468</v>
      </c>
      <c r="C526" t="s">
        <v>1455</v>
      </c>
      <c r="D526" t="s">
        <v>476</v>
      </c>
      <c r="E526" t="b">
        <v>1</v>
      </c>
    </row>
    <row r="527" spans="1:7" x14ac:dyDescent="0.2">
      <c r="A527" t="s">
        <v>1639</v>
      </c>
      <c r="B527" t="s">
        <v>1468</v>
      </c>
      <c r="C527" t="s">
        <v>183</v>
      </c>
      <c r="D527" t="s">
        <v>478</v>
      </c>
      <c r="E527" t="b">
        <v>1</v>
      </c>
    </row>
    <row r="528" spans="1:7" x14ac:dyDescent="0.2">
      <c r="A528" t="s">
        <v>1640</v>
      </c>
      <c r="B528" t="s">
        <v>1472</v>
      </c>
      <c r="C528" t="s">
        <v>160</v>
      </c>
      <c r="D528" t="s">
        <v>476</v>
      </c>
      <c r="E528" t="b">
        <v>1</v>
      </c>
    </row>
    <row r="529" spans="1:7" x14ac:dyDescent="0.2">
      <c r="A529" t="s">
        <v>1641</v>
      </c>
      <c r="B529" t="s">
        <v>1472</v>
      </c>
      <c r="C529" t="s">
        <v>169</v>
      </c>
      <c r="D529" t="s">
        <v>478</v>
      </c>
      <c r="E529" t="b">
        <v>1</v>
      </c>
    </row>
    <row r="530" spans="1:7" x14ac:dyDescent="0.2">
      <c r="A530" t="s">
        <v>1642</v>
      </c>
      <c r="B530" t="s">
        <v>1472</v>
      </c>
      <c r="C530" t="s">
        <v>1438</v>
      </c>
      <c r="D530" t="s">
        <v>476</v>
      </c>
      <c r="E530" t="b">
        <v>1</v>
      </c>
      <c r="G530" t="s">
        <v>1633</v>
      </c>
    </row>
    <row r="531" spans="1:7" x14ac:dyDescent="0.2">
      <c r="A531" t="s">
        <v>1643</v>
      </c>
      <c r="B531" t="s">
        <v>1472</v>
      </c>
      <c r="C531" t="s">
        <v>1441</v>
      </c>
      <c r="D531" t="s">
        <v>476</v>
      </c>
      <c r="E531" t="b">
        <v>1</v>
      </c>
      <c r="G531" t="s">
        <v>1633</v>
      </c>
    </row>
    <row r="532" spans="1:7" x14ac:dyDescent="0.2">
      <c r="A532" t="s">
        <v>1644</v>
      </c>
      <c r="B532" t="s">
        <v>1472</v>
      </c>
      <c r="C532" t="s">
        <v>1449</v>
      </c>
      <c r="D532" t="s">
        <v>476</v>
      </c>
      <c r="E532" t="b">
        <v>1</v>
      </c>
      <c r="G532" t="s">
        <v>1633</v>
      </c>
    </row>
    <row r="533" spans="1:7" x14ac:dyDescent="0.2">
      <c r="A533" t="s">
        <v>1645</v>
      </c>
      <c r="B533" t="s">
        <v>1472</v>
      </c>
      <c r="C533" t="s">
        <v>1445</v>
      </c>
      <c r="D533" t="s">
        <v>476</v>
      </c>
      <c r="E533" t="b">
        <v>1</v>
      </c>
      <c r="G533" t="s">
        <v>1633</v>
      </c>
    </row>
    <row r="534" spans="1:7" x14ac:dyDescent="0.2">
      <c r="A534" t="s">
        <v>1646</v>
      </c>
      <c r="B534" t="s">
        <v>1477</v>
      </c>
      <c r="C534" t="s">
        <v>1438</v>
      </c>
      <c r="D534" t="s">
        <v>476</v>
      </c>
      <c r="E534" t="b">
        <v>1</v>
      </c>
    </row>
    <row r="535" spans="1:7" x14ac:dyDescent="0.2">
      <c r="A535" t="s">
        <v>1647</v>
      </c>
      <c r="B535" t="s">
        <v>1477</v>
      </c>
      <c r="C535" t="s">
        <v>169</v>
      </c>
      <c r="D535" t="s">
        <v>478</v>
      </c>
      <c r="E535" t="b">
        <v>1</v>
      </c>
    </row>
    <row r="536" spans="1:7" x14ac:dyDescent="0.2">
      <c r="A536" t="s">
        <v>1648</v>
      </c>
      <c r="B536" t="s">
        <v>1477</v>
      </c>
      <c r="C536" t="s">
        <v>160</v>
      </c>
      <c r="D536" t="s">
        <v>476</v>
      </c>
      <c r="E536" t="b">
        <v>1</v>
      </c>
      <c r="G536" t="s">
        <v>1633</v>
      </c>
    </row>
    <row r="537" spans="1:7" x14ac:dyDescent="0.2">
      <c r="A537" t="s">
        <v>1649</v>
      </c>
      <c r="B537" t="s">
        <v>1477</v>
      </c>
      <c r="C537" t="s">
        <v>1445</v>
      </c>
      <c r="D537" t="s">
        <v>476</v>
      </c>
      <c r="E537" t="b">
        <v>1</v>
      </c>
      <c r="G537" t="s">
        <v>1633</v>
      </c>
    </row>
    <row r="538" spans="1:7" x14ac:dyDescent="0.2">
      <c r="A538" t="s">
        <v>1650</v>
      </c>
      <c r="B538" t="s">
        <v>1481</v>
      </c>
      <c r="C538" t="s">
        <v>160</v>
      </c>
      <c r="D538" t="s">
        <v>476</v>
      </c>
      <c r="E538" t="b">
        <v>1</v>
      </c>
    </row>
    <row r="539" spans="1:7" x14ac:dyDescent="0.2">
      <c r="A539" t="s">
        <v>1651</v>
      </c>
      <c r="B539" t="s">
        <v>1481</v>
      </c>
      <c r="C539" t="s">
        <v>169</v>
      </c>
      <c r="D539" t="s">
        <v>478</v>
      </c>
      <c r="E539" t="b">
        <v>1</v>
      </c>
    </row>
    <row r="540" spans="1:7" x14ac:dyDescent="0.2">
      <c r="A540" t="s">
        <v>1652</v>
      </c>
      <c r="B540" t="s">
        <v>1485</v>
      </c>
      <c r="C540" t="s">
        <v>1455</v>
      </c>
      <c r="D540" t="s">
        <v>476</v>
      </c>
      <c r="E540" t="b">
        <v>1</v>
      </c>
    </row>
    <row r="541" spans="1:7" x14ac:dyDescent="0.2">
      <c r="A541" t="s">
        <v>1653</v>
      </c>
      <c r="B541" t="s">
        <v>1485</v>
      </c>
      <c r="C541" t="s">
        <v>169</v>
      </c>
      <c r="D541" t="s">
        <v>478</v>
      </c>
      <c r="E541" t="b">
        <v>1</v>
      </c>
    </row>
    <row r="542" spans="1:7" x14ac:dyDescent="0.2">
      <c r="A542" t="s">
        <v>1654</v>
      </c>
      <c r="B542" t="s">
        <v>1488</v>
      </c>
      <c r="C542" t="s">
        <v>1438</v>
      </c>
      <c r="D542" t="s">
        <v>476</v>
      </c>
      <c r="E542" t="b">
        <v>1</v>
      </c>
    </row>
    <row r="543" spans="1:7" x14ac:dyDescent="0.2">
      <c r="A543" t="s">
        <v>1655</v>
      </c>
      <c r="B543" t="s">
        <v>1488</v>
      </c>
      <c r="C543" t="s">
        <v>169</v>
      </c>
      <c r="D543" t="s">
        <v>478</v>
      </c>
      <c r="E543" t="b">
        <v>1</v>
      </c>
    </row>
    <row r="544" spans="1:7" x14ac:dyDescent="0.2">
      <c r="A544" t="s">
        <v>1656</v>
      </c>
      <c r="B544" t="s">
        <v>1491</v>
      </c>
      <c r="C544" t="s">
        <v>1443</v>
      </c>
      <c r="D544" t="s">
        <v>476</v>
      </c>
      <c r="E544" t="b">
        <v>1</v>
      </c>
    </row>
    <row r="545" spans="1:5" x14ac:dyDescent="0.2">
      <c r="A545" t="s">
        <v>1657</v>
      </c>
      <c r="B545" t="s">
        <v>1491</v>
      </c>
      <c r="C545" t="s">
        <v>169</v>
      </c>
      <c r="D545" t="s">
        <v>478</v>
      </c>
      <c r="E545" t="b">
        <v>1</v>
      </c>
    </row>
    <row r="546" spans="1:5" x14ac:dyDescent="0.2">
      <c r="A546" t="s">
        <v>1658</v>
      </c>
      <c r="B546" t="s">
        <v>1493</v>
      </c>
      <c r="C546" t="s">
        <v>160</v>
      </c>
      <c r="D546" t="s">
        <v>476</v>
      </c>
      <c r="E546" t="b">
        <v>1</v>
      </c>
    </row>
    <row r="547" spans="1:5" x14ac:dyDescent="0.2">
      <c r="A547" t="s">
        <v>1659</v>
      </c>
      <c r="B547" t="s">
        <v>1493</v>
      </c>
      <c r="C547" t="s">
        <v>169</v>
      </c>
      <c r="D547" t="s">
        <v>478</v>
      </c>
      <c r="E547" t="b">
        <v>1</v>
      </c>
    </row>
    <row r="548" spans="1:5" x14ac:dyDescent="0.2">
      <c r="A548" t="s">
        <v>1660</v>
      </c>
      <c r="B548" t="s">
        <v>1495</v>
      </c>
      <c r="C548" t="s">
        <v>1445</v>
      </c>
      <c r="D548" t="s">
        <v>476</v>
      </c>
      <c r="E548" t="b">
        <v>1</v>
      </c>
    </row>
    <row r="549" spans="1:5" x14ac:dyDescent="0.2">
      <c r="A549" t="s">
        <v>1661</v>
      </c>
      <c r="B549" t="s">
        <v>1495</v>
      </c>
      <c r="C549" t="s">
        <v>169</v>
      </c>
      <c r="D549" t="s">
        <v>478</v>
      </c>
      <c r="E549" t="b">
        <v>1</v>
      </c>
    </row>
    <row r="550" spans="1:5" x14ac:dyDescent="0.2">
      <c r="A550" t="s">
        <v>1662</v>
      </c>
      <c r="B550" t="s">
        <v>1497</v>
      </c>
      <c r="C550" t="s">
        <v>160</v>
      </c>
      <c r="D550" t="s">
        <v>476</v>
      </c>
      <c r="E550" t="b">
        <v>1</v>
      </c>
    </row>
    <row r="551" spans="1:5" x14ac:dyDescent="0.2">
      <c r="A551" t="s">
        <v>1663</v>
      </c>
      <c r="B551" t="s">
        <v>1497</v>
      </c>
      <c r="C551" t="s">
        <v>169</v>
      </c>
      <c r="D551" t="s">
        <v>478</v>
      </c>
      <c r="E551" t="b">
        <v>1</v>
      </c>
    </row>
    <row r="552" spans="1:5" x14ac:dyDescent="0.2">
      <c r="A552" t="s">
        <v>1664</v>
      </c>
      <c r="B552" t="s">
        <v>1500</v>
      </c>
      <c r="C552" t="s">
        <v>160</v>
      </c>
      <c r="D552" t="s">
        <v>476</v>
      </c>
      <c r="E552" t="b">
        <v>1</v>
      </c>
    </row>
    <row r="553" spans="1:5" x14ac:dyDescent="0.2">
      <c r="A553" t="s">
        <v>1665</v>
      </c>
      <c r="B553" t="s">
        <v>1500</v>
      </c>
      <c r="C553" t="s">
        <v>169</v>
      </c>
      <c r="D553" t="s">
        <v>478</v>
      </c>
      <c r="E553" t="b">
        <v>1</v>
      </c>
    </row>
    <row r="554" spans="1:5" x14ac:dyDescent="0.2">
      <c r="A554" t="s">
        <v>1666</v>
      </c>
      <c r="B554" t="s">
        <v>1503</v>
      </c>
      <c r="C554" t="s">
        <v>160</v>
      </c>
      <c r="D554" t="s">
        <v>476</v>
      </c>
      <c r="E554" t="b">
        <v>1</v>
      </c>
    </row>
    <row r="555" spans="1:5" x14ac:dyDescent="0.2">
      <c r="A555" t="s">
        <v>1667</v>
      </c>
      <c r="B555" t="s">
        <v>1503</v>
      </c>
      <c r="C555" t="s">
        <v>181</v>
      </c>
      <c r="D555" t="s">
        <v>478</v>
      </c>
      <c r="E555" t="b">
        <v>1</v>
      </c>
    </row>
    <row r="556" spans="1:5" x14ac:dyDescent="0.2">
      <c r="A556" t="s">
        <v>1668</v>
      </c>
      <c r="B556" t="s">
        <v>1507</v>
      </c>
      <c r="C556" t="s">
        <v>160</v>
      </c>
      <c r="D556" t="s">
        <v>476</v>
      </c>
      <c r="E556" t="b">
        <v>1</v>
      </c>
    </row>
    <row r="557" spans="1:5" x14ac:dyDescent="0.2">
      <c r="A557" t="s">
        <v>1669</v>
      </c>
      <c r="B557" t="s">
        <v>1507</v>
      </c>
      <c r="C557" t="s">
        <v>181</v>
      </c>
      <c r="D557" t="s">
        <v>478</v>
      </c>
      <c r="E557" t="b">
        <v>1</v>
      </c>
    </row>
    <row r="558" spans="1:5" x14ac:dyDescent="0.2">
      <c r="A558" t="s">
        <v>1670</v>
      </c>
      <c r="B558" t="s">
        <v>1509</v>
      </c>
      <c r="C558" t="s">
        <v>160</v>
      </c>
      <c r="D558" t="s">
        <v>476</v>
      </c>
      <c r="E558" t="b">
        <v>1</v>
      </c>
    </row>
    <row r="559" spans="1:5" x14ac:dyDescent="0.2">
      <c r="A559" t="s">
        <v>1671</v>
      </c>
      <c r="B559" t="s">
        <v>1509</v>
      </c>
      <c r="C559" t="s">
        <v>181</v>
      </c>
      <c r="D559" t="s">
        <v>478</v>
      </c>
      <c r="E559" t="b">
        <v>1</v>
      </c>
    </row>
    <row r="560" spans="1:5" x14ac:dyDescent="0.2">
      <c r="A560" t="s">
        <v>1672</v>
      </c>
      <c r="B560" t="s">
        <v>1511</v>
      </c>
      <c r="C560" t="s">
        <v>160</v>
      </c>
      <c r="D560" t="s">
        <v>476</v>
      </c>
      <c r="E560" t="b">
        <v>1</v>
      </c>
    </row>
    <row r="561" spans="1:5" x14ac:dyDescent="0.2">
      <c r="A561" t="s">
        <v>1673</v>
      </c>
      <c r="B561" t="s">
        <v>1511</v>
      </c>
      <c r="C561" t="s">
        <v>181</v>
      </c>
      <c r="D561" t="s">
        <v>478</v>
      </c>
      <c r="E561" t="b">
        <v>1</v>
      </c>
    </row>
    <row r="562" spans="1:5" x14ac:dyDescent="0.2">
      <c r="A562" t="s">
        <v>1674</v>
      </c>
      <c r="B562" t="s">
        <v>1514</v>
      </c>
      <c r="C562" t="s">
        <v>160</v>
      </c>
      <c r="D562" t="s">
        <v>476</v>
      </c>
      <c r="E562" t="b">
        <v>1</v>
      </c>
    </row>
    <row r="563" spans="1:5" x14ac:dyDescent="0.2">
      <c r="A563" t="s">
        <v>1675</v>
      </c>
      <c r="B563" t="s">
        <v>1514</v>
      </c>
      <c r="C563" t="s">
        <v>165</v>
      </c>
      <c r="D563" t="s">
        <v>478</v>
      </c>
      <c r="E563" t="b">
        <v>1</v>
      </c>
    </row>
    <row r="564" spans="1:5" x14ac:dyDescent="0.2">
      <c r="A564" t="s">
        <v>1676</v>
      </c>
      <c r="B564" t="s">
        <v>1519</v>
      </c>
      <c r="C564" t="s">
        <v>160</v>
      </c>
      <c r="D564" t="s">
        <v>476</v>
      </c>
      <c r="E564" t="b">
        <v>1</v>
      </c>
    </row>
    <row r="565" spans="1:5" x14ac:dyDescent="0.2">
      <c r="A565" t="s">
        <v>1677</v>
      </c>
      <c r="B565" t="s">
        <v>1519</v>
      </c>
      <c r="C565" t="s">
        <v>165</v>
      </c>
      <c r="D565" t="s">
        <v>478</v>
      </c>
      <c r="E565" t="b">
        <v>1</v>
      </c>
    </row>
    <row r="566" spans="1:5" x14ac:dyDescent="0.2">
      <c r="A566" t="s">
        <v>1678</v>
      </c>
      <c r="B566" t="s">
        <v>1523</v>
      </c>
      <c r="C566" t="s">
        <v>160</v>
      </c>
      <c r="D566" t="s">
        <v>476</v>
      </c>
      <c r="E566" t="b">
        <v>1</v>
      </c>
    </row>
    <row r="567" spans="1:5" x14ac:dyDescent="0.2">
      <c r="A567" t="s">
        <v>1679</v>
      </c>
      <c r="B567" t="s">
        <v>1523</v>
      </c>
      <c r="C567" t="s">
        <v>165</v>
      </c>
      <c r="D567" t="s">
        <v>478</v>
      </c>
      <c r="E567" t="b">
        <v>1</v>
      </c>
    </row>
    <row r="568" spans="1:5" x14ac:dyDescent="0.2">
      <c r="A568" t="s">
        <v>1680</v>
      </c>
      <c r="B568" t="s">
        <v>1527</v>
      </c>
      <c r="C568" t="s">
        <v>160</v>
      </c>
      <c r="D568" t="s">
        <v>476</v>
      </c>
      <c r="E568" t="b">
        <v>1</v>
      </c>
    </row>
    <row r="569" spans="1:5" x14ac:dyDescent="0.2">
      <c r="A569" t="s">
        <v>1681</v>
      </c>
      <c r="B569" t="s">
        <v>1527</v>
      </c>
      <c r="C569" t="s">
        <v>165</v>
      </c>
      <c r="D569" t="s">
        <v>478</v>
      </c>
      <c r="E569" t="b">
        <v>1</v>
      </c>
    </row>
    <row r="570" spans="1:5" x14ac:dyDescent="0.2">
      <c r="A570" t="s">
        <v>1682</v>
      </c>
      <c r="B570" t="s">
        <v>1530</v>
      </c>
      <c r="C570" t="s">
        <v>160</v>
      </c>
      <c r="D570" t="s">
        <v>476</v>
      </c>
      <c r="E570" t="b">
        <v>1</v>
      </c>
    </row>
    <row r="571" spans="1:5" x14ac:dyDescent="0.2">
      <c r="A571" t="s">
        <v>1683</v>
      </c>
      <c r="B571" t="s">
        <v>1530</v>
      </c>
      <c r="C571" t="s">
        <v>167</v>
      </c>
      <c r="D571" t="s">
        <v>478</v>
      </c>
      <c r="E571" t="b">
        <v>1</v>
      </c>
    </row>
    <row r="572" spans="1:5" x14ac:dyDescent="0.2">
      <c r="A572" t="s">
        <v>1684</v>
      </c>
      <c r="B572" t="s">
        <v>1534</v>
      </c>
      <c r="C572" t="s">
        <v>160</v>
      </c>
      <c r="D572" t="s">
        <v>476</v>
      </c>
      <c r="E572" t="b">
        <v>1</v>
      </c>
    </row>
    <row r="573" spans="1:5" x14ac:dyDescent="0.2">
      <c r="A573" t="s">
        <v>1685</v>
      </c>
      <c r="B573" t="s">
        <v>1534</v>
      </c>
      <c r="C573" t="s">
        <v>167</v>
      </c>
      <c r="D573" t="s">
        <v>478</v>
      </c>
      <c r="E573" t="b">
        <v>1</v>
      </c>
    </row>
    <row r="574" spans="1:5" x14ac:dyDescent="0.2">
      <c r="A574" t="s">
        <v>1686</v>
      </c>
      <c r="B574" t="s">
        <v>1537</v>
      </c>
      <c r="C574" t="s">
        <v>160</v>
      </c>
      <c r="D574" t="s">
        <v>476</v>
      </c>
      <c r="E574" t="b">
        <v>1</v>
      </c>
    </row>
    <row r="575" spans="1:5" x14ac:dyDescent="0.2">
      <c r="A575" t="s">
        <v>1687</v>
      </c>
      <c r="B575" t="s">
        <v>1537</v>
      </c>
      <c r="C575" t="s">
        <v>167</v>
      </c>
      <c r="D575" t="s">
        <v>478</v>
      </c>
      <c r="E575" t="b">
        <v>1</v>
      </c>
    </row>
    <row r="576" spans="1:5" x14ac:dyDescent="0.2">
      <c r="A576" t="s">
        <v>1688</v>
      </c>
      <c r="B576" t="s">
        <v>1540</v>
      </c>
      <c r="C576" t="s">
        <v>160</v>
      </c>
      <c r="D576" t="s">
        <v>476</v>
      </c>
      <c r="E576" t="b">
        <v>1</v>
      </c>
    </row>
    <row r="577" spans="1:5" x14ac:dyDescent="0.2">
      <c r="A577" t="s">
        <v>1689</v>
      </c>
      <c r="B577" t="s">
        <v>1540</v>
      </c>
      <c r="C577" t="s">
        <v>167</v>
      </c>
      <c r="D577" t="s">
        <v>478</v>
      </c>
      <c r="E577" t="b">
        <v>1</v>
      </c>
    </row>
    <row r="578" spans="1:5" x14ac:dyDescent="0.2">
      <c r="A578" t="s">
        <v>1690</v>
      </c>
      <c r="B578" t="s">
        <v>1543</v>
      </c>
      <c r="C578" t="s">
        <v>160</v>
      </c>
      <c r="D578" t="s">
        <v>476</v>
      </c>
      <c r="E578" t="b">
        <v>1</v>
      </c>
    </row>
    <row r="579" spans="1:5" x14ac:dyDescent="0.2">
      <c r="A579" t="s">
        <v>1691</v>
      </c>
      <c r="B579" t="s">
        <v>1543</v>
      </c>
      <c r="C579" t="s">
        <v>167</v>
      </c>
      <c r="D579" t="s">
        <v>478</v>
      </c>
      <c r="E579" t="b">
        <v>1</v>
      </c>
    </row>
    <row r="580" spans="1:5" x14ac:dyDescent="0.2">
      <c r="A580" t="s">
        <v>1692</v>
      </c>
      <c r="B580" t="s">
        <v>1545</v>
      </c>
      <c r="C580" t="s">
        <v>160</v>
      </c>
      <c r="D580" t="s">
        <v>476</v>
      </c>
      <c r="E580" t="b">
        <v>1</v>
      </c>
    </row>
    <row r="581" spans="1:5" x14ac:dyDescent="0.2">
      <c r="A581" t="s">
        <v>1693</v>
      </c>
      <c r="B581" t="s">
        <v>1545</v>
      </c>
      <c r="C581" t="s">
        <v>167</v>
      </c>
      <c r="D581" t="s">
        <v>478</v>
      </c>
      <c r="E581" t="b">
        <v>1</v>
      </c>
    </row>
    <row r="582" spans="1:5" x14ac:dyDescent="0.2">
      <c r="A582" t="s">
        <v>1694</v>
      </c>
      <c r="B582" t="s">
        <v>1548</v>
      </c>
      <c r="C582" t="s">
        <v>160</v>
      </c>
      <c r="D582" t="s">
        <v>476</v>
      </c>
      <c r="E582" t="b">
        <v>1</v>
      </c>
    </row>
    <row r="583" spans="1:5" x14ac:dyDescent="0.2">
      <c r="A583" t="s">
        <v>1695</v>
      </c>
      <c r="B583" t="s">
        <v>1548</v>
      </c>
      <c r="C583" t="s">
        <v>173</v>
      </c>
      <c r="D583" t="s">
        <v>478</v>
      </c>
      <c r="E583" t="b">
        <v>1</v>
      </c>
    </row>
    <row r="584" spans="1:5" x14ac:dyDescent="0.2">
      <c r="A584" t="s">
        <v>1696</v>
      </c>
      <c r="B584" t="s">
        <v>1551</v>
      </c>
      <c r="C584" t="s">
        <v>1438</v>
      </c>
      <c r="D584" t="s">
        <v>476</v>
      </c>
      <c r="E584" t="b">
        <v>1</v>
      </c>
    </row>
    <row r="585" spans="1:5" x14ac:dyDescent="0.2">
      <c r="A585" t="s">
        <v>1697</v>
      </c>
      <c r="B585" t="s">
        <v>1551</v>
      </c>
      <c r="C585" t="s">
        <v>173</v>
      </c>
      <c r="D585" t="s">
        <v>478</v>
      </c>
      <c r="E585" t="b">
        <v>1</v>
      </c>
    </row>
    <row r="586" spans="1:5" x14ac:dyDescent="0.2">
      <c r="A586" t="s">
        <v>1698</v>
      </c>
      <c r="B586" t="s">
        <v>1553</v>
      </c>
      <c r="C586" t="s">
        <v>160</v>
      </c>
      <c r="D586" t="s">
        <v>476</v>
      </c>
      <c r="E586" t="b">
        <v>1</v>
      </c>
    </row>
    <row r="587" spans="1:5" x14ac:dyDescent="0.2">
      <c r="A587" t="s">
        <v>1699</v>
      </c>
      <c r="B587" t="s">
        <v>1553</v>
      </c>
      <c r="C587" t="s">
        <v>173</v>
      </c>
      <c r="D587" t="s">
        <v>478</v>
      </c>
      <c r="E587" t="b">
        <v>1</v>
      </c>
    </row>
    <row r="588" spans="1:5" x14ac:dyDescent="0.2">
      <c r="A588" t="s">
        <v>1700</v>
      </c>
      <c r="B588" t="s">
        <v>1555</v>
      </c>
      <c r="C588" t="s">
        <v>160</v>
      </c>
      <c r="D588" t="s">
        <v>476</v>
      </c>
      <c r="E588" t="b">
        <v>1</v>
      </c>
    </row>
    <row r="589" spans="1:5" x14ac:dyDescent="0.2">
      <c r="A589" t="s">
        <v>1701</v>
      </c>
      <c r="B589" t="s">
        <v>1555</v>
      </c>
      <c r="C589" t="s">
        <v>173</v>
      </c>
      <c r="D589" t="s">
        <v>478</v>
      </c>
      <c r="E589" t="b">
        <v>1</v>
      </c>
    </row>
    <row r="590" spans="1:5" x14ac:dyDescent="0.2">
      <c r="A590" t="s">
        <v>1702</v>
      </c>
      <c r="B590" t="s">
        <v>1559</v>
      </c>
      <c r="C590" t="s">
        <v>1438</v>
      </c>
      <c r="D590" t="s">
        <v>476</v>
      </c>
      <c r="E590" t="b">
        <v>1</v>
      </c>
    </row>
    <row r="591" spans="1:5" x14ac:dyDescent="0.2">
      <c r="A591" t="s">
        <v>1703</v>
      </c>
      <c r="B591" t="s">
        <v>1559</v>
      </c>
      <c r="C591" t="s">
        <v>173</v>
      </c>
      <c r="D591" t="s">
        <v>478</v>
      </c>
      <c r="E591" t="b">
        <v>1</v>
      </c>
    </row>
    <row r="592" spans="1:5" x14ac:dyDescent="0.2">
      <c r="A592" t="s">
        <v>1704</v>
      </c>
      <c r="B592" t="s">
        <v>1562</v>
      </c>
      <c r="C592" t="s">
        <v>160</v>
      </c>
      <c r="D592" t="s">
        <v>476</v>
      </c>
      <c r="E592" t="b">
        <v>1</v>
      </c>
    </row>
    <row r="593" spans="1:5" x14ac:dyDescent="0.2">
      <c r="A593" t="s">
        <v>1705</v>
      </c>
      <c r="B593" t="s">
        <v>1562</v>
      </c>
      <c r="C593" t="s">
        <v>173</v>
      </c>
      <c r="D593" t="s">
        <v>478</v>
      </c>
      <c r="E593" t="b">
        <v>1</v>
      </c>
    </row>
    <row r="594" spans="1:5" x14ac:dyDescent="0.2">
      <c r="A594" t="s">
        <v>1706</v>
      </c>
      <c r="B594" t="s">
        <v>1564</v>
      </c>
      <c r="C594" t="s">
        <v>160</v>
      </c>
      <c r="D594" t="s">
        <v>476</v>
      </c>
      <c r="E594" t="b">
        <v>1</v>
      </c>
    </row>
    <row r="595" spans="1:5" x14ac:dyDescent="0.2">
      <c r="A595" t="s">
        <v>1707</v>
      </c>
      <c r="B595" t="s">
        <v>1564</v>
      </c>
      <c r="C595" t="s">
        <v>173</v>
      </c>
      <c r="D595" t="s">
        <v>478</v>
      </c>
      <c r="E595" t="b">
        <v>1</v>
      </c>
    </row>
    <row r="596" spans="1:5" x14ac:dyDescent="0.2">
      <c r="A596" t="s">
        <v>1708</v>
      </c>
      <c r="B596" t="s">
        <v>1567</v>
      </c>
      <c r="C596" t="s">
        <v>1449</v>
      </c>
      <c r="D596" t="s">
        <v>476</v>
      </c>
      <c r="E596" t="b">
        <v>1</v>
      </c>
    </row>
    <row r="597" spans="1:5" x14ac:dyDescent="0.2">
      <c r="A597" t="s">
        <v>1709</v>
      </c>
      <c r="B597" t="s">
        <v>1567</v>
      </c>
      <c r="C597" t="s">
        <v>173</v>
      </c>
      <c r="D597" t="s">
        <v>478</v>
      </c>
      <c r="E597" t="b">
        <v>1</v>
      </c>
    </row>
    <row r="598" spans="1:5" x14ac:dyDescent="0.2">
      <c r="A598" t="s">
        <v>1710</v>
      </c>
      <c r="B598" t="s">
        <v>1570</v>
      </c>
      <c r="C598" t="s">
        <v>160</v>
      </c>
      <c r="D598" t="s">
        <v>476</v>
      </c>
      <c r="E598" t="b">
        <v>1</v>
      </c>
    </row>
    <row r="599" spans="1:5" x14ac:dyDescent="0.2">
      <c r="A599" t="s">
        <v>1711</v>
      </c>
      <c r="B599" t="s">
        <v>1570</v>
      </c>
      <c r="C599" t="s">
        <v>175</v>
      </c>
      <c r="D599" t="s">
        <v>478</v>
      </c>
      <c r="E599" t="b">
        <v>1</v>
      </c>
    </row>
    <row r="600" spans="1:5" x14ac:dyDescent="0.2">
      <c r="A600" t="s">
        <v>1712</v>
      </c>
      <c r="B600" t="s">
        <v>1575</v>
      </c>
      <c r="C600" t="s">
        <v>160</v>
      </c>
      <c r="D600" t="s">
        <v>476</v>
      </c>
      <c r="E600" t="b">
        <v>1</v>
      </c>
    </row>
    <row r="601" spans="1:5" x14ac:dyDescent="0.2">
      <c r="A601" t="s">
        <v>1713</v>
      </c>
      <c r="B601" t="s">
        <v>1575</v>
      </c>
      <c r="C601" t="s">
        <v>175</v>
      </c>
      <c r="D601" t="s">
        <v>478</v>
      </c>
      <c r="E601" t="b">
        <v>1</v>
      </c>
    </row>
    <row r="602" spans="1:5" x14ac:dyDescent="0.2">
      <c r="A602" t="s">
        <v>1714</v>
      </c>
      <c r="B602" t="s">
        <v>1578</v>
      </c>
      <c r="C602" t="s">
        <v>160</v>
      </c>
      <c r="D602" t="s">
        <v>476</v>
      </c>
      <c r="E602" t="b">
        <v>1</v>
      </c>
    </row>
    <row r="603" spans="1:5" x14ac:dyDescent="0.2">
      <c r="A603" t="s">
        <v>1715</v>
      </c>
      <c r="B603" t="s">
        <v>1578</v>
      </c>
      <c r="C603" t="s">
        <v>175</v>
      </c>
      <c r="D603" t="s">
        <v>478</v>
      </c>
      <c r="E603" t="b">
        <v>1</v>
      </c>
    </row>
    <row r="604" spans="1:5" x14ac:dyDescent="0.2">
      <c r="A604" t="s">
        <v>1716</v>
      </c>
      <c r="B604" t="s">
        <v>1583</v>
      </c>
      <c r="C604" t="s">
        <v>1455</v>
      </c>
      <c r="D604" t="s">
        <v>476</v>
      </c>
      <c r="E604" t="b">
        <v>1</v>
      </c>
    </row>
    <row r="605" spans="1:5" x14ac:dyDescent="0.2">
      <c r="A605" t="s">
        <v>1717</v>
      </c>
      <c r="B605" t="s">
        <v>1583</v>
      </c>
      <c r="C605" t="s">
        <v>175</v>
      </c>
      <c r="D605" t="s">
        <v>478</v>
      </c>
      <c r="E605" t="b">
        <v>1</v>
      </c>
    </row>
    <row r="606" spans="1:5" x14ac:dyDescent="0.2">
      <c r="A606" t="s">
        <v>1718</v>
      </c>
      <c r="B606" t="s">
        <v>1586</v>
      </c>
      <c r="C606" t="s">
        <v>160</v>
      </c>
      <c r="D606" t="s">
        <v>476</v>
      </c>
      <c r="E606" t="b">
        <v>1</v>
      </c>
    </row>
    <row r="607" spans="1:5" x14ac:dyDescent="0.2">
      <c r="A607" t="s">
        <v>1719</v>
      </c>
      <c r="B607" t="s">
        <v>1586</v>
      </c>
      <c r="C607" t="s">
        <v>175</v>
      </c>
      <c r="D607" t="s">
        <v>478</v>
      </c>
      <c r="E607" t="b">
        <v>1</v>
      </c>
    </row>
    <row r="608" spans="1:5" x14ac:dyDescent="0.2">
      <c r="A608" t="s">
        <v>1720</v>
      </c>
      <c r="B608" t="s">
        <v>1589</v>
      </c>
      <c r="C608" t="s">
        <v>160</v>
      </c>
      <c r="D608" t="s">
        <v>476</v>
      </c>
      <c r="E608" t="b">
        <v>1</v>
      </c>
    </row>
    <row r="609" spans="1:7" x14ac:dyDescent="0.2">
      <c r="A609" t="s">
        <v>1721</v>
      </c>
      <c r="B609" t="s">
        <v>1589</v>
      </c>
      <c r="C609" t="s">
        <v>175</v>
      </c>
      <c r="D609" t="s">
        <v>478</v>
      </c>
      <c r="E609" t="b">
        <v>1</v>
      </c>
    </row>
    <row r="610" spans="1:7" x14ac:dyDescent="0.2">
      <c r="A610" t="s">
        <v>1722</v>
      </c>
      <c r="B610" t="s">
        <v>1593</v>
      </c>
      <c r="C610" t="s">
        <v>160</v>
      </c>
      <c r="D610" t="s">
        <v>476</v>
      </c>
      <c r="E610" t="b">
        <v>1</v>
      </c>
    </row>
    <row r="611" spans="1:7" x14ac:dyDescent="0.2">
      <c r="A611" t="s">
        <v>1723</v>
      </c>
      <c r="B611" t="s">
        <v>1593</v>
      </c>
      <c r="C611" t="s">
        <v>175</v>
      </c>
      <c r="D611" t="s">
        <v>478</v>
      </c>
      <c r="E611" t="b">
        <v>1</v>
      </c>
    </row>
    <row r="612" spans="1:7" x14ac:dyDescent="0.2">
      <c r="A612" t="s">
        <v>1724</v>
      </c>
      <c r="B612" t="s">
        <v>1595</v>
      </c>
      <c r="C612" t="s">
        <v>160</v>
      </c>
      <c r="D612" t="s">
        <v>476</v>
      </c>
      <c r="E612" t="b">
        <v>1</v>
      </c>
    </row>
    <row r="613" spans="1:7" x14ac:dyDescent="0.2">
      <c r="A613" t="s">
        <v>1725</v>
      </c>
      <c r="B613" t="s">
        <v>1595</v>
      </c>
      <c r="C613" t="s">
        <v>175</v>
      </c>
      <c r="D613" t="s">
        <v>478</v>
      </c>
      <c r="E613" t="b">
        <v>1</v>
      </c>
    </row>
    <row r="614" spans="1:7" x14ac:dyDescent="0.2">
      <c r="A614" t="s">
        <v>1726</v>
      </c>
      <c r="B614" t="s">
        <v>1598</v>
      </c>
      <c r="C614" t="s">
        <v>160</v>
      </c>
      <c r="D614" t="s">
        <v>476</v>
      </c>
      <c r="E614" t="b">
        <v>1</v>
      </c>
    </row>
    <row r="615" spans="1:7" x14ac:dyDescent="0.2">
      <c r="A615" t="s">
        <v>1727</v>
      </c>
      <c r="B615" t="s">
        <v>1598</v>
      </c>
      <c r="C615" t="s">
        <v>175</v>
      </c>
      <c r="D615" t="s">
        <v>478</v>
      </c>
      <c r="E615" t="b">
        <v>1</v>
      </c>
    </row>
    <row r="616" spans="1:7" x14ac:dyDescent="0.2">
      <c r="A616" t="s">
        <v>1728</v>
      </c>
      <c r="B616" t="s">
        <v>1601</v>
      </c>
      <c r="C616" t="s">
        <v>160</v>
      </c>
      <c r="D616" t="s">
        <v>476</v>
      </c>
      <c r="E616" t="b">
        <v>1</v>
      </c>
    </row>
    <row r="617" spans="1:7" x14ac:dyDescent="0.2">
      <c r="A617" t="s">
        <v>1729</v>
      </c>
      <c r="B617" t="s">
        <v>1601</v>
      </c>
      <c r="C617" t="s">
        <v>175</v>
      </c>
      <c r="D617" t="s">
        <v>478</v>
      </c>
      <c r="E617" t="b">
        <v>1</v>
      </c>
    </row>
    <row r="618" spans="1:7" x14ac:dyDescent="0.2">
      <c r="A618" t="s">
        <v>1730</v>
      </c>
      <c r="B618" t="s">
        <v>1604</v>
      </c>
      <c r="C618" t="s">
        <v>160</v>
      </c>
      <c r="D618" t="s">
        <v>476</v>
      </c>
      <c r="E618" t="b">
        <v>1</v>
      </c>
    </row>
    <row r="619" spans="1:7" x14ac:dyDescent="0.2">
      <c r="A619" t="s">
        <v>1731</v>
      </c>
      <c r="B619" t="s">
        <v>1604</v>
      </c>
      <c r="C619" t="s">
        <v>177</v>
      </c>
      <c r="D619" t="s">
        <v>478</v>
      </c>
      <c r="E619" t="b">
        <v>1</v>
      </c>
    </row>
    <row r="620" spans="1:7" x14ac:dyDescent="0.2">
      <c r="A620" t="s">
        <v>1732</v>
      </c>
      <c r="B620" t="s">
        <v>1607</v>
      </c>
      <c r="C620" t="s">
        <v>160</v>
      </c>
      <c r="D620" t="s">
        <v>476</v>
      </c>
      <c r="E620" t="b">
        <v>1</v>
      </c>
    </row>
    <row r="621" spans="1:7" x14ac:dyDescent="0.2">
      <c r="A621" t="s">
        <v>1733</v>
      </c>
      <c r="B621" t="s">
        <v>1607</v>
      </c>
      <c r="C621" t="s">
        <v>179</v>
      </c>
      <c r="D621" t="s">
        <v>478</v>
      </c>
      <c r="E621" t="b">
        <v>1</v>
      </c>
    </row>
    <row r="622" spans="1:7" x14ac:dyDescent="0.2">
      <c r="A622" t="s">
        <v>1734</v>
      </c>
      <c r="B622" t="s">
        <v>1607</v>
      </c>
      <c r="C622" t="s">
        <v>1445</v>
      </c>
      <c r="D622" t="s">
        <v>476</v>
      </c>
      <c r="E622" t="b">
        <v>1</v>
      </c>
      <c r="G622" t="s">
        <v>1633</v>
      </c>
    </row>
    <row r="623" spans="1:7" x14ac:dyDescent="0.2">
      <c r="A623" t="s">
        <v>1735</v>
      </c>
      <c r="B623" t="s">
        <v>1607</v>
      </c>
      <c r="C623" t="s">
        <v>1447</v>
      </c>
      <c r="D623" t="s">
        <v>476</v>
      </c>
      <c r="E623" t="b">
        <v>1</v>
      </c>
      <c r="G623" t="s">
        <v>1633</v>
      </c>
    </row>
    <row r="624" spans="1:7" x14ac:dyDescent="0.2">
      <c r="A624" t="s">
        <v>1736</v>
      </c>
      <c r="B624" t="s">
        <v>1607</v>
      </c>
      <c r="C624" t="s">
        <v>1438</v>
      </c>
      <c r="D624" t="s">
        <v>476</v>
      </c>
      <c r="E624" t="b">
        <v>1</v>
      </c>
      <c r="G624" t="s">
        <v>1633</v>
      </c>
    </row>
    <row r="625" spans="1:7" x14ac:dyDescent="0.2">
      <c r="A625" t="s">
        <v>1737</v>
      </c>
      <c r="B625" t="s">
        <v>1607</v>
      </c>
      <c r="C625" t="s">
        <v>1441</v>
      </c>
      <c r="D625" t="s">
        <v>476</v>
      </c>
      <c r="E625" t="b">
        <v>1</v>
      </c>
      <c r="G625" t="s">
        <v>1633</v>
      </c>
    </row>
    <row r="626" spans="1:7" x14ac:dyDescent="0.2">
      <c r="A626" t="s">
        <v>1738</v>
      </c>
      <c r="B626" t="s">
        <v>1612</v>
      </c>
      <c r="C626" t="s">
        <v>160</v>
      </c>
      <c r="D626" t="s">
        <v>476</v>
      </c>
      <c r="E626" t="b">
        <v>1</v>
      </c>
    </row>
    <row r="627" spans="1:7" x14ac:dyDescent="0.2">
      <c r="A627" t="s">
        <v>1739</v>
      </c>
      <c r="B627" t="s">
        <v>1612</v>
      </c>
      <c r="C627" t="s">
        <v>179</v>
      </c>
      <c r="D627" t="s">
        <v>478</v>
      </c>
      <c r="E627" t="b">
        <v>1</v>
      </c>
    </row>
    <row r="628" spans="1:7" x14ac:dyDescent="0.2">
      <c r="A628" t="s">
        <v>1740</v>
      </c>
      <c r="B628" t="s">
        <v>1617</v>
      </c>
      <c r="C628" t="s">
        <v>160</v>
      </c>
      <c r="D628" t="s">
        <v>476</v>
      </c>
      <c r="E628" t="b">
        <v>1</v>
      </c>
    </row>
    <row r="629" spans="1:7" x14ac:dyDescent="0.2">
      <c r="A629" t="s">
        <v>1741</v>
      </c>
      <c r="B629" t="s">
        <v>1617</v>
      </c>
      <c r="C629" t="s">
        <v>179</v>
      </c>
      <c r="D629" t="s">
        <v>478</v>
      </c>
      <c r="E629" t="b">
        <v>1</v>
      </c>
    </row>
    <row r="630" spans="1:7" x14ac:dyDescent="0.2">
      <c r="A630" t="s">
        <v>1742</v>
      </c>
      <c r="B630" t="s">
        <v>203</v>
      </c>
      <c r="C630" t="s">
        <v>160</v>
      </c>
      <c r="D630" t="s">
        <v>476</v>
      </c>
      <c r="E630" t="b">
        <v>1</v>
      </c>
      <c r="G630" t="s">
        <v>1743</v>
      </c>
    </row>
    <row r="631" spans="1:7" x14ac:dyDescent="0.2">
      <c r="A631" t="s">
        <v>1744</v>
      </c>
      <c r="B631" t="s">
        <v>212</v>
      </c>
      <c r="C631" t="s">
        <v>160</v>
      </c>
      <c r="D631" t="s">
        <v>476</v>
      </c>
      <c r="E631" t="b">
        <v>1</v>
      </c>
      <c r="G631" t="s">
        <v>1743</v>
      </c>
    </row>
    <row r="632" spans="1:7" x14ac:dyDescent="0.2">
      <c r="A632" t="s">
        <v>1745</v>
      </c>
      <c r="B632" t="s">
        <v>215</v>
      </c>
      <c r="C632" t="s">
        <v>160</v>
      </c>
      <c r="D632" t="s">
        <v>476</v>
      </c>
      <c r="E632" t="b">
        <v>1</v>
      </c>
      <c r="G632" t="s">
        <v>1743</v>
      </c>
    </row>
    <row r="633" spans="1:7" x14ac:dyDescent="0.2">
      <c r="A633" t="s">
        <v>1746</v>
      </c>
      <c r="B633" t="s">
        <v>219</v>
      </c>
      <c r="C633" t="s">
        <v>160</v>
      </c>
      <c r="D633" t="s">
        <v>476</v>
      </c>
      <c r="E633" t="b">
        <v>1</v>
      </c>
      <c r="G633" t="s">
        <v>1743</v>
      </c>
    </row>
    <row r="634" spans="1:7" x14ac:dyDescent="0.2">
      <c r="A634" t="s">
        <v>1747</v>
      </c>
      <c r="B634" t="s">
        <v>224</v>
      </c>
      <c r="C634" t="s">
        <v>160</v>
      </c>
      <c r="D634" t="s">
        <v>476</v>
      </c>
      <c r="E634" t="b">
        <v>1</v>
      </c>
      <c r="G634" t="s">
        <v>1743</v>
      </c>
    </row>
    <row r="635" spans="1:7" x14ac:dyDescent="0.2">
      <c r="A635" t="s">
        <v>1748</v>
      </c>
      <c r="B635" t="s">
        <v>227</v>
      </c>
      <c r="C635" t="s">
        <v>160</v>
      </c>
      <c r="D635" t="s">
        <v>476</v>
      </c>
      <c r="E635" t="b">
        <v>1</v>
      </c>
      <c r="G635" t="s">
        <v>1743</v>
      </c>
    </row>
    <row r="636" spans="1:7" x14ac:dyDescent="0.2">
      <c r="A636" t="s">
        <v>1749</v>
      </c>
      <c r="B636" t="s">
        <v>241</v>
      </c>
      <c r="C636" t="s">
        <v>160</v>
      </c>
      <c r="D636" t="s">
        <v>476</v>
      </c>
      <c r="E636" t="b">
        <v>1</v>
      </c>
      <c r="G636" t="s">
        <v>1743</v>
      </c>
    </row>
    <row r="637" spans="1:7" x14ac:dyDescent="0.2">
      <c r="A637" t="s">
        <v>1750</v>
      </c>
      <c r="B637" t="s">
        <v>268</v>
      </c>
      <c r="C637" t="s">
        <v>160</v>
      </c>
      <c r="D637" t="s">
        <v>476</v>
      </c>
      <c r="E637" t="b">
        <v>1</v>
      </c>
      <c r="G637" t="s">
        <v>1743</v>
      </c>
    </row>
    <row r="638" spans="1:7" x14ac:dyDescent="0.2">
      <c r="A638" t="s">
        <v>1751</v>
      </c>
      <c r="B638" t="s">
        <v>232</v>
      </c>
      <c r="C638" t="s">
        <v>160</v>
      </c>
      <c r="D638" t="s">
        <v>476</v>
      </c>
      <c r="E638" t="b">
        <v>1</v>
      </c>
      <c r="G638" t="s">
        <v>1743</v>
      </c>
    </row>
    <row r="639" spans="1:7" x14ac:dyDescent="0.2">
      <c r="A639" t="s">
        <v>1752</v>
      </c>
      <c r="B639" t="s">
        <v>245</v>
      </c>
      <c r="C639" t="s">
        <v>160</v>
      </c>
      <c r="D639" t="s">
        <v>476</v>
      </c>
      <c r="E639" t="b">
        <v>1</v>
      </c>
      <c r="G639" t="s">
        <v>1743</v>
      </c>
    </row>
    <row r="640" spans="1:7" x14ac:dyDescent="0.2">
      <c r="A640" t="s">
        <v>1753</v>
      </c>
      <c r="B640" t="s">
        <v>247</v>
      </c>
      <c r="C640" t="s">
        <v>160</v>
      </c>
      <c r="D640" t="s">
        <v>476</v>
      </c>
      <c r="E640" t="b">
        <v>1</v>
      </c>
      <c r="G640" t="s">
        <v>1743</v>
      </c>
    </row>
    <row r="641" spans="1:7" x14ac:dyDescent="0.2">
      <c r="A641" t="s">
        <v>1754</v>
      </c>
      <c r="B641" t="s">
        <v>250</v>
      </c>
      <c r="C641" t="s">
        <v>160</v>
      </c>
      <c r="D641" t="s">
        <v>476</v>
      </c>
      <c r="E641" t="b">
        <v>1</v>
      </c>
      <c r="G641" t="s">
        <v>1743</v>
      </c>
    </row>
    <row r="642" spans="1:7" x14ac:dyDescent="0.2">
      <c r="A642" t="s">
        <v>1755</v>
      </c>
      <c r="B642" t="s">
        <v>252</v>
      </c>
      <c r="C642" t="s">
        <v>160</v>
      </c>
      <c r="D642" t="s">
        <v>476</v>
      </c>
      <c r="E642" t="b">
        <v>1</v>
      </c>
      <c r="G642" t="s">
        <v>1743</v>
      </c>
    </row>
    <row r="643" spans="1:7" x14ac:dyDescent="0.2">
      <c r="A643" t="s">
        <v>1756</v>
      </c>
      <c r="B643" t="s">
        <v>271</v>
      </c>
      <c r="C643" t="s">
        <v>160</v>
      </c>
      <c r="D643" t="s">
        <v>476</v>
      </c>
      <c r="E643" t="b">
        <v>1</v>
      </c>
      <c r="G643" t="s">
        <v>1743</v>
      </c>
    </row>
    <row r="644" spans="1:7" x14ac:dyDescent="0.2">
      <c r="A644" t="s">
        <v>1757</v>
      </c>
      <c r="B644" t="s">
        <v>275</v>
      </c>
      <c r="C644" t="s">
        <v>160</v>
      </c>
      <c r="D644" t="s">
        <v>476</v>
      </c>
      <c r="E644" t="b">
        <v>1</v>
      </c>
      <c r="G644" t="s">
        <v>1743</v>
      </c>
    </row>
    <row r="645" spans="1:7" x14ac:dyDescent="0.2">
      <c r="A645" t="s">
        <v>1758</v>
      </c>
      <c r="B645" t="s">
        <v>279</v>
      </c>
      <c r="C645" t="s">
        <v>160</v>
      </c>
      <c r="D645" t="s">
        <v>476</v>
      </c>
      <c r="E645" t="b">
        <v>1</v>
      </c>
      <c r="G645" t="s">
        <v>1743</v>
      </c>
    </row>
    <row r="646" spans="1:7" x14ac:dyDescent="0.2">
      <c r="A646" t="s">
        <v>1759</v>
      </c>
      <c r="B646" t="s">
        <v>281</v>
      </c>
      <c r="C646" t="s">
        <v>160</v>
      </c>
      <c r="D646" t="s">
        <v>476</v>
      </c>
      <c r="E646" t="b">
        <v>1</v>
      </c>
      <c r="G646" t="s">
        <v>1743</v>
      </c>
    </row>
    <row r="647" spans="1:7" x14ac:dyDescent="0.2">
      <c r="A647" t="s">
        <v>1760</v>
      </c>
      <c r="B647" t="s">
        <v>283</v>
      </c>
      <c r="C647" t="s">
        <v>160</v>
      </c>
      <c r="D647" t="s">
        <v>476</v>
      </c>
      <c r="E647" t="b">
        <v>1</v>
      </c>
      <c r="G647" t="s">
        <v>1743</v>
      </c>
    </row>
    <row r="648" spans="1:7" x14ac:dyDescent="0.2">
      <c r="A648" t="s">
        <v>1761</v>
      </c>
      <c r="B648" t="s">
        <v>319</v>
      </c>
      <c r="C648" t="s">
        <v>160</v>
      </c>
      <c r="D648" t="s">
        <v>476</v>
      </c>
      <c r="E648" t="b">
        <v>1</v>
      </c>
      <c r="G648" t="s">
        <v>1743</v>
      </c>
    </row>
    <row r="649" spans="1:7" x14ac:dyDescent="0.2">
      <c r="A649" t="s">
        <v>1762</v>
      </c>
      <c r="B649" t="s">
        <v>1005</v>
      </c>
      <c r="C649" t="s">
        <v>160</v>
      </c>
      <c r="D649" t="s">
        <v>476</v>
      </c>
      <c r="E649" t="b">
        <v>1</v>
      </c>
      <c r="G649" t="s">
        <v>1743</v>
      </c>
    </row>
    <row r="650" spans="1:7" x14ac:dyDescent="0.2">
      <c r="A650" t="s">
        <v>1763</v>
      </c>
      <c r="B650" t="s">
        <v>1022</v>
      </c>
      <c r="C650" t="s">
        <v>160</v>
      </c>
      <c r="D650" t="s">
        <v>476</v>
      </c>
      <c r="E650" t="b">
        <v>1</v>
      </c>
      <c r="G650" t="s">
        <v>1743</v>
      </c>
    </row>
    <row r="651" spans="1:7" x14ac:dyDescent="0.2">
      <c r="A651" t="s">
        <v>1764</v>
      </c>
      <c r="B651" t="s">
        <v>1026</v>
      </c>
      <c r="C651" t="s">
        <v>160</v>
      </c>
      <c r="D651" t="s">
        <v>476</v>
      </c>
      <c r="E651" t="b">
        <v>1</v>
      </c>
      <c r="G651" t="s">
        <v>1743</v>
      </c>
    </row>
    <row r="652" spans="1:7" x14ac:dyDescent="0.2">
      <c r="A652" t="s">
        <v>1765</v>
      </c>
      <c r="B652" t="s">
        <v>1034</v>
      </c>
      <c r="C652" t="s">
        <v>160</v>
      </c>
      <c r="D652" t="s">
        <v>476</v>
      </c>
      <c r="E652" t="b">
        <v>1</v>
      </c>
      <c r="G652" t="s">
        <v>1743</v>
      </c>
    </row>
    <row r="653" spans="1:7" x14ac:dyDescent="0.2">
      <c r="A653" t="s">
        <v>1766</v>
      </c>
      <c r="B653" t="s">
        <v>1036</v>
      </c>
      <c r="C653" t="s">
        <v>160</v>
      </c>
      <c r="D653" t="s">
        <v>476</v>
      </c>
      <c r="E653" t="b">
        <v>1</v>
      </c>
      <c r="G653" t="s">
        <v>1743</v>
      </c>
    </row>
    <row r="654" spans="1:7" x14ac:dyDescent="0.2">
      <c r="A654" t="s">
        <v>1767</v>
      </c>
      <c r="B654" t="s">
        <v>1053</v>
      </c>
      <c r="C654" t="s">
        <v>160</v>
      </c>
      <c r="D654" t="s">
        <v>476</v>
      </c>
      <c r="E654" t="b">
        <v>1</v>
      </c>
      <c r="G654" t="s">
        <v>1743</v>
      </c>
    </row>
    <row r="655" spans="1:7" x14ac:dyDescent="0.2">
      <c r="A655" t="s">
        <v>1768</v>
      </c>
      <c r="B655" t="s">
        <v>1066</v>
      </c>
      <c r="C655" t="s">
        <v>160</v>
      </c>
      <c r="D655" t="s">
        <v>476</v>
      </c>
      <c r="E655" t="b">
        <v>1</v>
      </c>
      <c r="G655" t="s">
        <v>1743</v>
      </c>
    </row>
    <row r="656" spans="1:7" x14ac:dyDescent="0.2">
      <c r="A656" t="s">
        <v>1769</v>
      </c>
      <c r="B656" t="s">
        <v>1070</v>
      </c>
      <c r="C656" t="s">
        <v>160</v>
      </c>
      <c r="D656" t="s">
        <v>476</v>
      </c>
      <c r="E656" t="b">
        <v>1</v>
      </c>
      <c r="G656" t="s">
        <v>1743</v>
      </c>
    </row>
    <row r="657" spans="1:7" x14ac:dyDescent="0.2">
      <c r="A657" t="s">
        <v>1770</v>
      </c>
      <c r="B657" t="s">
        <v>1074</v>
      </c>
      <c r="C657" t="s">
        <v>160</v>
      </c>
      <c r="D657" t="s">
        <v>476</v>
      </c>
      <c r="E657" t="b">
        <v>1</v>
      </c>
      <c r="G657" t="s">
        <v>1743</v>
      </c>
    </row>
    <row r="658" spans="1:7" x14ac:dyDescent="0.2">
      <c r="A658" t="s">
        <v>1771</v>
      </c>
      <c r="B658" t="s">
        <v>1078</v>
      </c>
      <c r="C658" t="s">
        <v>160</v>
      </c>
      <c r="D658" t="s">
        <v>476</v>
      </c>
      <c r="E658" t="b">
        <v>1</v>
      </c>
      <c r="G658" t="s">
        <v>1743</v>
      </c>
    </row>
    <row r="659" spans="1:7" x14ac:dyDescent="0.2">
      <c r="A659" t="s">
        <v>1772</v>
      </c>
      <c r="B659" t="s">
        <v>309</v>
      </c>
      <c r="C659" t="s">
        <v>160</v>
      </c>
      <c r="D659" t="s">
        <v>476</v>
      </c>
      <c r="E659" t="b">
        <v>1</v>
      </c>
      <c r="G659" t="s">
        <v>1773</v>
      </c>
    </row>
    <row r="660" spans="1:7" x14ac:dyDescent="0.2">
      <c r="A660" t="s">
        <v>1774</v>
      </c>
      <c r="B660" t="s">
        <v>313</v>
      </c>
      <c r="C660" t="s">
        <v>160</v>
      </c>
      <c r="D660" t="s">
        <v>476</v>
      </c>
      <c r="E660" t="b">
        <v>1</v>
      </c>
      <c r="G660" t="s">
        <v>1773</v>
      </c>
    </row>
    <row r="661" spans="1:7" x14ac:dyDescent="0.2">
      <c r="A661" t="s">
        <v>1775</v>
      </c>
      <c r="B661" t="s">
        <v>316</v>
      </c>
      <c r="C661" t="s">
        <v>160</v>
      </c>
      <c r="D661" t="s">
        <v>476</v>
      </c>
      <c r="E661" t="b">
        <v>1</v>
      </c>
      <c r="G661" t="s">
        <v>1773</v>
      </c>
    </row>
    <row r="662" spans="1:7" x14ac:dyDescent="0.2">
      <c r="A662" t="s">
        <v>1776</v>
      </c>
      <c r="B662" t="s">
        <v>370</v>
      </c>
      <c r="C662" t="s">
        <v>160</v>
      </c>
      <c r="D662" t="s">
        <v>476</v>
      </c>
      <c r="E662" t="b">
        <v>1</v>
      </c>
      <c r="G662" t="s">
        <v>1773</v>
      </c>
    </row>
    <row r="663" spans="1:7" x14ac:dyDescent="0.2">
      <c r="A663" t="s">
        <v>1777</v>
      </c>
      <c r="B663" t="s">
        <v>374</v>
      </c>
      <c r="C663" t="s">
        <v>160</v>
      </c>
      <c r="D663" t="s">
        <v>476</v>
      </c>
      <c r="E663" t="b">
        <v>1</v>
      </c>
      <c r="G663" t="s">
        <v>1773</v>
      </c>
    </row>
    <row r="664" spans="1:7" x14ac:dyDescent="0.2">
      <c r="A664" t="s">
        <v>1778</v>
      </c>
      <c r="B664" t="s">
        <v>377</v>
      </c>
      <c r="C664" t="s">
        <v>160</v>
      </c>
      <c r="D664" t="s">
        <v>476</v>
      </c>
      <c r="E664" t="b">
        <v>1</v>
      </c>
      <c r="G664" t="s">
        <v>1773</v>
      </c>
    </row>
    <row r="665" spans="1:7" x14ac:dyDescent="0.2">
      <c r="A665" t="s">
        <v>1779</v>
      </c>
      <c r="B665" t="s">
        <v>379</v>
      </c>
      <c r="C665" t="s">
        <v>160</v>
      </c>
      <c r="D665" t="s">
        <v>476</v>
      </c>
      <c r="E665" t="b">
        <v>1</v>
      </c>
      <c r="G665" t="s">
        <v>1773</v>
      </c>
    </row>
    <row r="666" spans="1:7" x14ac:dyDescent="0.2">
      <c r="A666" t="s">
        <v>1780</v>
      </c>
      <c r="B666" t="s">
        <v>381</v>
      </c>
      <c r="C666" t="s">
        <v>160</v>
      </c>
      <c r="D666" t="s">
        <v>476</v>
      </c>
      <c r="E666" t="b">
        <v>1</v>
      </c>
      <c r="G666" t="s">
        <v>1773</v>
      </c>
    </row>
    <row r="667" spans="1:7" x14ac:dyDescent="0.2">
      <c r="A667" t="s">
        <v>1781</v>
      </c>
      <c r="B667" t="s">
        <v>387</v>
      </c>
      <c r="C667" t="s">
        <v>160</v>
      </c>
      <c r="D667" t="s">
        <v>476</v>
      </c>
      <c r="E667" t="b">
        <v>1</v>
      </c>
      <c r="G667" t="s">
        <v>1773</v>
      </c>
    </row>
    <row r="668" spans="1:7" x14ac:dyDescent="0.2">
      <c r="A668" t="s">
        <v>1782</v>
      </c>
      <c r="B668" t="s">
        <v>389</v>
      </c>
      <c r="C668" t="s">
        <v>160</v>
      </c>
      <c r="D668" t="s">
        <v>476</v>
      </c>
      <c r="E668" t="b">
        <v>1</v>
      </c>
      <c r="G668" t="s">
        <v>1773</v>
      </c>
    </row>
    <row r="669" spans="1:7" x14ac:dyDescent="0.2">
      <c r="A669" t="s">
        <v>1783</v>
      </c>
      <c r="B669" t="s">
        <v>384</v>
      </c>
      <c r="C669" t="s">
        <v>160</v>
      </c>
      <c r="D669" t="s">
        <v>476</v>
      </c>
      <c r="E669" t="b">
        <v>1</v>
      </c>
      <c r="G669" t="s">
        <v>1773</v>
      </c>
    </row>
    <row r="670" spans="1:7" x14ac:dyDescent="0.2">
      <c r="A670" t="s">
        <v>1784</v>
      </c>
      <c r="B670" t="s">
        <v>391</v>
      </c>
      <c r="C670" t="s">
        <v>160</v>
      </c>
      <c r="D670" t="s">
        <v>476</v>
      </c>
      <c r="E670" t="b">
        <v>1</v>
      </c>
      <c r="G670" t="s">
        <v>1773</v>
      </c>
    </row>
    <row r="671" spans="1:7" x14ac:dyDescent="0.2">
      <c r="A671" t="s">
        <v>1785</v>
      </c>
      <c r="B671" t="s">
        <v>395</v>
      </c>
      <c r="C671" t="s">
        <v>160</v>
      </c>
      <c r="D671" t="s">
        <v>476</v>
      </c>
      <c r="E671" t="b">
        <v>1</v>
      </c>
      <c r="G671" t="s">
        <v>1773</v>
      </c>
    </row>
    <row r="672" spans="1:7" x14ac:dyDescent="0.2">
      <c r="A672" t="s">
        <v>1786</v>
      </c>
      <c r="B672" t="s">
        <v>398</v>
      </c>
      <c r="C672" t="s">
        <v>160</v>
      </c>
      <c r="D672" t="s">
        <v>476</v>
      </c>
      <c r="E672" t="b">
        <v>1</v>
      </c>
      <c r="G672" t="s">
        <v>1773</v>
      </c>
    </row>
    <row r="673" spans="1:7" x14ac:dyDescent="0.2">
      <c r="A673" t="s">
        <v>1787</v>
      </c>
      <c r="B673" t="s">
        <v>401</v>
      </c>
      <c r="C673" t="s">
        <v>160</v>
      </c>
      <c r="D673" t="s">
        <v>476</v>
      </c>
      <c r="E673" t="b">
        <v>1</v>
      </c>
      <c r="G673" t="s">
        <v>1773</v>
      </c>
    </row>
    <row r="674" spans="1:7" x14ac:dyDescent="0.2">
      <c r="A674" t="s">
        <v>1788</v>
      </c>
      <c r="B674" t="s">
        <v>1514</v>
      </c>
      <c r="C674" t="s">
        <v>261</v>
      </c>
      <c r="D674" t="s">
        <v>1270</v>
      </c>
      <c r="E674" t="b">
        <v>1</v>
      </c>
      <c r="G674" t="s">
        <v>1789</v>
      </c>
    </row>
    <row r="675" spans="1:7" x14ac:dyDescent="0.2">
      <c r="A675" t="s">
        <v>1790</v>
      </c>
      <c r="B675" t="s">
        <v>1005</v>
      </c>
      <c r="C675" t="s">
        <v>1527</v>
      </c>
      <c r="D675" t="s">
        <v>1270</v>
      </c>
      <c r="E675" t="b">
        <v>1</v>
      </c>
      <c r="G675" t="s">
        <v>1791</v>
      </c>
    </row>
    <row r="676" spans="1:7" x14ac:dyDescent="0.2">
      <c r="A676" t="s">
        <v>1792</v>
      </c>
      <c r="B676" t="s">
        <v>1066</v>
      </c>
      <c r="C676" t="s">
        <v>1481</v>
      </c>
      <c r="D676" t="s">
        <v>1270</v>
      </c>
      <c r="E676" t="b">
        <v>1</v>
      </c>
    </row>
    <row r="677" spans="1:7" x14ac:dyDescent="0.2">
      <c r="A677" t="s">
        <v>1793</v>
      </c>
      <c r="B677" t="s">
        <v>1472</v>
      </c>
      <c r="C677" t="s">
        <v>1570</v>
      </c>
      <c r="D677" t="s">
        <v>915</v>
      </c>
      <c r="E677" t="b">
        <v>0</v>
      </c>
      <c r="G677" t="s">
        <v>1794</v>
      </c>
    </row>
    <row r="678" spans="1:7" x14ac:dyDescent="0.2">
      <c r="A678" t="s">
        <v>2967</v>
      </c>
      <c r="B678" t="s">
        <v>2940</v>
      </c>
      <c r="C678" t="s">
        <v>2933</v>
      </c>
      <c r="D678" t="s">
        <v>411</v>
      </c>
      <c r="E678" t="b">
        <v>1</v>
      </c>
    </row>
    <row r="679" spans="1:7" x14ac:dyDescent="0.2">
      <c r="A679" t="s">
        <v>2968</v>
      </c>
      <c r="B679" t="s">
        <v>2942</v>
      </c>
      <c r="C679" t="s">
        <v>2933</v>
      </c>
      <c r="D679" t="s">
        <v>411</v>
      </c>
      <c r="E679" t="b">
        <v>1</v>
      </c>
    </row>
    <row r="680" spans="1:7" x14ac:dyDescent="0.2">
      <c r="A680" t="s">
        <v>2969</v>
      </c>
      <c r="B680" t="s">
        <v>2944</v>
      </c>
      <c r="C680" t="s">
        <v>2933</v>
      </c>
      <c r="D680" t="s">
        <v>411</v>
      </c>
      <c r="E680" t="b">
        <v>1</v>
      </c>
    </row>
    <row r="681" spans="1:7" x14ac:dyDescent="0.2">
      <c r="A681" t="s">
        <v>2970</v>
      </c>
      <c r="B681" t="s">
        <v>2946</v>
      </c>
      <c r="C681" t="s">
        <v>2936</v>
      </c>
      <c r="D681" t="s">
        <v>411</v>
      </c>
      <c r="E681" t="b">
        <v>1</v>
      </c>
    </row>
    <row r="682" spans="1:7" x14ac:dyDescent="0.2">
      <c r="A682" t="s">
        <v>2971</v>
      </c>
      <c r="B682" t="s">
        <v>2948</v>
      </c>
      <c r="C682" t="s">
        <v>2938</v>
      </c>
      <c r="D682" t="s">
        <v>411</v>
      </c>
      <c r="E682" t="b">
        <v>1</v>
      </c>
    </row>
    <row r="683" spans="1:7" x14ac:dyDescent="0.2">
      <c r="A683" t="s">
        <v>2972</v>
      </c>
      <c r="B683" t="s">
        <v>2949</v>
      </c>
      <c r="C683" t="s">
        <v>2940</v>
      </c>
      <c r="D683" t="s">
        <v>411</v>
      </c>
      <c r="E683" t="b">
        <v>1</v>
      </c>
    </row>
    <row r="684" spans="1:7" x14ac:dyDescent="0.2">
      <c r="A684" t="s">
        <v>2973</v>
      </c>
      <c r="B684" t="s">
        <v>2950</v>
      </c>
      <c r="C684" t="s">
        <v>2942</v>
      </c>
      <c r="D684" t="s">
        <v>411</v>
      </c>
      <c r="E684" t="b">
        <v>1</v>
      </c>
    </row>
    <row r="685" spans="1:7" x14ac:dyDescent="0.2">
      <c r="A685" t="s">
        <v>2974</v>
      </c>
      <c r="B685" t="s">
        <v>2952</v>
      </c>
      <c r="C685" t="s">
        <v>2944</v>
      </c>
      <c r="D685" t="s">
        <v>411</v>
      </c>
      <c r="E685" t="b">
        <v>1</v>
      </c>
    </row>
    <row r="686" spans="1:7" x14ac:dyDescent="0.2">
      <c r="A686" t="s">
        <v>2975</v>
      </c>
      <c r="B686" t="s">
        <v>2954</v>
      </c>
      <c r="C686" t="s">
        <v>2944</v>
      </c>
      <c r="D686" t="s">
        <v>411</v>
      </c>
      <c r="E686" t="b">
        <v>1</v>
      </c>
    </row>
    <row r="687" spans="1:7" x14ac:dyDescent="0.2">
      <c r="A687" t="s">
        <v>2976</v>
      </c>
      <c r="B687" t="s">
        <v>2957</v>
      </c>
      <c r="C687" t="s">
        <v>2946</v>
      </c>
      <c r="D687" t="s">
        <v>411</v>
      </c>
      <c r="E687" t="b">
        <v>1</v>
      </c>
    </row>
    <row r="688" spans="1:7" x14ac:dyDescent="0.2">
      <c r="A688" t="s">
        <v>2977</v>
      </c>
      <c r="B688" t="s">
        <v>2959</v>
      </c>
      <c r="C688" t="s">
        <v>2946</v>
      </c>
      <c r="D688" t="s">
        <v>411</v>
      </c>
      <c r="E688" t="b">
        <v>1</v>
      </c>
    </row>
    <row r="689" spans="1:5" x14ac:dyDescent="0.2">
      <c r="A689" t="s">
        <v>2978</v>
      </c>
      <c r="B689" t="s">
        <v>2962</v>
      </c>
      <c r="C689" t="s">
        <v>2948</v>
      </c>
      <c r="D689" t="s">
        <v>411</v>
      </c>
      <c r="E689" t="b">
        <v>1</v>
      </c>
    </row>
    <row r="690" spans="1:5" x14ac:dyDescent="0.2">
      <c r="A690" t="s">
        <v>2979</v>
      </c>
      <c r="B690" t="s">
        <v>2964</v>
      </c>
      <c r="C690" t="s">
        <v>2948</v>
      </c>
      <c r="D690" t="s">
        <v>411</v>
      </c>
      <c r="E690" t="b">
        <v>1</v>
      </c>
    </row>
    <row r="691" spans="1:5" x14ac:dyDescent="0.2">
      <c r="A691" t="s">
        <v>3058</v>
      </c>
      <c r="B691" t="s">
        <v>2990</v>
      </c>
      <c r="C691" t="s">
        <v>2949</v>
      </c>
      <c r="D691" t="s">
        <v>476</v>
      </c>
      <c r="E691" t="b">
        <v>1</v>
      </c>
    </row>
    <row r="692" spans="1:5" x14ac:dyDescent="0.2">
      <c r="A692" t="s">
        <v>3059</v>
      </c>
      <c r="B692" t="s">
        <v>2990</v>
      </c>
      <c r="C692" t="s">
        <v>169</v>
      </c>
      <c r="D692" t="s">
        <v>478</v>
      </c>
      <c r="E692" t="b">
        <v>1</v>
      </c>
    </row>
    <row r="693" spans="1:5" x14ac:dyDescent="0.2">
      <c r="A693" t="s">
        <v>3060</v>
      </c>
      <c r="B693" t="s">
        <v>2995</v>
      </c>
      <c r="C693" t="s">
        <v>2949</v>
      </c>
      <c r="D693" t="s">
        <v>476</v>
      </c>
      <c r="E693" t="b">
        <v>1</v>
      </c>
    </row>
    <row r="694" spans="1:5" x14ac:dyDescent="0.2">
      <c r="A694" t="s">
        <v>3061</v>
      </c>
      <c r="B694" t="s">
        <v>2995</v>
      </c>
      <c r="C694" t="s">
        <v>169</v>
      </c>
      <c r="D694" t="s">
        <v>478</v>
      </c>
      <c r="E694" t="b">
        <v>1</v>
      </c>
    </row>
    <row r="695" spans="1:5" x14ac:dyDescent="0.2">
      <c r="A695" t="s">
        <v>3062</v>
      </c>
      <c r="B695" t="s">
        <v>2999</v>
      </c>
      <c r="C695" t="s">
        <v>2949</v>
      </c>
      <c r="D695" t="s">
        <v>476</v>
      </c>
      <c r="E695" t="b">
        <v>1</v>
      </c>
    </row>
    <row r="696" spans="1:5" x14ac:dyDescent="0.2">
      <c r="A696" t="s">
        <v>3063</v>
      </c>
      <c r="B696" t="s">
        <v>2999</v>
      </c>
      <c r="C696" t="s">
        <v>169</v>
      </c>
      <c r="D696" t="s">
        <v>478</v>
      </c>
      <c r="E696" t="b">
        <v>1</v>
      </c>
    </row>
    <row r="697" spans="1:5" x14ac:dyDescent="0.2">
      <c r="A697" t="s">
        <v>3064</v>
      </c>
      <c r="B697" t="s">
        <v>3002</v>
      </c>
      <c r="C697" t="s">
        <v>2949</v>
      </c>
      <c r="D697" t="s">
        <v>476</v>
      </c>
      <c r="E697" t="b">
        <v>1</v>
      </c>
    </row>
    <row r="698" spans="1:5" x14ac:dyDescent="0.2">
      <c r="A698" t="s">
        <v>3065</v>
      </c>
      <c r="B698" t="s">
        <v>3002</v>
      </c>
      <c r="C698" t="s">
        <v>173</v>
      </c>
      <c r="D698" t="s">
        <v>478</v>
      </c>
      <c r="E698" t="b">
        <v>1</v>
      </c>
    </row>
    <row r="699" spans="1:5" x14ac:dyDescent="0.2">
      <c r="A699" t="s">
        <v>3066</v>
      </c>
      <c r="B699" t="s">
        <v>3007</v>
      </c>
      <c r="C699" t="s">
        <v>2949</v>
      </c>
      <c r="D699" t="s">
        <v>476</v>
      </c>
      <c r="E699" t="b">
        <v>1</v>
      </c>
    </row>
    <row r="700" spans="1:5" x14ac:dyDescent="0.2">
      <c r="A700" t="s">
        <v>3067</v>
      </c>
      <c r="B700" t="s">
        <v>3007</v>
      </c>
      <c r="C700" t="s">
        <v>173</v>
      </c>
      <c r="D700" t="s">
        <v>478</v>
      </c>
      <c r="E700" t="b">
        <v>1</v>
      </c>
    </row>
    <row r="701" spans="1:5" x14ac:dyDescent="0.2">
      <c r="A701" t="s">
        <v>3068</v>
      </c>
      <c r="B701" t="s">
        <v>3011</v>
      </c>
      <c r="C701" t="s">
        <v>2949</v>
      </c>
      <c r="D701" t="s">
        <v>476</v>
      </c>
      <c r="E701" t="b">
        <v>1</v>
      </c>
    </row>
    <row r="702" spans="1:5" x14ac:dyDescent="0.2">
      <c r="A702" t="s">
        <v>3069</v>
      </c>
      <c r="B702" t="s">
        <v>3011</v>
      </c>
      <c r="C702" t="s">
        <v>185</v>
      </c>
      <c r="D702" t="s">
        <v>478</v>
      </c>
      <c r="E702" t="b">
        <v>1</v>
      </c>
    </row>
    <row r="703" spans="1:5" x14ac:dyDescent="0.2">
      <c r="A703" t="s">
        <v>3070</v>
      </c>
      <c r="B703" t="s">
        <v>3016</v>
      </c>
      <c r="C703" t="s">
        <v>2949</v>
      </c>
      <c r="D703" t="s">
        <v>476</v>
      </c>
      <c r="E703" t="b">
        <v>1</v>
      </c>
    </row>
    <row r="704" spans="1:5" x14ac:dyDescent="0.2">
      <c r="A704" t="s">
        <v>3071</v>
      </c>
      <c r="B704" t="s">
        <v>3016</v>
      </c>
      <c r="C704" t="s">
        <v>177</v>
      </c>
      <c r="D704" t="s">
        <v>478</v>
      </c>
      <c r="E704" t="b">
        <v>1</v>
      </c>
    </row>
    <row r="705" spans="1:5" x14ac:dyDescent="0.2">
      <c r="A705" t="s">
        <v>3072</v>
      </c>
      <c r="B705" t="s">
        <v>3019</v>
      </c>
      <c r="C705" t="s">
        <v>2949</v>
      </c>
      <c r="D705" t="s">
        <v>476</v>
      </c>
      <c r="E705" t="b">
        <v>1</v>
      </c>
    </row>
    <row r="706" spans="1:5" x14ac:dyDescent="0.2">
      <c r="A706" t="s">
        <v>3073</v>
      </c>
      <c r="B706" t="s">
        <v>3019</v>
      </c>
      <c r="C706" t="s">
        <v>175</v>
      </c>
      <c r="D706" t="s">
        <v>478</v>
      </c>
      <c r="E706" t="b">
        <v>1</v>
      </c>
    </row>
    <row r="707" spans="1:5" x14ac:dyDescent="0.2">
      <c r="A707" t="s">
        <v>3074</v>
      </c>
      <c r="B707" t="s">
        <v>3022</v>
      </c>
      <c r="C707" t="s">
        <v>2949</v>
      </c>
      <c r="D707" t="s">
        <v>476</v>
      </c>
      <c r="E707" t="b">
        <v>1</v>
      </c>
    </row>
    <row r="708" spans="1:5" x14ac:dyDescent="0.2">
      <c r="A708" t="s">
        <v>3075</v>
      </c>
      <c r="B708" t="s">
        <v>3022</v>
      </c>
      <c r="C708" t="s">
        <v>175</v>
      </c>
      <c r="D708" t="s">
        <v>478</v>
      </c>
      <c r="E708" t="b">
        <v>1</v>
      </c>
    </row>
    <row r="709" spans="1:5" x14ac:dyDescent="0.2">
      <c r="A709" t="s">
        <v>3076</v>
      </c>
      <c r="B709" t="s">
        <v>3025</v>
      </c>
      <c r="C709" t="s">
        <v>2950</v>
      </c>
      <c r="D709" t="s">
        <v>476</v>
      </c>
      <c r="E709" t="b">
        <v>1</v>
      </c>
    </row>
    <row r="710" spans="1:5" x14ac:dyDescent="0.2">
      <c r="A710" t="s">
        <v>3077</v>
      </c>
      <c r="B710" t="s">
        <v>3025</v>
      </c>
      <c r="C710" t="s">
        <v>169</v>
      </c>
      <c r="D710" t="s">
        <v>478</v>
      </c>
      <c r="E710" t="b">
        <v>1</v>
      </c>
    </row>
    <row r="711" spans="1:5" x14ac:dyDescent="0.2">
      <c r="A711" t="s">
        <v>3078</v>
      </c>
      <c r="B711" t="s">
        <v>3030</v>
      </c>
      <c r="C711" t="s">
        <v>2950</v>
      </c>
      <c r="D711" t="s">
        <v>476</v>
      </c>
      <c r="E711" t="b">
        <v>1</v>
      </c>
    </row>
    <row r="712" spans="1:5" x14ac:dyDescent="0.2">
      <c r="A712" t="s">
        <v>3079</v>
      </c>
      <c r="B712" t="s">
        <v>3030</v>
      </c>
      <c r="C712" t="s">
        <v>169</v>
      </c>
      <c r="D712" t="s">
        <v>478</v>
      </c>
      <c r="E712" t="b">
        <v>1</v>
      </c>
    </row>
    <row r="713" spans="1:5" x14ac:dyDescent="0.2">
      <c r="A713" t="s">
        <v>3080</v>
      </c>
      <c r="B713" t="s">
        <v>3032</v>
      </c>
      <c r="C713" t="s">
        <v>2950</v>
      </c>
      <c r="D713" t="s">
        <v>476</v>
      </c>
      <c r="E713" t="b">
        <v>1</v>
      </c>
    </row>
    <row r="714" spans="1:5" x14ac:dyDescent="0.2">
      <c r="A714" t="s">
        <v>3081</v>
      </c>
      <c r="B714" t="s">
        <v>3032</v>
      </c>
      <c r="C714" t="s">
        <v>169</v>
      </c>
      <c r="D714" t="s">
        <v>478</v>
      </c>
      <c r="E714" t="b">
        <v>1</v>
      </c>
    </row>
    <row r="715" spans="1:5" x14ac:dyDescent="0.2">
      <c r="A715" t="s">
        <v>3082</v>
      </c>
      <c r="B715" t="s">
        <v>3034</v>
      </c>
      <c r="C715" t="s">
        <v>2950</v>
      </c>
      <c r="D715" t="s">
        <v>476</v>
      </c>
      <c r="E715" t="b">
        <v>1</v>
      </c>
    </row>
    <row r="716" spans="1:5" x14ac:dyDescent="0.2">
      <c r="A716" t="s">
        <v>3083</v>
      </c>
      <c r="B716" t="s">
        <v>3034</v>
      </c>
      <c r="C716" t="s">
        <v>187</v>
      </c>
      <c r="D716" t="s">
        <v>478</v>
      </c>
      <c r="E716" t="b">
        <v>1</v>
      </c>
    </row>
    <row r="717" spans="1:5" x14ac:dyDescent="0.2">
      <c r="A717" t="s">
        <v>3084</v>
      </c>
      <c r="B717" t="s">
        <v>3038</v>
      </c>
      <c r="C717" t="s">
        <v>2950</v>
      </c>
      <c r="D717" t="s">
        <v>476</v>
      </c>
      <c r="E717" t="b">
        <v>1</v>
      </c>
    </row>
    <row r="718" spans="1:5" x14ac:dyDescent="0.2">
      <c r="A718" t="s">
        <v>3085</v>
      </c>
      <c r="B718" t="s">
        <v>3038</v>
      </c>
      <c r="C718" t="s">
        <v>187</v>
      </c>
      <c r="D718" t="s">
        <v>478</v>
      </c>
      <c r="E718" t="b">
        <v>1</v>
      </c>
    </row>
    <row r="719" spans="1:5" x14ac:dyDescent="0.2">
      <c r="A719" t="s">
        <v>3086</v>
      </c>
      <c r="B719" t="s">
        <v>3041</v>
      </c>
      <c r="C719" t="s">
        <v>2950</v>
      </c>
      <c r="D719" t="s">
        <v>476</v>
      </c>
      <c r="E719" t="b">
        <v>1</v>
      </c>
    </row>
    <row r="720" spans="1:5" x14ac:dyDescent="0.2">
      <c r="A720" t="s">
        <v>3087</v>
      </c>
      <c r="B720" t="s">
        <v>3041</v>
      </c>
      <c r="C720" t="s">
        <v>169</v>
      </c>
      <c r="D720" t="s">
        <v>478</v>
      </c>
      <c r="E720" t="b">
        <v>1</v>
      </c>
    </row>
    <row r="721" spans="1:5" x14ac:dyDescent="0.2">
      <c r="A721" t="s">
        <v>3088</v>
      </c>
      <c r="B721" t="s">
        <v>3044</v>
      </c>
      <c r="C721" t="s">
        <v>2950</v>
      </c>
      <c r="D721" t="s">
        <v>476</v>
      </c>
      <c r="E721" t="b">
        <v>1</v>
      </c>
    </row>
    <row r="722" spans="1:5" x14ac:dyDescent="0.2">
      <c r="A722" t="s">
        <v>3089</v>
      </c>
      <c r="B722" t="s">
        <v>3044</v>
      </c>
      <c r="C722" t="s">
        <v>185</v>
      </c>
      <c r="D722" t="s">
        <v>478</v>
      </c>
      <c r="E722" t="b">
        <v>1</v>
      </c>
    </row>
    <row r="723" spans="1:5" x14ac:dyDescent="0.2">
      <c r="A723" t="s">
        <v>3090</v>
      </c>
      <c r="B723" t="s">
        <v>3046</v>
      </c>
      <c r="C723" t="s">
        <v>2950</v>
      </c>
      <c r="D723" t="s">
        <v>476</v>
      </c>
      <c r="E723" t="b">
        <v>1</v>
      </c>
    </row>
    <row r="724" spans="1:5" x14ac:dyDescent="0.2">
      <c r="A724" t="s">
        <v>3091</v>
      </c>
      <c r="B724" t="s">
        <v>3046</v>
      </c>
      <c r="C724" t="s">
        <v>175</v>
      </c>
      <c r="D724" t="s">
        <v>478</v>
      </c>
      <c r="E724" t="b">
        <v>1</v>
      </c>
    </row>
    <row r="725" spans="1:5" x14ac:dyDescent="0.2">
      <c r="A725" t="s">
        <v>3092</v>
      </c>
      <c r="B725" t="s">
        <v>3048</v>
      </c>
      <c r="C725" t="s">
        <v>2950</v>
      </c>
      <c r="D725" t="s">
        <v>476</v>
      </c>
      <c r="E725" t="b">
        <v>1</v>
      </c>
    </row>
    <row r="726" spans="1:5" x14ac:dyDescent="0.2">
      <c r="A726" t="s">
        <v>3093</v>
      </c>
      <c r="B726" t="s">
        <v>3048</v>
      </c>
      <c r="C726" t="s">
        <v>175</v>
      </c>
      <c r="D726" t="s">
        <v>478</v>
      </c>
      <c r="E726" t="b">
        <v>1</v>
      </c>
    </row>
    <row r="727" spans="1:5" x14ac:dyDescent="0.2">
      <c r="A727" t="s">
        <v>3094</v>
      </c>
      <c r="B727" t="s">
        <v>3051</v>
      </c>
      <c r="C727" t="s">
        <v>2950</v>
      </c>
      <c r="D727" t="s">
        <v>476</v>
      </c>
      <c r="E727" t="b">
        <v>1</v>
      </c>
    </row>
    <row r="728" spans="1:5" x14ac:dyDescent="0.2">
      <c r="A728" t="s">
        <v>3095</v>
      </c>
      <c r="B728" t="s">
        <v>3051</v>
      </c>
      <c r="C728" t="s">
        <v>173</v>
      </c>
      <c r="D728" t="s">
        <v>478</v>
      </c>
      <c r="E728" t="b">
        <v>1</v>
      </c>
    </row>
    <row r="729" spans="1:5" x14ac:dyDescent="0.2">
      <c r="A729" t="s">
        <v>3096</v>
      </c>
      <c r="B729" t="s">
        <v>3056</v>
      </c>
      <c r="C729" t="s">
        <v>2950</v>
      </c>
      <c r="D729" t="s">
        <v>476</v>
      </c>
      <c r="E729" t="b">
        <v>1</v>
      </c>
    </row>
    <row r="730" spans="1:5" x14ac:dyDescent="0.2">
      <c r="A730" t="s">
        <v>3097</v>
      </c>
      <c r="B730" t="s">
        <v>3056</v>
      </c>
      <c r="C730" t="s">
        <v>177</v>
      </c>
      <c r="D730" t="s">
        <v>478</v>
      </c>
      <c r="E730" t="b">
        <v>1</v>
      </c>
    </row>
    <row r="731" spans="1:5" x14ac:dyDescent="0.2">
      <c r="A731" t="s">
        <v>3205</v>
      </c>
      <c r="B731" t="s">
        <v>3098</v>
      </c>
      <c r="C731" t="s">
        <v>2952</v>
      </c>
      <c r="D731" t="s">
        <v>476</v>
      </c>
      <c r="E731" t="b">
        <v>1</v>
      </c>
    </row>
    <row r="732" spans="1:5" x14ac:dyDescent="0.2">
      <c r="A732" t="s">
        <v>3206</v>
      </c>
      <c r="B732" t="s">
        <v>3098</v>
      </c>
      <c r="C732" t="s">
        <v>165</v>
      </c>
      <c r="D732" t="s">
        <v>478</v>
      </c>
      <c r="E732" t="b">
        <v>1</v>
      </c>
    </row>
    <row r="733" spans="1:5" x14ac:dyDescent="0.2">
      <c r="A733" t="s">
        <v>3207</v>
      </c>
      <c r="B733" t="s">
        <v>3103</v>
      </c>
      <c r="C733" t="s">
        <v>2952</v>
      </c>
      <c r="D733" t="s">
        <v>476</v>
      </c>
      <c r="E733" t="b">
        <v>1</v>
      </c>
    </row>
    <row r="734" spans="1:5" x14ac:dyDescent="0.2">
      <c r="A734" t="s">
        <v>3208</v>
      </c>
      <c r="B734" t="s">
        <v>3103</v>
      </c>
      <c r="C734" t="s">
        <v>169</v>
      </c>
      <c r="D734" t="s">
        <v>478</v>
      </c>
      <c r="E734" t="b">
        <v>1</v>
      </c>
    </row>
    <row r="735" spans="1:5" x14ac:dyDescent="0.2">
      <c r="A735" t="s">
        <v>3209</v>
      </c>
      <c r="B735" t="s">
        <v>3107</v>
      </c>
      <c r="C735" t="s">
        <v>2952</v>
      </c>
      <c r="D735" t="s">
        <v>476</v>
      </c>
      <c r="E735" t="b">
        <v>1</v>
      </c>
    </row>
    <row r="736" spans="1:5" x14ac:dyDescent="0.2">
      <c r="A736" t="s">
        <v>3210</v>
      </c>
      <c r="B736" t="s">
        <v>3107</v>
      </c>
      <c r="C736" t="s">
        <v>169</v>
      </c>
      <c r="D736" t="s">
        <v>478</v>
      </c>
      <c r="E736" t="b">
        <v>1</v>
      </c>
    </row>
    <row r="737" spans="1:5" x14ac:dyDescent="0.2">
      <c r="A737" t="s">
        <v>3211</v>
      </c>
      <c r="B737" t="s">
        <v>3109</v>
      </c>
      <c r="C737" t="s">
        <v>2954</v>
      </c>
      <c r="D737" t="s">
        <v>476</v>
      </c>
      <c r="E737" t="b">
        <v>1</v>
      </c>
    </row>
    <row r="738" spans="1:5" x14ac:dyDescent="0.2">
      <c r="A738" t="s">
        <v>3212</v>
      </c>
      <c r="B738" t="s">
        <v>3109</v>
      </c>
      <c r="C738" t="s">
        <v>169</v>
      </c>
      <c r="D738" t="s">
        <v>478</v>
      </c>
      <c r="E738" t="b">
        <v>1</v>
      </c>
    </row>
    <row r="739" spans="1:5" x14ac:dyDescent="0.2">
      <c r="A739" t="s">
        <v>3213</v>
      </c>
      <c r="B739" t="s">
        <v>3112</v>
      </c>
      <c r="C739" t="s">
        <v>2954</v>
      </c>
      <c r="D739" t="s">
        <v>476</v>
      </c>
      <c r="E739" t="b">
        <v>1</v>
      </c>
    </row>
    <row r="740" spans="1:5" x14ac:dyDescent="0.2">
      <c r="A740" t="s">
        <v>3214</v>
      </c>
      <c r="B740" t="s">
        <v>3112</v>
      </c>
      <c r="C740" t="s">
        <v>169</v>
      </c>
      <c r="D740" t="s">
        <v>478</v>
      </c>
      <c r="E740" t="b">
        <v>1</v>
      </c>
    </row>
    <row r="741" spans="1:5" x14ac:dyDescent="0.2">
      <c r="A741" t="s">
        <v>3215</v>
      </c>
      <c r="B741" t="s">
        <v>3114</v>
      </c>
      <c r="C741" t="s">
        <v>2952</v>
      </c>
      <c r="D741" t="s">
        <v>476</v>
      </c>
      <c r="E741" t="b">
        <v>1</v>
      </c>
    </row>
    <row r="742" spans="1:5" x14ac:dyDescent="0.2">
      <c r="A742" t="s">
        <v>3216</v>
      </c>
      <c r="B742" t="s">
        <v>3114</v>
      </c>
      <c r="C742" t="s">
        <v>185</v>
      </c>
      <c r="D742" t="s">
        <v>478</v>
      </c>
      <c r="E742" t="b">
        <v>1</v>
      </c>
    </row>
    <row r="743" spans="1:5" x14ac:dyDescent="0.2">
      <c r="A743" t="s">
        <v>3217</v>
      </c>
      <c r="B743" t="s">
        <v>3117</v>
      </c>
      <c r="C743" t="s">
        <v>2952</v>
      </c>
      <c r="D743" t="s">
        <v>476</v>
      </c>
      <c r="E743" t="b">
        <v>1</v>
      </c>
    </row>
    <row r="744" spans="1:5" x14ac:dyDescent="0.2">
      <c r="A744" t="s">
        <v>3218</v>
      </c>
      <c r="B744" t="s">
        <v>3117</v>
      </c>
      <c r="C744" t="s">
        <v>175</v>
      </c>
      <c r="D744" t="s">
        <v>478</v>
      </c>
      <c r="E744" t="b">
        <v>1</v>
      </c>
    </row>
    <row r="745" spans="1:5" x14ac:dyDescent="0.2">
      <c r="A745" t="s">
        <v>3219</v>
      </c>
      <c r="B745" t="s">
        <v>3120</v>
      </c>
      <c r="C745" t="s">
        <v>2954</v>
      </c>
      <c r="D745" t="s">
        <v>476</v>
      </c>
      <c r="E745" t="b">
        <v>1</v>
      </c>
    </row>
    <row r="746" spans="1:5" x14ac:dyDescent="0.2">
      <c r="A746" t="s">
        <v>3220</v>
      </c>
      <c r="B746" t="s">
        <v>3120</v>
      </c>
      <c r="C746" t="s">
        <v>175</v>
      </c>
      <c r="D746" t="s">
        <v>478</v>
      </c>
      <c r="E746" t="b">
        <v>1</v>
      </c>
    </row>
    <row r="747" spans="1:5" x14ac:dyDescent="0.2">
      <c r="A747" t="s">
        <v>3221</v>
      </c>
      <c r="B747" t="s">
        <v>3124</v>
      </c>
      <c r="C747" t="s">
        <v>2952</v>
      </c>
      <c r="D747" t="s">
        <v>476</v>
      </c>
      <c r="E747" t="b">
        <v>1</v>
      </c>
    </row>
    <row r="748" spans="1:5" x14ac:dyDescent="0.2">
      <c r="A748" t="s">
        <v>3222</v>
      </c>
      <c r="B748" t="s">
        <v>3124</v>
      </c>
      <c r="C748" t="s">
        <v>177</v>
      </c>
      <c r="D748" t="s">
        <v>478</v>
      </c>
      <c r="E748" t="b">
        <v>1</v>
      </c>
    </row>
    <row r="749" spans="1:5" x14ac:dyDescent="0.2">
      <c r="A749" t="s">
        <v>3223</v>
      </c>
      <c r="B749" t="s">
        <v>3126</v>
      </c>
      <c r="C749" t="s">
        <v>2954</v>
      </c>
      <c r="D749" t="s">
        <v>476</v>
      </c>
      <c r="E749" t="b">
        <v>1</v>
      </c>
    </row>
    <row r="750" spans="1:5" x14ac:dyDescent="0.2">
      <c r="A750" t="s">
        <v>3224</v>
      </c>
      <c r="B750" t="s">
        <v>3126</v>
      </c>
      <c r="C750" t="s">
        <v>173</v>
      </c>
      <c r="D750" t="s">
        <v>478</v>
      </c>
      <c r="E750" t="b">
        <v>1</v>
      </c>
    </row>
    <row r="751" spans="1:5" x14ac:dyDescent="0.2">
      <c r="A751" t="s">
        <v>3225</v>
      </c>
      <c r="B751" t="s">
        <v>3130</v>
      </c>
      <c r="C751" t="s">
        <v>2952</v>
      </c>
      <c r="D751" t="s">
        <v>476</v>
      </c>
      <c r="E751" t="b">
        <v>1</v>
      </c>
    </row>
    <row r="752" spans="1:5" x14ac:dyDescent="0.2">
      <c r="A752" t="s">
        <v>3226</v>
      </c>
      <c r="B752" t="s">
        <v>3130</v>
      </c>
      <c r="C752" t="s">
        <v>173</v>
      </c>
      <c r="D752" t="s">
        <v>478</v>
      </c>
      <c r="E752" t="b">
        <v>1</v>
      </c>
    </row>
    <row r="753" spans="1:5" x14ac:dyDescent="0.2">
      <c r="A753" t="s">
        <v>3227</v>
      </c>
      <c r="B753" t="s">
        <v>3133</v>
      </c>
      <c r="C753" t="s">
        <v>2959</v>
      </c>
      <c r="D753" t="s">
        <v>476</v>
      </c>
      <c r="E753" t="b">
        <v>1</v>
      </c>
    </row>
    <row r="754" spans="1:5" x14ac:dyDescent="0.2">
      <c r="A754" t="s">
        <v>3228</v>
      </c>
      <c r="B754" t="s">
        <v>3133</v>
      </c>
      <c r="C754" t="s">
        <v>169</v>
      </c>
      <c r="D754" t="s">
        <v>478</v>
      </c>
      <c r="E754" t="b">
        <v>1</v>
      </c>
    </row>
    <row r="755" spans="1:5" x14ac:dyDescent="0.2">
      <c r="A755" t="s">
        <v>3229</v>
      </c>
      <c r="B755" t="s">
        <v>3139</v>
      </c>
      <c r="C755" t="s">
        <v>2957</v>
      </c>
      <c r="D755" t="s">
        <v>476</v>
      </c>
      <c r="E755" t="b">
        <v>1</v>
      </c>
    </row>
    <row r="756" spans="1:5" x14ac:dyDescent="0.2">
      <c r="A756" t="s">
        <v>3230</v>
      </c>
      <c r="B756" t="s">
        <v>3139</v>
      </c>
      <c r="C756" t="s">
        <v>169</v>
      </c>
      <c r="D756" t="s">
        <v>478</v>
      </c>
      <c r="E756" t="b">
        <v>1</v>
      </c>
    </row>
    <row r="757" spans="1:5" x14ac:dyDescent="0.2">
      <c r="A757" t="s">
        <v>3231</v>
      </c>
      <c r="B757" t="s">
        <v>3143</v>
      </c>
      <c r="C757" t="s">
        <v>2959</v>
      </c>
      <c r="D757" t="s">
        <v>476</v>
      </c>
      <c r="E757" t="b">
        <v>1</v>
      </c>
    </row>
    <row r="758" spans="1:5" x14ac:dyDescent="0.2">
      <c r="A758" t="s">
        <v>3232</v>
      </c>
      <c r="B758" t="s">
        <v>3143</v>
      </c>
      <c r="C758" t="s">
        <v>169</v>
      </c>
      <c r="D758" t="s">
        <v>478</v>
      </c>
      <c r="E758" t="b">
        <v>1</v>
      </c>
    </row>
    <row r="759" spans="1:5" x14ac:dyDescent="0.2">
      <c r="A759" t="s">
        <v>3233</v>
      </c>
      <c r="B759" t="s">
        <v>3146</v>
      </c>
      <c r="C759" t="s">
        <v>2957</v>
      </c>
      <c r="D759" t="s">
        <v>476</v>
      </c>
      <c r="E759" t="b">
        <v>1</v>
      </c>
    </row>
    <row r="760" spans="1:5" x14ac:dyDescent="0.2">
      <c r="A760" t="s">
        <v>3234</v>
      </c>
      <c r="B760" t="s">
        <v>3146</v>
      </c>
      <c r="C760" t="s">
        <v>169</v>
      </c>
      <c r="D760" t="s">
        <v>478</v>
      </c>
      <c r="E760" t="b">
        <v>1</v>
      </c>
    </row>
    <row r="761" spans="1:5" x14ac:dyDescent="0.2">
      <c r="A761" t="s">
        <v>3235</v>
      </c>
      <c r="B761" t="s">
        <v>3149</v>
      </c>
      <c r="C761" t="s">
        <v>2957</v>
      </c>
      <c r="D761" t="s">
        <v>476</v>
      </c>
      <c r="E761" t="b">
        <v>1</v>
      </c>
    </row>
    <row r="762" spans="1:5" x14ac:dyDescent="0.2">
      <c r="A762" t="s">
        <v>3236</v>
      </c>
      <c r="B762" t="s">
        <v>3149</v>
      </c>
      <c r="C762" t="s">
        <v>169</v>
      </c>
      <c r="D762" t="s">
        <v>478</v>
      </c>
      <c r="E762" t="b">
        <v>1</v>
      </c>
    </row>
    <row r="763" spans="1:5" x14ac:dyDescent="0.2">
      <c r="A763" t="s">
        <v>3237</v>
      </c>
      <c r="B763" t="s">
        <v>3153</v>
      </c>
      <c r="C763" t="s">
        <v>2959</v>
      </c>
      <c r="D763" t="s">
        <v>476</v>
      </c>
      <c r="E763" t="b">
        <v>1</v>
      </c>
    </row>
    <row r="764" spans="1:5" x14ac:dyDescent="0.2">
      <c r="A764" t="s">
        <v>3238</v>
      </c>
      <c r="B764" t="s">
        <v>3153</v>
      </c>
      <c r="C764" t="s">
        <v>169</v>
      </c>
      <c r="D764" t="s">
        <v>478</v>
      </c>
      <c r="E764" t="b">
        <v>1</v>
      </c>
    </row>
    <row r="765" spans="1:5" x14ac:dyDescent="0.2">
      <c r="A765" t="s">
        <v>3239</v>
      </c>
      <c r="B765" t="s">
        <v>3155</v>
      </c>
      <c r="C765" t="s">
        <v>2959</v>
      </c>
      <c r="D765" t="s">
        <v>476</v>
      </c>
      <c r="E765" t="b">
        <v>1</v>
      </c>
    </row>
    <row r="766" spans="1:5" x14ac:dyDescent="0.2">
      <c r="A766" t="s">
        <v>3240</v>
      </c>
      <c r="B766" t="s">
        <v>3155</v>
      </c>
      <c r="C766" t="s">
        <v>173</v>
      </c>
      <c r="D766" t="s">
        <v>478</v>
      </c>
      <c r="E766" t="b">
        <v>1</v>
      </c>
    </row>
    <row r="767" spans="1:5" x14ac:dyDescent="0.2">
      <c r="A767" t="s">
        <v>3241</v>
      </c>
      <c r="B767" t="s">
        <v>3159</v>
      </c>
      <c r="C767" t="s">
        <v>2959</v>
      </c>
      <c r="D767" t="s">
        <v>476</v>
      </c>
      <c r="E767" t="b">
        <v>1</v>
      </c>
    </row>
    <row r="768" spans="1:5" x14ac:dyDescent="0.2">
      <c r="A768" t="s">
        <v>3242</v>
      </c>
      <c r="B768" t="s">
        <v>3159</v>
      </c>
      <c r="C768" t="s">
        <v>173</v>
      </c>
      <c r="D768" t="s">
        <v>478</v>
      </c>
      <c r="E768" t="b">
        <v>1</v>
      </c>
    </row>
    <row r="769" spans="1:5" x14ac:dyDescent="0.2">
      <c r="A769" t="s">
        <v>3243</v>
      </c>
      <c r="B769" t="s">
        <v>3163</v>
      </c>
      <c r="C769" t="s">
        <v>2959</v>
      </c>
      <c r="D769" t="s">
        <v>476</v>
      </c>
      <c r="E769" t="b">
        <v>1</v>
      </c>
    </row>
    <row r="770" spans="1:5" x14ac:dyDescent="0.2">
      <c r="A770" t="s">
        <v>3244</v>
      </c>
      <c r="B770" t="s">
        <v>3163</v>
      </c>
      <c r="C770" t="s">
        <v>185</v>
      </c>
      <c r="D770" t="s">
        <v>478</v>
      </c>
      <c r="E770" t="b">
        <v>1</v>
      </c>
    </row>
    <row r="771" spans="1:5" x14ac:dyDescent="0.2">
      <c r="A771" t="s">
        <v>3245</v>
      </c>
      <c r="B771" t="s">
        <v>3167</v>
      </c>
      <c r="C771" t="s">
        <v>2957</v>
      </c>
      <c r="D771" t="s">
        <v>476</v>
      </c>
      <c r="E771" t="b">
        <v>1</v>
      </c>
    </row>
    <row r="772" spans="1:5" x14ac:dyDescent="0.2">
      <c r="A772" t="s">
        <v>3246</v>
      </c>
      <c r="B772" t="s">
        <v>3167</v>
      </c>
      <c r="C772" t="s">
        <v>177</v>
      </c>
      <c r="D772" t="s">
        <v>478</v>
      </c>
      <c r="E772" t="b">
        <v>1</v>
      </c>
    </row>
    <row r="773" spans="1:5" x14ac:dyDescent="0.2">
      <c r="A773" t="s">
        <v>3247</v>
      </c>
      <c r="B773" t="s">
        <v>3169</v>
      </c>
      <c r="C773" t="s">
        <v>2962</v>
      </c>
      <c r="D773" t="s">
        <v>476</v>
      </c>
      <c r="E773" t="b">
        <v>1</v>
      </c>
    </row>
    <row r="774" spans="1:5" x14ac:dyDescent="0.2">
      <c r="A774" t="s">
        <v>3248</v>
      </c>
      <c r="B774" t="s">
        <v>3169</v>
      </c>
      <c r="C774" t="s">
        <v>169</v>
      </c>
      <c r="D774" t="s">
        <v>478</v>
      </c>
      <c r="E774" t="b">
        <v>1</v>
      </c>
    </row>
    <row r="775" spans="1:5" x14ac:dyDescent="0.2">
      <c r="A775" t="s">
        <v>3249</v>
      </c>
      <c r="B775" t="s">
        <v>3174</v>
      </c>
      <c r="C775" t="s">
        <v>2962</v>
      </c>
      <c r="D775" t="s">
        <v>476</v>
      </c>
      <c r="E775" t="b">
        <v>1</v>
      </c>
    </row>
    <row r="776" spans="1:5" x14ac:dyDescent="0.2">
      <c r="A776" t="s">
        <v>3250</v>
      </c>
      <c r="B776" t="s">
        <v>3174</v>
      </c>
      <c r="C776" t="s">
        <v>169</v>
      </c>
      <c r="D776" t="s">
        <v>478</v>
      </c>
      <c r="E776" t="b">
        <v>1</v>
      </c>
    </row>
    <row r="777" spans="1:5" x14ac:dyDescent="0.2">
      <c r="A777" t="s">
        <v>3251</v>
      </c>
      <c r="B777" t="s">
        <v>3177</v>
      </c>
      <c r="C777" t="s">
        <v>2962</v>
      </c>
      <c r="D777" t="s">
        <v>476</v>
      </c>
      <c r="E777" t="b">
        <v>1</v>
      </c>
    </row>
    <row r="778" spans="1:5" x14ac:dyDescent="0.2">
      <c r="A778" t="s">
        <v>3252</v>
      </c>
      <c r="B778" t="s">
        <v>3177</v>
      </c>
      <c r="C778" t="s">
        <v>169</v>
      </c>
      <c r="D778" t="s">
        <v>478</v>
      </c>
      <c r="E778" t="b">
        <v>1</v>
      </c>
    </row>
    <row r="779" spans="1:5" x14ac:dyDescent="0.2">
      <c r="A779" t="s">
        <v>3253</v>
      </c>
      <c r="B779" t="s">
        <v>3179</v>
      </c>
      <c r="C779" t="s">
        <v>2962</v>
      </c>
      <c r="D779" t="s">
        <v>476</v>
      </c>
      <c r="E779" t="b">
        <v>1</v>
      </c>
    </row>
    <row r="780" spans="1:5" x14ac:dyDescent="0.2">
      <c r="A780" t="s">
        <v>3254</v>
      </c>
      <c r="B780" t="s">
        <v>3179</v>
      </c>
      <c r="C780" t="s">
        <v>169</v>
      </c>
      <c r="D780" t="s">
        <v>478</v>
      </c>
      <c r="E780" t="b">
        <v>1</v>
      </c>
    </row>
    <row r="781" spans="1:5" x14ac:dyDescent="0.2">
      <c r="A781" t="s">
        <v>3255</v>
      </c>
      <c r="B781" t="s">
        <v>3181</v>
      </c>
      <c r="C781" t="s">
        <v>2962</v>
      </c>
      <c r="D781" t="s">
        <v>476</v>
      </c>
      <c r="E781" t="b">
        <v>1</v>
      </c>
    </row>
    <row r="782" spans="1:5" x14ac:dyDescent="0.2">
      <c r="A782" t="s">
        <v>3256</v>
      </c>
      <c r="B782" t="s">
        <v>3181</v>
      </c>
      <c r="C782" t="s">
        <v>169</v>
      </c>
      <c r="D782" t="s">
        <v>478</v>
      </c>
      <c r="E782" t="b">
        <v>1</v>
      </c>
    </row>
    <row r="783" spans="1:5" x14ac:dyDescent="0.2">
      <c r="A783" t="s">
        <v>3257</v>
      </c>
      <c r="B783" t="s">
        <v>3183</v>
      </c>
      <c r="C783" t="s">
        <v>2962</v>
      </c>
      <c r="D783" t="s">
        <v>476</v>
      </c>
      <c r="E783" t="b">
        <v>1</v>
      </c>
    </row>
    <row r="784" spans="1:5" x14ac:dyDescent="0.2">
      <c r="A784" t="s">
        <v>3258</v>
      </c>
      <c r="B784" t="s">
        <v>3183</v>
      </c>
      <c r="C784" t="s">
        <v>175</v>
      </c>
      <c r="D784" t="s">
        <v>478</v>
      </c>
      <c r="E784" t="b">
        <v>1</v>
      </c>
    </row>
    <row r="785" spans="1:7" x14ac:dyDescent="0.2">
      <c r="A785" t="s">
        <v>3259</v>
      </c>
      <c r="B785" t="s">
        <v>3186</v>
      </c>
      <c r="C785" t="s">
        <v>2962</v>
      </c>
      <c r="D785" t="s">
        <v>476</v>
      </c>
      <c r="E785" t="b">
        <v>1</v>
      </c>
    </row>
    <row r="786" spans="1:7" x14ac:dyDescent="0.2">
      <c r="A786" t="s">
        <v>3260</v>
      </c>
      <c r="B786" t="s">
        <v>3186</v>
      </c>
      <c r="C786" t="s">
        <v>175</v>
      </c>
      <c r="D786" t="s">
        <v>478</v>
      </c>
      <c r="E786" t="b">
        <v>1</v>
      </c>
    </row>
    <row r="787" spans="1:7" x14ac:dyDescent="0.2">
      <c r="A787" t="s">
        <v>3261</v>
      </c>
      <c r="B787" t="s">
        <v>3188</v>
      </c>
      <c r="C787" t="s">
        <v>2962</v>
      </c>
      <c r="D787" t="s">
        <v>476</v>
      </c>
      <c r="E787" t="b">
        <v>1</v>
      </c>
    </row>
    <row r="788" spans="1:7" x14ac:dyDescent="0.2">
      <c r="A788" t="s">
        <v>3262</v>
      </c>
      <c r="B788" t="s">
        <v>3188</v>
      </c>
      <c r="C788" t="s">
        <v>173</v>
      </c>
      <c r="D788" t="s">
        <v>478</v>
      </c>
      <c r="E788" t="b">
        <v>1</v>
      </c>
    </row>
    <row r="789" spans="1:7" x14ac:dyDescent="0.2">
      <c r="A789" t="s">
        <v>3263</v>
      </c>
      <c r="B789" t="s">
        <v>3192</v>
      </c>
      <c r="C789" t="s">
        <v>2962</v>
      </c>
      <c r="D789" t="s">
        <v>476</v>
      </c>
      <c r="E789" t="b">
        <v>1</v>
      </c>
    </row>
    <row r="790" spans="1:7" x14ac:dyDescent="0.2">
      <c r="A790" t="s">
        <v>3264</v>
      </c>
      <c r="B790" t="s">
        <v>3192</v>
      </c>
      <c r="C790" t="s">
        <v>173</v>
      </c>
      <c r="D790" t="s">
        <v>478</v>
      </c>
      <c r="E790" t="b">
        <v>1</v>
      </c>
    </row>
    <row r="791" spans="1:7" x14ac:dyDescent="0.2">
      <c r="A791" t="s">
        <v>3265</v>
      </c>
      <c r="B791" t="s">
        <v>3195</v>
      </c>
      <c r="C791" t="s">
        <v>2962</v>
      </c>
      <c r="D791" t="s">
        <v>476</v>
      </c>
      <c r="E791" t="b">
        <v>1</v>
      </c>
    </row>
    <row r="792" spans="1:7" x14ac:dyDescent="0.2">
      <c r="A792" t="s">
        <v>3266</v>
      </c>
      <c r="B792" t="s">
        <v>3195</v>
      </c>
      <c r="C792" t="s">
        <v>173</v>
      </c>
      <c r="D792" t="s">
        <v>478</v>
      </c>
      <c r="E792" t="b">
        <v>1</v>
      </c>
    </row>
    <row r="793" spans="1:7" x14ac:dyDescent="0.2">
      <c r="A793" t="s">
        <v>3267</v>
      </c>
      <c r="B793" t="s">
        <v>3199</v>
      </c>
      <c r="C793" t="s">
        <v>2962</v>
      </c>
      <c r="D793" t="s">
        <v>476</v>
      </c>
      <c r="E793" t="b">
        <v>1</v>
      </c>
    </row>
    <row r="794" spans="1:7" x14ac:dyDescent="0.2">
      <c r="A794" t="s">
        <v>3268</v>
      </c>
      <c r="B794" t="s">
        <v>3199</v>
      </c>
      <c r="C794" t="s">
        <v>177</v>
      </c>
      <c r="D794" t="s">
        <v>478</v>
      </c>
      <c r="E794" t="b">
        <v>1</v>
      </c>
    </row>
    <row r="795" spans="1:7" x14ac:dyDescent="0.2">
      <c r="A795" t="s">
        <v>3269</v>
      </c>
      <c r="B795" t="s">
        <v>3201</v>
      </c>
      <c r="C795" t="s">
        <v>2964</v>
      </c>
      <c r="D795" t="s">
        <v>476</v>
      </c>
      <c r="E795" t="b">
        <v>1</v>
      </c>
    </row>
    <row r="796" spans="1:7" x14ac:dyDescent="0.2">
      <c r="A796" t="s">
        <v>3270</v>
      </c>
      <c r="B796" t="s">
        <v>3201</v>
      </c>
      <c r="C796" t="s">
        <v>185</v>
      </c>
      <c r="D796" t="s">
        <v>478</v>
      </c>
      <c r="E796" t="b">
        <v>1</v>
      </c>
    </row>
    <row r="797" spans="1:7" x14ac:dyDescent="0.2">
      <c r="A797" t="s">
        <v>3271</v>
      </c>
      <c r="B797" t="s">
        <v>203</v>
      </c>
      <c r="C797" t="s">
        <v>2949</v>
      </c>
      <c r="D797" t="s">
        <v>476</v>
      </c>
      <c r="E797" t="b">
        <v>1</v>
      </c>
      <c r="G797" t="s">
        <v>3272</v>
      </c>
    </row>
    <row r="798" spans="1:7" x14ac:dyDescent="0.2">
      <c r="A798" t="s">
        <v>3273</v>
      </c>
      <c r="B798" t="s">
        <v>212</v>
      </c>
      <c r="C798" t="s">
        <v>2949</v>
      </c>
      <c r="D798" t="s">
        <v>476</v>
      </c>
      <c r="E798" t="b">
        <v>1</v>
      </c>
      <c r="G798" t="s">
        <v>3272</v>
      </c>
    </row>
    <row r="799" spans="1:7" x14ac:dyDescent="0.2">
      <c r="A799" t="s">
        <v>3274</v>
      </c>
      <c r="B799" t="s">
        <v>215</v>
      </c>
      <c r="C799" t="s">
        <v>2949</v>
      </c>
      <c r="D799" t="s">
        <v>476</v>
      </c>
      <c r="E799" t="b">
        <v>1</v>
      </c>
      <c r="G799" t="s">
        <v>3272</v>
      </c>
    </row>
    <row r="800" spans="1:7" x14ac:dyDescent="0.2">
      <c r="A800" t="s">
        <v>3275</v>
      </c>
      <c r="B800" t="s">
        <v>219</v>
      </c>
      <c r="C800" t="s">
        <v>2949</v>
      </c>
      <c r="D800" t="s">
        <v>476</v>
      </c>
      <c r="E800" t="b">
        <v>1</v>
      </c>
      <c r="G800" t="s">
        <v>3272</v>
      </c>
    </row>
    <row r="801" spans="1:7" x14ac:dyDescent="0.2">
      <c r="A801" t="s">
        <v>3276</v>
      </c>
      <c r="B801" t="s">
        <v>224</v>
      </c>
      <c r="C801" t="s">
        <v>2949</v>
      </c>
      <c r="D801" t="s">
        <v>476</v>
      </c>
      <c r="E801" t="b">
        <v>1</v>
      </c>
      <c r="G801" t="s">
        <v>3272</v>
      </c>
    </row>
    <row r="802" spans="1:7" x14ac:dyDescent="0.2">
      <c r="A802" t="s">
        <v>3277</v>
      </c>
      <c r="B802" t="s">
        <v>679</v>
      </c>
      <c r="C802" t="s">
        <v>2949</v>
      </c>
      <c r="D802" t="s">
        <v>476</v>
      </c>
      <c r="E802" t="b">
        <v>1</v>
      </c>
      <c r="G802" t="s">
        <v>3272</v>
      </c>
    </row>
    <row r="803" spans="1:7" x14ac:dyDescent="0.2">
      <c r="A803" t="s">
        <v>3278</v>
      </c>
      <c r="B803" t="s">
        <v>685</v>
      </c>
      <c r="C803" t="s">
        <v>2949</v>
      </c>
      <c r="D803" t="s">
        <v>476</v>
      </c>
      <c r="E803" t="b">
        <v>1</v>
      </c>
      <c r="G803" t="s">
        <v>3272</v>
      </c>
    </row>
    <row r="804" spans="1:7" x14ac:dyDescent="0.2">
      <c r="A804" t="s">
        <v>3279</v>
      </c>
      <c r="B804" t="s">
        <v>683</v>
      </c>
      <c r="C804" t="s">
        <v>2949</v>
      </c>
      <c r="D804" t="s">
        <v>476</v>
      </c>
      <c r="E804" t="b">
        <v>1</v>
      </c>
      <c r="G804" t="s">
        <v>3272</v>
      </c>
    </row>
    <row r="805" spans="1:7" x14ac:dyDescent="0.2">
      <c r="A805" t="s">
        <v>3280</v>
      </c>
      <c r="B805" t="s">
        <v>1005</v>
      </c>
      <c r="C805" t="s">
        <v>2949</v>
      </c>
      <c r="D805" t="s">
        <v>476</v>
      </c>
      <c r="E805" t="b">
        <v>1</v>
      </c>
      <c r="G805" t="s">
        <v>3272</v>
      </c>
    </row>
    <row r="806" spans="1:7" x14ac:dyDescent="0.2">
      <c r="A806" t="s">
        <v>3281</v>
      </c>
      <c r="B806" t="s">
        <v>1036</v>
      </c>
      <c r="C806" t="s">
        <v>2949</v>
      </c>
      <c r="D806" t="s">
        <v>476</v>
      </c>
      <c r="E806" t="b">
        <v>1</v>
      </c>
      <c r="G806" t="s">
        <v>3272</v>
      </c>
    </row>
    <row r="807" spans="1:7" x14ac:dyDescent="0.2">
      <c r="A807" t="s">
        <v>3282</v>
      </c>
      <c r="B807" t="s">
        <v>1022</v>
      </c>
      <c r="C807" t="s">
        <v>2949</v>
      </c>
      <c r="D807" t="s">
        <v>476</v>
      </c>
      <c r="E807" t="b">
        <v>1</v>
      </c>
      <c r="G807" t="s">
        <v>3272</v>
      </c>
    </row>
    <row r="808" spans="1:7" x14ac:dyDescent="0.2">
      <c r="A808" t="s">
        <v>3283</v>
      </c>
      <c r="B808" t="s">
        <v>1026</v>
      </c>
      <c r="C808" t="s">
        <v>2949</v>
      </c>
      <c r="D808" t="s">
        <v>476</v>
      </c>
      <c r="E808" t="b">
        <v>1</v>
      </c>
      <c r="G808" t="s">
        <v>3272</v>
      </c>
    </row>
    <row r="809" spans="1:7" x14ac:dyDescent="0.2">
      <c r="A809" t="s">
        <v>3284</v>
      </c>
      <c r="B809" t="s">
        <v>271</v>
      </c>
      <c r="C809" t="s">
        <v>2949</v>
      </c>
      <c r="D809" t="s">
        <v>476</v>
      </c>
      <c r="E809" t="b">
        <v>1</v>
      </c>
      <c r="G809" t="s">
        <v>3272</v>
      </c>
    </row>
    <row r="810" spans="1:7" x14ac:dyDescent="0.2">
      <c r="A810" t="s">
        <v>3285</v>
      </c>
      <c r="B810" t="s">
        <v>275</v>
      </c>
      <c r="C810" t="s">
        <v>2949</v>
      </c>
      <c r="D810" t="s">
        <v>476</v>
      </c>
      <c r="E810" t="b">
        <v>1</v>
      </c>
      <c r="G810" t="s">
        <v>3272</v>
      </c>
    </row>
    <row r="811" spans="1:7" x14ac:dyDescent="0.2">
      <c r="A811" t="s">
        <v>3286</v>
      </c>
      <c r="B811" t="s">
        <v>319</v>
      </c>
      <c r="C811" t="s">
        <v>2949</v>
      </c>
      <c r="D811" t="s">
        <v>476</v>
      </c>
      <c r="E811" t="b">
        <v>1</v>
      </c>
      <c r="G811" t="s">
        <v>3272</v>
      </c>
    </row>
    <row r="812" spans="1:7" x14ac:dyDescent="0.2">
      <c r="A812" t="s">
        <v>3287</v>
      </c>
      <c r="B812" t="s">
        <v>313</v>
      </c>
      <c r="C812" t="s">
        <v>2949</v>
      </c>
      <c r="D812" t="s">
        <v>476</v>
      </c>
      <c r="E812" t="b">
        <v>1</v>
      </c>
      <c r="G812" t="s">
        <v>3272</v>
      </c>
    </row>
    <row r="813" spans="1:7" x14ac:dyDescent="0.2">
      <c r="A813" t="s">
        <v>3288</v>
      </c>
      <c r="B813" t="s">
        <v>309</v>
      </c>
      <c r="C813" t="s">
        <v>2949</v>
      </c>
      <c r="D813" t="s">
        <v>476</v>
      </c>
      <c r="E813" t="b">
        <v>1</v>
      </c>
      <c r="G813" t="s">
        <v>3272</v>
      </c>
    </row>
    <row r="814" spans="1:7" x14ac:dyDescent="0.2">
      <c r="A814" t="s">
        <v>3289</v>
      </c>
      <c r="B814" t="s">
        <v>316</v>
      </c>
      <c r="C814" t="s">
        <v>2949</v>
      </c>
      <c r="D814" t="s">
        <v>476</v>
      </c>
      <c r="E814" t="b">
        <v>1</v>
      </c>
      <c r="G814" t="s">
        <v>3272</v>
      </c>
    </row>
    <row r="815" spans="1:7" x14ac:dyDescent="0.2">
      <c r="A815" t="s">
        <v>3290</v>
      </c>
      <c r="B815" t="s">
        <v>370</v>
      </c>
      <c r="C815" t="s">
        <v>2949</v>
      </c>
      <c r="D815" t="s">
        <v>476</v>
      </c>
      <c r="E815" t="b">
        <v>1</v>
      </c>
      <c r="G815" t="s">
        <v>3272</v>
      </c>
    </row>
    <row r="816" spans="1:7" x14ac:dyDescent="0.2">
      <c r="A816" t="s">
        <v>3291</v>
      </c>
      <c r="B816" t="s">
        <v>381</v>
      </c>
      <c r="C816" t="s">
        <v>2949</v>
      </c>
      <c r="D816" t="s">
        <v>476</v>
      </c>
      <c r="E816" t="b">
        <v>1</v>
      </c>
      <c r="G816" t="s">
        <v>3272</v>
      </c>
    </row>
    <row r="817" spans="1:7" x14ac:dyDescent="0.2">
      <c r="A817" t="s">
        <v>3292</v>
      </c>
      <c r="B817" t="s">
        <v>391</v>
      </c>
      <c r="C817" t="s">
        <v>2949</v>
      </c>
      <c r="D817" t="s">
        <v>476</v>
      </c>
      <c r="E817" t="b">
        <v>1</v>
      </c>
      <c r="G817" t="s">
        <v>3272</v>
      </c>
    </row>
    <row r="818" spans="1:7" x14ac:dyDescent="0.2">
      <c r="A818" t="s">
        <v>3293</v>
      </c>
      <c r="B818" t="s">
        <v>395</v>
      </c>
      <c r="C818" t="s">
        <v>2949</v>
      </c>
      <c r="D818" t="s">
        <v>476</v>
      </c>
      <c r="E818" t="b">
        <v>1</v>
      </c>
      <c r="G818" t="s">
        <v>3272</v>
      </c>
    </row>
    <row r="819" spans="1:7" x14ac:dyDescent="0.2">
      <c r="A819" t="s">
        <v>3294</v>
      </c>
      <c r="B819" t="s">
        <v>398</v>
      </c>
      <c r="C819" t="s">
        <v>2949</v>
      </c>
      <c r="D819" t="s">
        <v>476</v>
      </c>
      <c r="E819" t="b">
        <v>1</v>
      </c>
      <c r="G819" t="s">
        <v>3272</v>
      </c>
    </row>
    <row r="820" spans="1:7" x14ac:dyDescent="0.2">
      <c r="A820" t="s">
        <v>3295</v>
      </c>
      <c r="B820" t="s">
        <v>401</v>
      </c>
      <c r="C820" t="s">
        <v>2949</v>
      </c>
      <c r="D820" t="s">
        <v>476</v>
      </c>
      <c r="E820" t="b">
        <v>1</v>
      </c>
      <c r="G820" t="s">
        <v>3272</v>
      </c>
    </row>
    <row r="821" spans="1:7" x14ac:dyDescent="0.2">
      <c r="A821" t="s">
        <v>3296</v>
      </c>
      <c r="B821" t="s">
        <v>203</v>
      </c>
      <c r="C821" t="s">
        <v>2950</v>
      </c>
      <c r="D821" t="s">
        <v>476</v>
      </c>
      <c r="E821" t="b">
        <v>1</v>
      </c>
      <c r="G821" t="s">
        <v>3297</v>
      </c>
    </row>
    <row r="822" spans="1:7" x14ac:dyDescent="0.2">
      <c r="A822" t="s">
        <v>3298</v>
      </c>
      <c r="B822" t="s">
        <v>212</v>
      </c>
      <c r="C822" t="s">
        <v>2950</v>
      </c>
      <c r="D822" t="s">
        <v>476</v>
      </c>
      <c r="E822" t="b">
        <v>1</v>
      </c>
      <c r="G822" t="s">
        <v>3297</v>
      </c>
    </row>
    <row r="823" spans="1:7" x14ac:dyDescent="0.2">
      <c r="A823" t="s">
        <v>3299</v>
      </c>
      <c r="B823" t="s">
        <v>215</v>
      </c>
      <c r="C823" t="s">
        <v>2950</v>
      </c>
      <c r="D823" t="s">
        <v>476</v>
      </c>
      <c r="E823" t="b">
        <v>1</v>
      </c>
      <c r="G823" t="s">
        <v>3297</v>
      </c>
    </row>
    <row r="824" spans="1:7" x14ac:dyDescent="0.2">
      <c r="A824" t="s">
        <v>3300</v>
      </c>
      <c r="B824" t="s">
        <v>219</v>
      </c>
      <c r="C824" t="s">
        <v>2950</v>
      </c>
      <c r="D824" t="s">
        <v>476</v>
      </c>
      <c r="E824" t="b">
        <v>1</v>
      </c>
      <c r="G824" t="s">
        <v>3297</v>
      </c>
    </row>
    <row r="825" spans="1:7" x14ac:dyDescent="0.2">
      <c r="A825" t="s">
        <v>3301</v>
      </c>
      <c r="B825" t="s">
        <v>224</v>
      </c>
      <c r="C825" t="s">
        <v>2950</v>
      </c>
      <c r="D825" t="s">
        <v>476</v>
      </c>
      <c r="E825" t="b">
        <v>1</v>
      </c>
      <c r="G825" t="s">
        <v>3297</v>
      </c>
    </row>
    <row r="826" spans="1:7" x14ac:dyDescent="0.2">
      <c r="A826" t="s">
        <v>3302</v>
      </c>
      <c r="B826" t="s">
        <v>683</v>
      </c>
      <c r="C826" t="s">
        <v>2950</v>
      </c>
      <c r="D826" t="s">
        <v>476</v>
      </c>
      <c r="E826" t="b">
        <v>1</v>
      </c>
      <c r="G826" t="s">
        <v>3297</v>
      </c>
    </row>
    <row r="827" spans="1:7" x14ac:dyDescent="0.2">
      <c r="A827" t="s">
        <v>3303</v>
      </c>
      <c r="B827" t="s">
        <v>1005</v>
      </c>
      <c r="C827" t="s">
        <v>2950</v>
      </c>
      <c r="D827" t="s">
        <v>476</v>
      </c>
      <c r="E827" t="b">
        <v>1</v>
      </c>
      <c r="G827" t="s">
        <v>3297</v>
      </c>
    </row>
    <row r="828" spans="1:7" x14ac:dyDescent="0.2">
      <c r="A828" t="s">
        <v>3304</v>
      </c>
      <c r="B828" t="s">
        <v>1036</v>
      </c>
      <c r="C828" t="s">
        <v>2950</v>
      </c>
      <c r="D828" t="s">
        <v>476</v>
      </c>
      <c r="E828" t="b">
        <v>1</v>
      </c>
      <c r="G828" t="s">
        <v>3297</v>
      </c>
    </row>
    <row r="829" spans="1:7" x14ac:dyDescent="0.2">
      <c r="A829" t="s">
        <v>3305</v>
      </c>
      <c r="B829" t="s">
        <v>1022</v>
      </c>
      <c r="C829" t="s">
        <v>2950</v>
      </c>
      <c r="D829" t="s">
        <v>476</v>
      </c>
      <c r="E829" t="b">
        <v>1</v>
      </c>
      <c r="G829" t="s">
        <v>3297</v>
      </c>
    </row>
    <row r="830" spans="1:7" x14ac:dyDescent="0.2">
      <c r="A830" t="s">
        <v>3306</v>
      </c>
      <c r="B830" t="s">
        <v>1026</v>
      </c>
      <c r="C830" t="s">
        <v>2950</v>
      </c>
      <c r="D830" t="s">
        <v>476</v>
      </c>
      <c r="E830" t="b">
        <v>1</v>
      </c>
      <c r="G830" t="s">
        <v>3297</v>
      </c>
    </row>
    <row r="831" spans="1:7" x14ac:dyDescent="0.2">
      <c r="A831" t="s">
        <v>3307</v>
      </c>
      <c r="B831" t="s">
        <v>319</v>
      </c>
      <c r="C831" t="s">
        <v>2950</v>
      </c>
      <c r="D831" t="s">
        <v>476</v>
      </c>
      <c r="E831" t="b">
        <v>1</v>
      </c>
      <c r="G831" t="s">
        <v>3297</v>
      </c>
    </row>
    <row r="832" spans="1:7" x14ac:dyDescent="0.2">
      <c r="A832" t="s">
        <v>3308</v>
      </c>
      <c r="B832" t="s">
        <v>313</v>
      </c>
      <c r="C832" t="s">
        <v>2950</v>
      </c>
      <c r="D832" t="s">
        <v>476</v>
      </c>
      <c r="E832" t="b">
        <v>1</v>
      </c>
      <c r="G832" t="s">
        <v>3297</v>
      </c>
    </row>
    <row r="833" spans="1:7" x14ac:dyDescent="0.2">
      <c r="A833" t="s">
        <v>3309</v>
      </c>
      <c r="B833" t="s">
        <v>381</v>
      </c>
      <c r="C833" t="s">
        <v>2950</v>
      </c>
      <c r="D833" t="s">
        <v>476</v>
      </c>
      <c r="E833" t="b">
        <v>1</v>
      </c>
      <c r="G833" t="s">
        <v>3297</v>
      </c>
    </row>
    <row r="834" spans="1:7" x14ac:dyDescent="0.2">
      <c r="A834" t="s">
        <v>3310</v>
      </c>
      <c r="B834" t="s">
        <v>374</v>
      </c>
      <c r="C834" t="s">
        <v>2950</v>
      </c>
      <c r="D834" t="s">
        <v>476</v>
      </c>
      <c r="E834" t="b">
        <v>1</v>
      </c>
      <c r="G834" t="s">
        <v>3297</v>
      </c>
    </row>
    <row r="835" spans="1:7" x14ac:dyDescent="0.2">
      <c r="A835" t="s">
        <v>3311</v>
      </c>
      <c r="B835" t="s">
        <v>391</v>
      </c>
      <c r="C835" t="s">
        <v>2950</v>
      </c>
      <c r="D835" t="s">
        <v>476</v>
      </c>
      <c r="E835" t="b">
        <v>1</v>
      </c>
      <c r="G835" t="s">
        <v>3297</v>
      </c>
    </row>
    <row r="836" spans="1:7" x14ac:dyDescent="0.2">
      <c r="A836" t="s">
        <v>3312</v>
      </c>
      <c r="B836" t="s">
        <v>395</v>
      </c>
      <c r="C836" t="s">
        <v>2950</v>
      </c>
      <c r="D836" t="s">
        <v>476</v>
      </c>
      <c r="E836" t="b">
        <v>1</v>
      </c>
      <c r="G836" t="s">
        <v>3297</v>
      </c>
    </row>
    <row r="837" spans="1:7" x14ac:dyDescent="0.2">
      <c r="A837" t="s">
        <v>3313</v>
      </c>
      <c r="B837" t="s">
        <v>203</v>
      </c>
      <c r="C837" t="s">
        <v>2952</v>
      </c>
      <c r="D837" t="s">
        <v>476</v>
      </c>
      <c r="E837" t="b">
        <v>1</v>
      </c>
      <c r="G837" t="s">
        <v>3314</v>
      </c>
    </row>
    <row r="838" spans="1:7" x14ac:dyDescent="0.2">
      <c r="A838" t="s">
        <v>3315</v>
      </c>
      <c r="B838" t="s">
        <v>212</v>
      </c>
      <c r="C838" t="s">
        <v>2952</v>
      </c>
      <c r="D838" t="s">
        <v>476</v>
      </c>
      <c r="E838" t="b">
        <v>1</v>
      </c>
      <c r="G838" t="s">
        <v>3314</v>
      </c>
    </row>
    <row r="839" spans="1:7" x14ac:dyDescent="0.2">
      <c r="A839" t="s">
        <v>3316</v>
      </c>
      <c r="B839" t="s">
        <v>215</v>
      </c>
      <c r="C839" t="s">
        <v>2952</v>
      </c>
      <c r="D839" t="s">
        <v>476</v>
      </c>
      <c r="E839" t="b">
        <v>1</v>
      </c>
      <c r="G839" t="s">
        <v>3314</v>
      </c>
    </row>
    <row r="840" spans="1:7" x14ac:dyDescent="0.2">
      <c r="A840" t="s">
        <v>3317</v>
      </c>
      <c r="B840" t="s">
        <v>224</v>
      </c>
      <c r="C840" t="s">
        <v>2952</v>
      </c>
      <c r="D840" t="s">
        <v>476</v>
      </c>
      <c r="E840" t="b">
        <v>1</v>
      </c>
      <c r="G840" t="s">
        <v>3314</v>
      </c>
    </row>
    <row r="841" spans="1:7" x14ac:dyDescent="0.2">
      <c r="A841" t="s">
        <v>3318</v>
      </c>
      <c r="B841" t="s">
        <v>683</v>
      </c>
      <c r="C841" t="s">
        <v>2952</v>
      </c>
      <c r="D841" t="s">
        <v>476</v>
      </c>
      <c r="E841" t="b">
        <v>1</v>
      </c>
      <c r="G841" t="s">
        <v>3314</v>
      </c>
    </row>
    <row r="842" spans="1:7" x14ac:dyDescent="0.2">
      <c r="A842" t="s">
        <v>3319</v>
      </c>
      <c r="B842" t="s">
        <v>1005</v>
      </c>
      <c r="C842" t="s">
        <v>2952</v>
      </c>
      <c r="D842" t="s">
        <v>476</v>
      </c>
      <c r="E842" t="b">
        <v>1</v>
      </c>
      <c r="G842" t="s">
        <v>3314</v>
      </c>
    </row>
    <row r="843" spans="1:7" x14ac:dyDescent="0.2">
      <c r="A843" t="s">
        <v>3320</v>
      </c>
      <c r="B843" t="s">
        <v>1036</v>
      </c>
      <c r="C843" t="s">
        <v>2952</v>
      </c>
      <c r="D843" t="s">
        <v>476</v>
      </c>
      <c r="E843" t="b">
        <v>1</v>
      </c>
      <c r="G843" t="s">
        <v>3314</v>
      </c>
    </row>
    <row r="844" spans="1:7" x14ac:dyDescent="0.2">
      <c r="A844" t="s">
        <v>3321</v>
      </c>
      <c r="B844" t="s">
        <v>319</v>
      </c>
      <c r="C844" t="s">
        <v>2952</v>
      </c>
      <c r="D844" t="s">
        <v>476</v>
      </c>
      <c r="E844" t="b">
        <v>1</v>
      </c>
      <c r="G844" t="s">
        <v>3314</v>
      </c>
    </row>
    <row r="845" spans="1:7" x14ac:dyDescent="0.2">
      <c r="A845" t="s">
        <v>3322</v>
      </c>
      <c r="B845" t="s">
        <v>313</v>
      </c>
      <c r="C845" t="s">
        <v>2952</v>
      </c>
      <c r="D845" t="s">
        <v>476</v>
      </c>
      <c r="E845" t="b">
        <v>1</v>
      </c>
      <c r="G845" t="s">
        <v>3314</v>
      </c>
    </row>
    <row r="846" spans="1:7" x14ac:dyDescent="0.2">
      <c r="A846" t="s">
        <v>3323</v>
      </c>
      <c r="B846" t="s">
        <v>381</v>
      </c>
      <c r="C846" t="s">
        <v>2952</v>
      </c>
      <c r="D846" t="s">
        <v>476</v>
      </c>
      <c r="E846" t="b">
        <v>1</v>
      </c>
      <c r="G846" t="s">
        <v>3314</v>
      </c>
    </row>
    <row r="847" spans="1:7" x14ac:dyDescent="0.2">
      <c r="A847" t="s">
        <v>3324</v>
      </c>
      <c r="B847" t="s">
        <v>391</v>
      </c>
      <c r="C847" t="s">
        <v>2952</v>
      </c>
      <c r="D847" t="s">
        <v>476</v>
      </c>
      <c r="E847" t="b">
        <v>1</v>
      </c>
      <c r="G847" t="s">
        <v>3314</v>
      </c>
    </row>
    <row r="848" spans="1:7" x14ac:dyDescent="0.2">
      <c r="A848" t="s">
        <v>3325</v>
      </c>
      <c r="B848" t="s">
        <v>395</v>
      </c>
      <c r="C848" t="s">
        <v>2952</v>
      </c>
      <c r="D848" t="s">
        <v>476</v>
      </c>
      <c r="E848" t="b">
        <v>1</v>
      </c>
      <c r="G848" t="s">
        <v>3314</v>
      </c>
    </row>
    <row r="849" spans="1:7" x14ac:dyDescent="0.2">
      <c r="A849" t="s">
        <v>3326</v>
      </c>
      <c r="B849" t="s">
        <v>401</v>
      </c>
      <c r="C849" t="s">
        <v>2952</v>
      </c>
      <c r="D849" t="s">
        <v>476</v>
      </c>
      <c r="E849" t="b">
        <v>1</v>
      </c>
      <c r="G849" t="s">
        <v>3314</v>
      </c>
    </row>
    <row r="850" spans="1:7" x14ac:dyDescent="0.2">
      <c r="A850" t="s">
        <v>3327</v>
      </c>
      <c r="B850" t="s">
        <v>203</v>
      </c>
      <c r="C850" t="s">
        <v>2957</v>
      </c>
      <c r="D850" t="s">
        <v>476</v>
      </c>
      <c r="E850" t="b">
        <v>1</v>
      </c>
      <c r="G850" t="s">
        <v>3328</v>
      </c>
    </row>
    <row r="851" spans="1:7" x14ac:dyDescent="0.2">
      <c r="A851" t="s">
        <v>3329</v>
      </c>
      <c r="B851" t="s">
        <v>212</v>
      </c>
      <c r="C851" t="s">
        <v>2957</v>
      </c>
      <c r="D851" t="s">
        <v>476</v>
      </c>
      <c r="E851" t="b">
        <v>1</v>
      </c>
      <c r="G851" t="s">
        <v>3328</v>
      </c>
    </row>
    <row r="852" spans="1:7" x14ac:dyDescent="0.2">
      <c r="A852" t="s">
        <v>3330</v>
      </c>
      <c r="B852" t="s">
        <v>215</v>
      </c>
      <c r="C852" t="s">
        <v>2957</v>
      </c>
      <c r="D852" t="s">
        <v>476</v>
      </c>
      <c r="E852" t="b">
        <v>1</v>
      </c>
      <c r="G852" t="s">
        <v>3328</v>
      </c>
    </row>
    <row r="853" spans="1:7" x14ac:dyDescent="0.2">
      <c r="A853" t="s">
        <v>3331</v>
      </c>
      <c r="B853" t="s">
        <v>224</v>
      </c>
      <c r="C853" t="s">
        <v>2957</v>
      </c>
      <c r="D853" t="s">
        <v>476</v>
      </c>
      <c r="E853" t="b">
        <v>1</v>
      </c>
      <c r="G853" t="s">
        <v>3328</v>
      </c>
    </row>
    <row r="854" spans="1:7" x14ac:dyDescent="0.2">
      <c r="A854" t="s">
        <v>3332</v>
      </c>
      <c r="B854" t="s">
        <v>679</v>
      </c>
      <c r="C854" t="s">
        <v>2957</v>
      </c>
      <c r="D854" t="s">
        <v>476</v>
      </c>
      <c r="E854" t="b">
        <v>1</v>
      </c>
      <c r="G854" t="s">
        <v>3328</v>
      </c>
    </row>
    <row r="855" spans="1:7" x14ac:dyDescent="0.2">
      <c r="A855" t="s">
        <v>3333</v>
      </c>
      <c r="B855" t="s">
        <v>685</v>
      </c>
      <c r="C855" t="s">
        <v>2957</v>
      </c>
      <c r="D855" t="s">
        <v>476</v>
      </c>
      <c r="E855" t="b">
        <v>1</v>
      </c>
      <c r="G855" t="s">
        <v>3328</v>
      </c>
    </row>
    <row r="856" spans="1:7" x14ac:dyDescent="0.2">
      <c r="A856" t="s">
        <v>3334</v>
      </c>
      <c r="B856" t="s">
        <v>683</v>
      </c>
      <c r="C856" t="s">
        <v>2957</v>
      </c>
      <c r="D856" t="s">
        <v>476</v>
      </c>
      <c r="E856" t="b">
        <v>1</v>
      </c>
      <c r="G856" t="s">
        <v>3328</v>
      </c>
    </row>
    <row r="857" spans="1:7" x14ac:dyDescent="0.2">
      <c r="A857" t="s">
        <v>3335</v>
      </c>
      <c r="B857" t="s">
        <v>1005</v>
      </c>
      <c r="C857" t="s">
        <v>2957</v>
      </c>
      <c r="D857" t="s">
        <v>476</v>
      </c>
      <c r="E857" t="b">
        <v>1</v>
      </c>
      <c r="G857" t="s">
        <v>3328</v>
      </c>
    </row>
    <row r="858" spans="1:7" x14ac:dyDescent="0.2">
      <c r="A858" t="s">
        <v>3336</v>
      </c>
      <c r="B858" t="s">
        <v>1036</v>
      </c>
      <c r="C858" t="s">
        <v>2957</v>
      </c>
      <c r="D858" t="s">
        <v>476</v>
      </c>
      <c r="E858" t="b">
        <v>1</v>
      </c>
      <c r="G858" t="s">
        <v>3328</v>
      </c>
    </row>
    <row r="859" spans="1:7" x14ac:dyDescent="0.2">
      <c r="A859" t="s">
        <v>3337</v>
      </c>
      <c r="B859" t="s">
        <v>1022</v>
      </c>
      <c r="C859" t="s">
        <v>2957</v>
      </c>
      <c r="D859" t="s">
        <v>476</v>
      </c>
      <c r="E859" t="b">
        <v>1</v>
      </c>
      <c r="G859" t="s">
        <v>3328</v>
      </c>
    </row>
    <row r="860" spans="1:7" x14ac:dyDescent="0.2">
      <c r="A860" t="s">
        <v>3338</v>
      </c>
      <c r="B860" t="s">
        <v>319</v>
      </c>
      <c r="C860" t="s">
        <v>2957</v>
      </c>
      <c r="D860" t="s">
        <v>476</v>
      </c>
      <c r="E860" t="b">
        <v>1</v>
      </c>
      <c r="G860" t="s">
        <v>3328</v>
      </c>
    </row>
    <row r="861" spans="1:7" x14ac:dyDescent="0.2">
      <c r="A861" t="s">
        <v>3339</v>
      </c>
      <c r="B861" t="s">
        <v>381</v>
      </c>
      <c r="C861" t="s">
        <v>2957</v>
      </c>
      <c r="D861" t="s">
        <v>476</v>
      </c>
      <c r="E861" t="b">
        <v>1</v>
      </c>
      <c r="G861" t="s">
        <v>3328</v>
      </c>
    </row>
    <row r="862" spans="1:7" x14ac:dyDescent="0.2">
      <c r="A862" t="s">
        <v>3340</v>
      </c>
      <c r="B862" t="s">
        <v>391</v>
      </c>
      <c r="C862" t="s">
        <v>2957</v>
      </c>
      <c r="D862" t="s">
        <v>476</v>
      </c>
      <c r="E862" t="b">
        <v>1</v>
      </c>
      <c r="G862" t="s">
        <v>3328</v>
      </c>
    </row>
    <row r="863" spans="1:7" x14ac:dyDescent="0.2">
      <c r="A863" t="s">
        <v>3341</v>
      </c>
      <c r="B863" t="s">
        <v>395</v>
      </c>
      <c r="C863" t="s">
        <v>2957</v>
      </c>
      <c r="D863" t="s">
        <v>476</v>
      </c>
      <c r="E863" t="b">
        <v>1</v>
      </c>
      <c r="G863" t="s">
        <v>3328</v>
      </c>
    </row>
    <row r="864" spans="1:7" x14ac:dyDescent="0.2">
      <c r="A864" t="s">
        <v>3342</v>
      </c>
      <c r="B864" t="s">
        <v>398</v>
      </c>
      <c r="C864" t="s">
        <v>2957</v>
      </c>
      <c r="D864" t="s">
        <v>476</v>
      </c>
      <c r="E864" t="b">
        <v>1</v>
      </c>
      <c r="G864" t="s">
        <v>3328</v>
      </c>
    </row>
    <row r="865" spans="1:7" x14ac:dyDescent="0.2">
      <c r="A865" t="s">
        <v>3343</v>
      </c>
      <c r="B865" t="s">
        <v>203</v>
      </c>
      <c r="C865" t="s">
        <v>2962</v>
      </c>
      <c r="D865" t="s">
        <v>476</v>
      </c>
      <c r="E865" t="b">
        <v>1</v>
      </c>
      <c r="G865" t="s">
        <v>3344</v>
      </c>
    </row>
    <row r="866" spans="1:7" x14ac:dyDescent="0.2">
      <c r="A866" t="s">
        <v>3345</v>
      </c>
      <c r="B866" t="s">
        <v>212</v>
      </c>
      <c r="C866" t="s">
        <v>2962</v>
      </c>
      <c r="D866" t="s">
        <v>476</v>
      </c>
      <c r="E866" t="b">
        <v>1</v>
      </c>
      <c r="G866" t="s">
        <v>3344</v>
      </c>
    </row>
    <row r="867" spans="1:7" x14ac:dyDescent="0.2">
      <c r="A867" t="s">
        <v>3346</v>
      </c>
      <c r="B867" t="s">
        <v>215</v>
      </c>
      <c r="C867" t="s">
        <v>2962</v>
      </c>
      <c r="D867" t="s">
        <v>476</v>
      </c>
      <c r="E867" t="b">
        <v>1</v>
      </c>
      <c r="G867" t="s">
        <v>3344</v>
      </c>
    </row>
    <row r="868" spans="1:7" x14ac:dyDescent="0.2">
      <c r="A868" t="s">
        <v>3347</v>
      </c>
      <c r="B868" t="s">
        <v>219</v>
      </c>
      <c r="C868" t="s">
        <v>2962</v>
      </c>
      <c r="D868" t="s">
        <v>476</v>
      </c>
      <c r="E868" t="b">
        <v>1</v>
      </c>
      <c r="G868" t="s">
        <v>3344</v>
      </c>
    </row>
    <row r="869" spans="1:7" x14ac:dyDescent="0.2">
      <c r="A869" t="s">
        <v>3348</v>
      </c>
      <c r="B869" t="s">
        <v>224</v>
      </c>
      <c r="C869" t="s">
        <v>2962</v>
      </c>
      <c r="D869" t="s">
        <v>476</v>
      </c>
      <c r="E869" t="b">
        <v>1</v>
      </c>
      <c r="G869" t="s">
        <v>3344</v>
      </c>
    </row>
    <row r="870" spans="1:7" x14ac:dyDescent="0.2">
      <c r="A870" t="s">
        <v>3349</v>
      </c>
      <c r="B870" t="s">
        <v>683</v>
      </c>
      <c r="C870" t="s">
        <v>2962</v>
      </c>
      <c r="D870" t="s">
        <v>476</v>
      </c>
      <c r="E870" t="b">
        <v>1</v>
      </c>
      <c r="G870" t="s">
        <v>3344</v>
      </c>
    </row>
    <row r="871" spans="1:7" x14ac:dyDescent="0.2">
      <c r="A871" t="s">
        <v>3350</v>
      </c>
      <c r="B871" t="s">
        <v>1005</v>
      </c>
      <c r="C871" t="s">
        <v>2962</v>
      </c>
      <c r="D871" t="s">
        <v>476</v>
      </c>
      <c r="E871" t="b">
        <v>1</v>
      </c>
      <c r="G871" t="s">
        <v>3344</v>
      </c>
    </row>
    <row r="872" spans="1:7" x14ac:dyDescent="0.2">
      <c r="A872" t="s">
        <v>3351</v>
      </c>
      <c r="B872" t="s">
        <v>1036</v>
      </c>
      <c r="C872" t="s">
        <v>2962</v>
      </c>
      <c r="D872" t="s">
        <v>476</v>
      </c>
      <c r="E872" t="b">
        <v>1</v>
      </c>
      <c r="G872" t="s">
        <v>3344</v>
      </c>
    </row>
    <row r="873" spans="1:7" x14ac:dyDescent="0.2">
      <c r="A873" t="s">
        <v>3352</v>
      </c>
      <c r="B873" t="s">
        <v>319</v>
      </c>
      <c r="C873" t="s">
        <v>2962</v>
      </c>
      <c r="D873" t="s">
        <v>476</v>
      </c>
      <c r="E873" t="b">
        <v>1</v>
      </c>
      <c r="G873" t="s">
        <v>3344</v>
      </c>
    </row>
    <row r="874" spans="1:7" x14ac:dyDescent="0.2">
      <c r="A874" t="s">
        <v>3353</v>
      </c>
      <c r="B874" t="s">
        <v>313</v>
      </c>
      <c r="C874" t="s">
        <v>2962</v>
      </c>
      <c r="D874" t="s">
        <v>476</v>
      </c>
      <c r="E874" t="b">
        <v>1</v>
      </c>
      <c r="G874" t="s">
        <v>3344</v>
      </c>
    </row>
    <row r="875" spans="1:7" x14ac:dyDescent="0.2">
      <c r="A875" t="s">
        <v>3354</v>
      </c>
      <c r="B875" t="s">
        <v>309</v>
      </c>
      <c r="C875" t="s">
        <v>2962</v>
      </c>
      <c r="D875" t="s">
        <v>476</v>
      </c>
      <c r="E875" t="b">
        <v>1</v>
      </c>
      <c r="G875" t="s">
        <v>3344</v>
      </c>
    </row>
    <row r="876" spans="1:7" x14ac:dyDescent="0.2">
      <c r="A876" t="s">
        <v>3355</v>
      </c>
      <c r="B876" t="s">
        <v>316</v>
      </c>
      <c r="C876" t="s">
        <v>2962</v>
      </c>
      <c r="D876" t="s">
        <v>476</v>
      </c>
      <c r="E876" t="b">
        <v>1</v>
      </c>
      <c r="G876" t="s">
        <v>3344</v>
      </c>
    </row>
    <row r="877" spans="1:7" x14ac:dyDescent="0.2">
      <c r="A877" t="s">
        <v>3356</v>
      </c>
      <c r="B877" t="s">
        <v>381</v>
      </c>
      <c r="C877" t="s">
        <v>2962</v>
      </c>
      <c r="D877" t="s">
        <v>476</v>
      </c>
      <c r="E877" t="b">
        <v>1</v>
      </c>
      <c r="G877" t="s">
        <v>3344</v>
      </c>
    </row>
    <row r="878" spans="1:7" x14ac:dyDescent="0.2">
      <c r="A878" t="s">
        <v>3357</v>
      </c>
      <c r="B878" t="s">
        <v>374</v>
      </c>
      <c r="C878" t="s">
        <v>2962</v>
      </c>
      <c r="D878" t="s">
        <v>476</v>
      </c>
      <c r="E878" t="b">
        <v>1</v>
      </c>
      <c r="G878" t="s">
        <v>3344</v>
      </c>
    </row>
    <row r="879" spans="1:7" x14ac:dyDescent="0.2">
      <c r="A879" t="s">
        <v>3358</v>
      </c>
      <c r="B879" t="s">
        <v>391</v>
      </c>
      <c r="C879" t="s">
        <v>2962</v>
      </c>
      <c r="D879" t="s">
        <v>476</v>
      </c>
      <c r="E879" t="b">
        <v>1</v>
      </c>
      <c r="G879" t="s">
        <v>3344</v>
      </c>
    </row>
    <row r="880" spans="1:7" x14ac:dyDescent="0.2">
      <c r="A880" t="s">
        <v>3359</v>
      </c>
      <c r="B880" t="s">
        <v>395</v>
      </c>
      <c r="C880" t="s">
        <v>2962</v>
      </c>
      <c r="D880" t="s">
        <v>476</v>
      </c>
      <c r="E880" t="b">
        <v>1</v>
      </c>
      <c r="G880" t="s">
        <v>3344</v>
      </c>
    </row>
    <row r="881" spans="1:7" x14ac:dyDescent="0.2">
      <c r="A881" t="s">
        <v>3360</v>
      </c>
      <c r="B881" t="s">
        <v>401</v>
      </c>
      <c r="C881" t="s">
        <v>2962</v>
      </c>
      <c r="D881" t="s">
        <v>476</v>
      </c>
      <c r="E881" t="b">
        <v>1</v>
      </c>
      <c r="G881" t="s">
        <v>3344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DAEEF-129E-A542-8745-F36051EEF618}">
  <dimension ref="A1:C41"/>
  <sheetViews>
    <sheetView workbookViewId="0">
      <pane ySplit="1" topLeftCell="A2" activePane="bottomLeft" state="frozen"/>
      <selection pane="bottomLeft"/>
    </sheetView>
  </sheetViews>
  <sheetFormatPr baseColWidth="10" defaultRowHeight="16" x14ac:dyDescent="0.2"/>
  <cols>
    <col min="1" max="1" width="23.33203125" customWidth="1"/>
    <col min="2" max="2" width="31.6640625" customWidth="1"/>
    <col min="3" max="3" width="86.6640625" customWidth="1"/>
  </cols>
  <sheetData>
    <row r="1" spans="1:3" x14ac:dyDescent="0.2">
      <c r="A1" s="2" t="s">
        <v>1315</v>
      </c>
      <c r="B1" s="2" t="s">
        <v>1316</v>
      </c>
      <c r="C1" s="2" t="s">
        <v>1317</v>
      </c>
    </row>
    <row r="2" spans="1:3" x14ac:dyDescent="0.2">
      <c r="A2" t="s">
        <v>2</v>
      </c>
      <c r="B2" t="s">
        <v>24</v>
      </c>
      <c r="C2" t="s">
        <v>1318</v>
      </c>
    </row>
    <row r="3" spans="1:3" x14ac:dyDescent="0.2">
      <c r="A3" t="s">
        <v>2</v>
      </c>
      <c r="B3" t="s">
        <v>36</v>
      </c>
      <c r="C3" t="s">
        <v>1319</v>
      </c>
    </row>
    <row r="4" spans="1:3" x14ac:dyDescent="0.2">
      <c r="A4" t="s">
        <v>2</v>
      </c>
      <c r="B4" t="s">
        <v>79</v>
      </c>
      <c r="C4" t="s">
        <v>1320</v>
      </c>
    </row>
    <row r="5" spans="1:3" x14ac:dyDescent="0.2">
      <c r="A5" t="s">
        <v>2</v>
      </c>
      <c r="B5" t="s">
        <v>205</v>
      </c>
      <c r="C5" t="s">
        <v>1321</v>
      </c>
    </row>
    <row r="6" spans="1:3" x14ac:dyDescent="0.2">
      <c r="A6" t="s">
        <v>2</v>
      </c>
      <c r="B6" t="s">
        <v>164</v>
      </c>
      <c r="C6" t="s">
        <v>1322</v>
      </c>
    </row>
    <row r="7" spans="1:3" x14ac:dyDescent="0.2">
      <c r="A7" t="s">
        <v>2</v>
      </c>
      <c r="B7" t="s">
        <v>192</v>
      </c>
      <c r="C7" t="s">
        <v>1323</v>
      </c>
    </row>
    <row r="8" spans="1:3" x14ac:dyDescent="0.2">
      <c r="A8" t="s">
        <v>2</v>
      </c>
      <c r="B8" t="s">
        <v>202</v>
      </c>
      <c r="C8" t="s">
        <v>1324</v>
      </c>
    </row>
    <row r="9" spans="1:3" x14ac:dyDescent="0.2">
      <c r="A9" t="s">
        <v>407</v>
      </c>
      <c r="B9" t="s">
        <v>411</v>
      </c>
      <c r="C9" t="s">
        <v>1325</v>
      </c>
    </row>
    <row r="10" spans="1:3" x14ac:dyDescent="0.2">
      <c r="A10" t="s">
        <v>407</v>
      </c>
      <c r="B10" t="s">
        <v>476</v>
      </c>
      <c r="C10" t="s">
        <v>1326</v>
      </c>
    </row>
    <row r="11" spans="1:3" x14ac:dyDescent="0.2">
      <c r="A11" t="s">
        <v>407</v>
      </c>
      <c r="B11" t="s">
        <v>478</v>
      </c>
      <c r="C11" t="s">
        <v>1327</v>
      </c>
    </row>
    <row r="12" spans="1:3" x14ac:dyDescent="0.2">
      <c r="A12" t="s">
        <v>407</v>
      </c>
      <c r="B12" t="s">
        <v>479</v>
      </c>
      <c r="C12" t="s">
        <v>1328</v>
      </c>
    </row>
    <row r="13" spans="1:3" x14ac:dyDescent="0.2">
      <c r="A13" t="s">
        <v>407</v>
      </c>
      <c r="B13" t="s">
        <v>908</v>
      </c>
      <c r="C13" t="s">
        <v>1329</v>
      </c>
    </row>
    <row r="14" spans="1:3" x14ac:dyDescent="0.2">
      <c r="A14" t="s">
        <v>407</v>
      </c>
      <c r="B14" t="s">
        <v>909</v>
      </c>
      <c r="C14" t="s">
        <v>1330</v>
      </c>
    </row>
    <row r="15" spans="1:3" x14ac:dyDescent="0.2">
      <c r="A15" t="s">
        <v>407</v>
      </c>
      <c r="B15" t="s">
        <v>1272</v>
      </c>
      <c r="C15" t="s">
        <v>1331</v>
      </c>
    </row>
    <row r="16" spans="1:3" x14ac:dyDescent="0.2">
      <c r="A16" t="s">
        <v>407</v>
      </c>
      <c r="B16" t="s">
        <v>1270</v>
      </c>
      <c r="C16" t="s">
        <v>1332</v>
      </c>
    </row>
    <row r="17" spans="1:3" x14ac:dyDescent="0.2">
      <c r="A17" t="s">
        <v>407</v>
      </c>
      <c r="B17" t="s">
        <v>1273</v>
      </c>
      <c r="C17" t="s">
        <v>1333</v>
      </c>
    </row>
    <row r="18" spans="1:3" x14ac:dyDescent="0.2">
      <c r="A18" t="s">
        <v>407</v>
      </c>
      <c r="B18" t="s">
        <v>915</v>
      </c>
      <c r="C18" t="s">
        <v>1334</v>
      </c>
    </row>
    <row r="19" spans="1:3" x14ac:dyDescent="0.2">
      <c r="A19" t="s">
        <v>407</v>
      </c>
      <c r="B19" t="s">
        <v>1296</v>
      </c>
      <c r="C19" t="s">
        <v>1335</v>
      </c>
    </row>
    <row r="20" spans="1:3" x14ac:dyDescent="0.2">
      <c r="A20" t="s">
        <v>407</v>
      </c>
      <c r="B20" t="s">
        <v>1293</v>
      </c>
      <c r="C20" t="s">
        <v>1336</v>
      </c>
    </row>
    <row r="21" spans="1:3" x14ac:dyDescent="0.2">
      <c r="A21" t="s">
        <v>407</v>
      </c>
      <c r="B21" t="s">
        <v>474</v>
      </c>
      <c r="C21" t="s">
        <v>1337</v>
      </c>
    </row>
    <row r="22" spans="1:3" x14ac:dyDescent="0.2">
      <c r="A22" t="s">
        <v>13</v>
      </c>
      <c r="B22" t="s">
        <v>218</v>
      </c>
      <c r="C22" t="s">
        <v>1338</v>
      </c>
    </row>
    <row r="23" spans="1:3" x14ac:dyDescent="0.2">
      <c r="A23" t="s">
        <v>13</v>
      </c>
      <c r="B23" t="s">
        <v>208</v>
      </c>
      <c r="C23" t="s">
        <v>1339</v>
      </c>
    </row>
    <row r="24" spans="1:3" x14ac:dyDescent="0.2">
      <c r="A24" t="s">
        <v>13</v>
      </c>
      <c r="B24" t="s">
        <v>244</v>
      </c>
      <c r="C24" t="s">
        <v>1340</v>
      </c>
    </row>
    <row r="25" spans="1:3" x14ac:dyDescent="0.2">
      <c r="A25" t="s">
        <v>13</v>
      </c>
      <c r="B25" t="s">
        <v>236</v>
      </c>
      <c r="C25" t="s">
        <v>1341</v>
      </c>
    </row>
    <row r="26" spans="1:3" x14ac:dyDescent="0.2">
      <c r="A26" t="s">
        <v>13</v>
      </c>
      <c r="B26" t="s">
        <v>1342</v>
      </c>
      <c r="C26" t="s">
        <v>1343</v>
      </c>
    </row>
    <row r="27" spans="1:3" x14ac:dyDescent="0.2">
      <c r="A27" t="s">
        <v>18</v>
      </c>
      <c r="B27" t="s">
        <v>210</v>
      </c>
      <c r="C27" t="s">
        <v>1344</v>
      </c>
    </row>
    <row r="28" spans="1:3" x14ac:dyDescent="0.2">
      <c r="A28" t="s">
        <v>18</v>
      </c>
      <c r="B28" t="s">
        <v>691</v>
      </c>
      <c r="C28" t="s">
        <v>1345</v>
      </c>
    </row>
    <row r="29" spans="1:3" x14ac:dyDescent="0.2">
      <c r="A29" t="s">
        <v>18</v>
      </c>
      <c r="B29" t="s">
        <v>222</v>
      </c>
      <c r="C29" t="s">
        <v>1346</v>
      </c>
    </row>
    <row r="30" spans="1:3" x14ac:dyDescent="0.2">
      <c r="A30" t="s">
        <v>18</v>
      </c>
      <c r="B30" t="s">
        <v>698</v>
      </c>
      <c r="C30" t="s">
        <v>1347</v>
      </c>
    </row>
    <row r="31" spans="1:3" x14ac:dyDescent="0.2">
      <c r="A31" t="s">
        <v>18</v>
      </c>
      <c r="B31" t="s">
        <v>230</v>
      </c>
      <c r="C31" t="s">
        <v>1348</v>
      </c>
    </row>
    <row r="32" spans="1:3" x14ac:dyDescent="0.2">
      <c r="A32" t="s">
        <v>19</v>
      </c>
      <c r="B32" t="s">
        <v>1349</v>
      </c>
      <c r="C32" t="s">
        <v>1350</v>
      </c>
    </row>
    <row r="33" spans="1:3" x14ac:dyDescent="0.2">
      <c r="A33" t="s">
        <v>20</v>
      </c>
      <c r="B33" t="s">
        <v>99</v>
      </c>
      <c r="C33" t="s">
        <v>1351</v>
      </c>
    </row>
    <row r="34" spans="1:3" x14ac:dyDescent="0.2">
      <c r="A34" t="s">
        <v>20</v>
      </c>
      <c r="B34" t="s">
        <v>80</v>
      </c>
      <c r="C34" t="s">
        <v>1352</v>
      </c>
    </row>
    <row r="35" spans="1:3" x14ac:dyDescent="0.2">
      <c r="A35" t="s">
        <v>14</v>
      </c>
      <c r="B35" t="s">
        <v>1353</v>
      </c>
      <c r="C35" t="s">
        <v>1354</v>
      </c>
    </row>
    <row r="36" spans="1:3" x14ac:dyDescent="0.2">
      <c r="A36" t="s">
        <v>14</v>
      </c>
      <c r="B36" t="s">
        <v>209</v>
      </c>
      <c r="C36" t="s">
        <v>1355</v>
      </c>
    </row>
    <row r="38" spans="1:3" x14ac:dyDescent="0.2">
      <c r="A38" t="s">
        <v>1848</v>
      </c>
      <c r="B38" t="s">
        <v>1876</v>
      </c>
      <c r="C38" t="s">
        <v>1877</v>
      </c>
    </row>
    <row r="39" spans="1:3" x14ac:dyDescent="0.2">
      <c r="A39" t="s">
        <v>1848</v>
      </c>
      <c r="B39" t="s">
        <v>1878</v>
      </c>
      <c r="C39" t="s">
        <v>1879</v>
      </c>
    </row>
    <row r="40" spans="1:3" x14ac:dyDescent="0.2">
      <c r="A40" t="s">
        <v>1848</v>
      </c>
      <c r="B40" t="s">
        <v>1880</v>
      </c>
      <c r="C40" t="s">
        <v>1881</v>
      </c>
    </row>
    <row r="41" spans="1:3" x14ac:dyDescent="0.2">
      <c r="A41" t="s">
        <v>1847</v>
      </c>
      <c r="B41" t="s">
        <v>1882</v>
      </c>
      <c r="C41" t="s">
        <v>1883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25CE0-D7CB-B642-AAA7-2E9C5D56C917}">
  <dimension ref="A1:D79"/>
  <sheetViews>
    <sheetView topLeftCell="A13" workbookViewId="0">
      <selection activeCell="D20" sqref="D20"/>
    </sheetView>
  </sheetViews>
  <sheetFormatPr baseColWidth="10" defaultRowHeight="16" x14ac:dyDescent="0.2"/>
  <cols>
    <col min="1" max="1" width="51.6640625" customWidth="1"/>
    <col min="2" max="2" width="18.33203125" style="10" customWidth="1"/>
    <col min="3" max="3" width="50" style="10" customWidth="1"/>
  </cols>
  <sheetData>
    <row r="1" spans="1:4" ht="19" x14ac:dyDescent="0.25">
      <c r="A1" s="3" t="s">
        <v>1405</v>
      </c>
    </row>
    <row r="2" spans="1:4" x14ac:dyDescent="0.2">
      <c r="A2" s="9" t="s">
        <v>1406</v>
      </c>
    </row>
    <row r="4" spans="1:4" x14ac:dyDescent="0.2">
      <c r="A4" s="4" t="s">
        <v>1407</v>
      </c>
      <c r="B4" s="11" t="s">
        <v>1408</v>
      </c>
      <c r="C4" s="11"/>
    </row>
    <row r="5" spans="1:4" x14ac:dyDescent="0.2">
      <c r="A5" t="s">
        <v>24</v>
      </c>
      <c r="B5" s="10">
        <f>COUNTIF(tblNodes[node_type],$A5)</f>
        <v>9</v>
      </c>
    </row>
    <row r="6" spans="1:4" x14ac:dyDescent="0.2">
      <c r="A6" t="s">
        <v>36</v>
      </c>
      <c r="B6" s="10">
        <f>COUNTIF(tblNodes[node_type],$A6)</f>
        <v>27</v>
      </c>
    </row>
    <row r="7" spans="1:4" x14ac:dyDescent="0.2">
      <c r="A7" t="s">
        <v>79</v>
      </c>
      <c r="B7" s="10">
        <f>COUNTIF(tblNodes[node_type],$A7)</f>
        <v>57</v>
      </c>
    </row>
    <row r="8" spans="1:4" x14ac:dyDescent="0.2">
      <c r="A8" t="s">
        <v>205</v>
      </c>
      <c r="B8" s="10">
        <f>COUNTIF(tblNodes[node_type],$A8)</f>
        <v>298</v>
      </c>
    </row>
    <row r="9" spans="1:4" x14ac:dyDescent="0.2">
      <c r="A9" t="s">
        <v>164</v>
      </c>
      <c r="B9" s="10">
        <f>COUNTIF(tblNodes[node_type],$A9)</f>
        <v>14</v>
      </c>
    </row>
    <row r="10" spans="1:4" x14ac:dyDescent="0.2">
      <c r="A10" t="s">
        <v>1884</v>
      </c>
      <c r="B10" s="10">
        <f>COUNTIF(tblNodes[node_type],$A10)</f>
        <v>0</v>
      </c>
    </row>
    <row r="11" spans="1:4" x14ac:dyDescent="0.2">
      <c r="A11" t="s">
        <v>1898</v>
      </c>
      <c r="B11" s="10">
        <f>COUNTIF(tblNodes[node_type],$A11)</f>
        <v>0</v>
      </c>
    </row>
    <row r="12" spans="1:4" x14ac:dyDescent="0.2">
      <c r="A12" s="1" t="s">
        <v>1409</v>
      </c>
      <c r="B12" s="18">
        <f>COUNTA(tblNodes[node_id])</f>
        <v>405</v>
      </c>
    </row>
    <row r="14" spans="1:4" x14ac:dyDescent="0.2">
      <c r="A14" s="4" t="s">
        <v>1410</v>
      </c>
      <c r="B14" s="11" t="s">
        <v>1408</v>
      </c>
      <c r="C14" s="11" t="s">
        <v>1411</v>
      </c>
      <c r="D14" s="4" t="s">
        <v>1849</v>
      </c>
    </row>
    <row r="15" spans="1:4" x14ac:dyDescent="0.2">
      <c r="A15" t="s">
        <v>23</v>
      </c>
      <c r="B15" s="10">
        <f>COUNTIFS(tblNodes[node_type],"Organisation",tblNodes[region],$A15)</f>
        <v>67</v>
      </c>
      <c r="C15" s="10">
        <f>COUNTIFS(tblNodes[node_type],"Hub",tblNodes[region],$A15)</f>
        <v>9</v>
      </c>
      <c r="D15" s="22">
        <f>SUMIFS(tblNodes[intake_estimate_central],tblNodes[node_type],"Organisation",tblNodes[region],$A15)</f>
        <v>10579</v>
      </c>
    </row>
    <row r="16" spans="1:4" x14ac:dyDescent="0.2">
      <c r="A16" t="s">
        <v>27</v>
      </c>
      <c r="B16" s="10">
        <f>COUNTIFS(tblNodes[node_type],"Organisation",tblNodes[region],$A16)</f>
        <v>23</v>
      </c>
      <c r="C16" s="10">
        <f>COUNTIFS(tblNodes[node_type],"Hub",tblNodes[region],$A16)</f>
        <v>4</v>
      </c>
      <c r="D16" s="22">
        <f>SUMIFS(tblNodes[intake_estimate_central],tblNodes[node_type],"Organisation",tblNodes[region],$A16)</f>
        <v>5837</v>
      </c>
    </row>
    <row r="17" spans="1:4" x14ac:dyDescent="0.2">
      <c r="A17" t="s">
        <v>29</v>
      </c>
      <c r="B17" s="10">
        <f>COUNTIFS(tblNodes[node_type],"Organisation",tblNodes[region],$A17)</f>
        <v>34</v>
      </c>
      <c r="C17" s="10">
        <f>COUNTIFS(tblNodes[node_type],"Hub",tblNodes[region],$A17)</f>
        <v>5</v>
      </c>
      <c r="D17" s="22">
        <f>SUMIFS(tblNodes[intake_estimate_central],tblNodes[node_type],"Organisation",tblNodes[region],$A17)</f>
        <v>17460</v>
      </c>
    </row>
    <row r="18" spans="1:4" x14ac:dyDescent="0.2">
      <c r="A18" t="s">
        <v>31</v>
      </c>
      <c r="B18" s="10">
        <f>COUNTIFS(tblNodes[node_type],"Organisation",tblNodes[region],$A18)</f>
        <v>25</v>
      </c>
      <c r="C18" s="10">
        <f>COUNTIFS(tblNodes[node_type],"Hub",tblNodes[region],$A18)</f>
        <v>7</v>
      </c>
      <c r="D18" s="22">
        <f>SUMIFS(tblNodes[intake_estimate_central],tblNodes[node_type],"Organisation",tblNodes[region],$A18)</f>
        <v>3183</v>
      </c>
    </row>
    <row r="19" spans="1:4" x14ac:dyDescent="0.2">
      <c r="A19" t="s">
        <v>33</v>
      </c>
      <c r="B19" s="10">
        <f>COUNTIFS(tblNodes[node_type],"Organisation",tblNodes[region],$A19)</f>
        <v>44</v>
      </c>
      <c r="C19" s="10">
        <f>COUNTIFS(tblNodes[node_type],"Hub",tblNodes[region],$A19)</f>
        <v>15</v>
      </c>
      <c r="D19" s="22">
        <f>SUMIFS(tblNodes[intake_estimate_central],tblNodes[node_type],"Organisation",tblNodes[region],$A19)</f>
        <v>8187</v>
      </c>
    </row>
    <row r="20" spans="1:4" x14ac:dyDescent="0.2">
      <c r="A20" t="s">
        <v>76</v>
      </c>
      <c r="B20" s="10">
        <f>COUNTIFS(tblNodes[node_type],"Organisation",tblNodes[region],$A20)</f>
        <v>52</v>
      </c>
      <c r="C20" s="10">
        <f>COUNTIFS(tblNodes[node_type],"Hub",tblNodes[region],$A20)</f>
        <v>9</v>
      </c>
      <c r="D20" s="22">
        <f>SUMIFS(tblNodes[intake_estimate_central],tblNodes[node_type],"Organisation",tblNodes[region],$A20)</f>
        <v>7268</v>
      </c>
    </row>
    <row r="21" spans="1:4" x14ac:dyDescent="0.2">
      <c r="A21" t="s">
        <v>2934</v>
      </c>
      <c r="B21" s="10">
        <f>COUNTIFS(tblNodes[node_type],"Organisation",tblNodes[region],$A21)</f>
        <v>31</v>
      </c>
      <c r="C21" s="10">
        <f>COUNTIFS(tblNodes[node_type],"Hub",tblNodes[region],$A21)</f>
        <v>4</v>
      </c>
      <c r="D21" s="22">
        <f>SUMIFS(tblNodes[intake_estimate_central],tblNodes[node_type],"Organisation",tblNodes[region],$A21)</f>
        <v>8612</v>
      </c>
    </row>
    <row r="22" spans="1:4" x14ac:dyDescent="0.2">
      <c r="A22" t="s">
        <v>2937</v>
      </c>
      <c r="B22" s="10">
        <f>COUNTIFS(tblNodes[node_type],"Organisation",tblNodes[region],$A22)</f>
        <v>10</v>
      </c>
      <c r="C22" s="10">
        <f>COUNTIFS(tblNodes[node_type],"Hub",tblNodes[region],$A22)</f>
        <v>2</v>
      </c>
      <c r="D22" s="22">
        <f>SUMIFS(tblNodes[intake_estimate_central],tblNodes[node_type],"Organisation",tblNodes[region],$A22)</f>
        <v>841</v>
      </c>
    </row>
    <row r="23" spans="1:4" x14ac:dyDescent="0.2">
      <c r="A23" t="s">
        <v>2939</v>
      </c>
      <c r="B23" s="10">
        <f>COUNTIFS(tblNodes[node_type],"Organisation",tblNodes[region],$A23)</f>
        <v>12</v>
      </c>
      <c r="C23" s="10">
        <f>COUNTIFS(tblNodes[node_type],"Hub",tblNodes[region],$A23)</f>
        <v>2</v>
      </c>
      <c r="D23" s="22">
        <f>SUMIFS(tblNodes[intake_estimate_central],tblNodes[node_type],"Organisation",tblNodes[region],$A23)</f>
        <v>2739</v>
      </c>
    </row>
    <row r="24" spans="1:4" x14ac:dyDescent="0.2">
      <c r="A24" s="1" t="s">
        <v>1850</v>
      </c>
      <c r="B24" s="12">
        <f>SUM(B15:B23)</f>
        <v>298</v>
      </c>
      <c r="C24" s="12"/>
      <c r="D24" s="23">
        <f>SUM(D15:D23)</f>
        <v>64706</v>
      </c>
    </row>
    <row r="25" spans="1:4" x14ac:dyDescent="0.2">
      <c r="A25" s="4" t="s">
        <v>1412</v>
      </c>
      <c r="B25" s="11" t="s">
        <v>1408</v>
      </c>
      <c r="C25" s="11"/>
    </row>
    <row r="26" spans="1:4" x14ac:dyDescent="0.2">
      <c r="A26" t="s">
        <v>163</v>
      </c>
      <c r="B26" s="10">
        <f>COUNTIFS(tblNodes[node_type],"Organisation",tblNodes[sector],$A26)</f>
        <v>12</v>
      </c>
    </row>
    <row r="27" spans="1:4" x14ac:dyDescent="0.2">
      <c r="A27" t="s">
        <v>166</v>
      </c>
      <c r="B27" s="10">
        <f>COUNTIFS(tblNodes[node_type],"Organisation",tblNodes[sector],$A27)</f>
        <v>22</v>
      </c>
    </row>
    <row r="28" spans="1:4" x14ac:dyDescent="0.2">
      <c r="A28" t="s">
        <v>168</v>
      </c>
      <c r="B28" s="10">
        <f>COUNTIFS(tblNodes[node_type],"Organisation",tblNodes[sector],$A28)</f>
        <v>12</v>
      </c>
    </row>
    <row r="29" spans="1:4" x14ac:dyDescent="0.2">
      <c r="A29" t="s">
        <v>170</v>
      </c>
      <c r="B29" s="10">
        <f>COUNTIFS(tblNodes[node_type],"Organisation",tblNodes[sector],$A29)</f>
        <v>106</v>
      </c>
    </row>
    <row r="30" spans="1:4" x14ac:dyDescent="0.2">
      <c r="A30" t="s">
        <v>172</v>
      </c>
      <c r="B30" s="10">
        <f>COUNTIFS(tblNodes[node_type],"Organisation",tblNodes[sector],$A30)</f>
        <v>3</v>
      </c>
    </row>
    <row r="31" spans="1:4" x14ac:dyDescent="0.2">
      <c r="A31" t="s">
        <v>174</v>
      </c>
      <c r="B31" s="10">
        <f>COUNTIFS(tblNodes[node_type],"Organisation",tblNodes[sector],$A31)</f>
        <v>37</v>
      </c>
    </row>
    <row r="32" spans="1:4" x14ac:dyDescent="0.2">
      <c r="A32" t="s">
        <v>176</v>
      </c>
      <c r="B32" s="10">
        <f>COUNTIFS(tblNodes[node_type],"Organisation",tblNodes[sector],$A32)</f>
        <v>42</v>
      </c>
    </row>
    <row r="33" spans="1:3" x14ac:dyDescent="0.2">
      <c r="A33" t="s">
        <v>178</v>
      </c>
      <c r="B33" s="10">
        <f>COUNTIFS(tblNodes[node_type],"Organisation",tblNodes[sector],$A33)</f>
        <v>14</v>
      </c>
    </row>
    <row r="34" spans="1:3" x14ac:dyDescent="0.2">
      <c r="A34" t="s">
        <v>180</v>
      </c>
      <c r="B34" s="10">
        <f>COUNTIFS(tblNodes[node_type],"Organisation",tblNodes[sector],$A34)</f>
        <v>9</v>
      </c>
    </row>
    <row r="35" spans="1:3" x14ac:dyDescent="0.2">
      <c r="A35" t="s">
        <v>182</v>
      </c>
      <c r="B35" s="10">
        <f>COUNTIFS(tblNodes[node_type],"Organisation",tblNodes[sector],$A35)</f>
        <v>8</v>
      </c>
    </row>
    <row r="36" spans="1:3" x14ac:dyDescent="0.2">
      <c r="A36" t="s">
        <v>184</v>
      </c>
      <c r="B36" s="10">
        <f>COUNTIFS(tblNodes[node_type],"Organisation",tblNodes[sector],$A36)</f>
        <v>6</v>
      </c>
    </row>
    <row r="37" spans="1:3" x14ac:dyDescent="0.2">
      <c r="A37" t="s">
        <v>186</v>
      </c>
      <c r="B37" s="10">
        <f>COUNTIFS(tblNodes[node_type],"Organisation",tblNodes[sector],$A37)</f>
        <v>13</v>
      </c>
    </row>
    <row r="38" spans="1:3" x14ac:dyDescent="0.2">
      <c r="A38" t="s">
        <v>188</v>
      </c>
      <c r="B38" s="10">
        <f>COUNTIFS(tblNodes[node_type],"Organisation",tblNodes[sector],$A38)</f>
        <v>11</v>
      </c>
    </row>
    <row r="39" spans="1:3" x14ac:dyDescent="0.2">
      <c r="A39" t="s">
        <v>190</v>
      </c>
      <c r="B39" s="10">
        <f>COUNTIFS(tblNodes[node_type],"Organisation",tblNodes[sector],$A39)</f>
        <v>3</v>
      </c>
    </row>
    <row r="41" spans="1:3" x14ac:dyDescent="0.2">
      <c r="A41" s="4" t="s">
        <v>1413</v>
      </c>
      <c r="B41" s="11" t="s">
        <v>1408</v>
      </c>
      <c r="C41" s="11"/>
    </row>
    <row r="42" spans="1:3" x14ac:dyDescent="0.2">
      <c r="A42" t="s">
        <v>411</v>
      </c>
      <c r="B42" s="10">
        <f>COUNTIF(tblEdges[edge_type],$A42)</f>
        <v>84</v>
      </c>
    </row>
    <row r="43" spans="1:3" x14ac:dyDescent="0.2">
      <c r="A43" t="s">
        <v>476</v>
      </c>
      <c r="B43" s="10">
        <f>COUNTIF(tblEdges[edge_type],$A43)</f>
        <v>472</v>
      </c>
    </row>
    <row r="44" spans="1:3" x14ac:dyDescent="0.2">
      <c r="A44" t="s">
        <v>478</v>
      </c>
      <c r="B44" s="10">
        <f>COUNTIF(tblEdges[edge_type],$A44)</f>
        <v>298</v>
      </c>
    </row>
    <row r="45" spans="1:3" x14ac:dyDescent="0.2">
      <c r="A45" t="s">
        <v>1885</v>
      </c>
      <c r="B45" s="10">
        <f>COUNTIF(tblEdges[edge_type],$A45)</f>
        <v>0</v>
      </c>
    </row>
    <row r="46" spans="1:3" x14ac:dyDescent="0.2">
      <c r="A46" t="s">
        <v>1899</v>
      </c>
      <c r="B46" s="10">
        <f>COUNTIF(tblEdges[edge_type],$A46)</f>
        <v>0</v>
      </c>
    </row>
    <row r="47" spans="1:3" x14ac:dyDescent="0.2">
      <c r="A47" t="s">
        <v>1900</v>
      </c>
      <c r="B47" s="10">
        <f>COUNTIF(tblEdges[edge_type],$A47)</f>
        <v>0</v>
      </c>
    </row>
    <row r="48" spans="1:3" x14ac:dyDescent="0.2">
      <c r="A48" t="s">
        <v>1901</v>
      </c>
      <c r="B48" s="10">
        <f>COUNTIF(tblEdges[edge_type],$A48)</f>
        <v>0</v>
      </c>
    </row>
    <row r="49" spans="1:3" x14ac:dyDescent="0.2">
      <c r="A49" t="s">
        <v>1270</v>
      </c>
      <c r="B49" s="10">
        <f>COUNTIF(tblEdges[edge_type],$A49)</f>
        <v>14</v>
      </c>
    </row>
    <row r="50" spans="1:3" x14ac:dyDescent="0.2">
      <c r="A50" t="s">
        <v>1906</v>
      </c>
      <c r="B50" s="10">
        <f>COUNTIF(tblEdges[edge_type],$A50)</f>
        <v>0</v>
      </c>
    </row>
    <row r="51" spans="1:3" x14ac:dyDescent="0.2">
      <c r="A51" t="s">
        <v>915</v>
      </c>
      <c r="B51" s="10">
        <f>COUNTIF(tblEdges[edge_type],$A51)</f>
        <v>7</v>
      </c>
    </row>
    <row r="52" spans="1:3" x14ac:dyDescent="0.2">
      <c r="A52" t="s">
        <v>1296</v>
      </c>
      <c r="B52" s="10">
        <f>COUNTIF(tblEdges[edge_type],$A52)</f>
        <v>4</v>
      </c>
    </row>
    <row r="53" spans="1:3" x14ac:dyDescent="0.2">
      <c r="A53" t="s">
        <v>1293</v>
      </c>
      <c r="B53" s="10">
        <f>COUNTIF(tblEdges[edge_type],$A53)</f>
        <v>1</v>
      </c>
    </row>
    <row r="54" spans="1:3" x14ac:dyDescent="0.2">
      <c r="A54" t="s">
        <v>1886</v>
      </c>
      <c r="B54" s="10">
        <f>COUNTIF(tblEdges[edge_type],$A54)</f>
        <v>0</v>
      </c>
    </row>
    <row r="55" spans="1:3" x14ac:dyDescent="0.2">
      <c r="A55" s="1" t="s">
        <v>1414</v>
      </c>
      <c r="B55" s="18">
        <f>COUNTA(tblEdges[edge_id])</f>
        <v>880</v>
      </c>
    </row>
    <row r="57" spans="1:3" x14ac:dyDescent="0.2">
      <c r="A57" s="4" t="s">
        <v>1415</v>
      </c>
      <c r="B57" s="11" t="s">
        <v>1416</v>
      </c>
      <c r="C57" s="11" t="s">
        <v>1417</v>
      </c>
    </row>
    <row r="58" spans="1:3" x14ac:dyDescent="0.2">
      <c r="A58" t="s">
        <v>1418</v>
      </c>
      <c r="B58" s="10" cm="1">
        <f t="array" ref="B58">SUMPRODUCT((tblNodes[node_type]="Organisation")*((tblNodes[annual_intake_low]&lt;&gt;"")+(tblNodes[annual_intake_high]&lt;&gt;"")&gt;0))</f>
        <v>4</v>
      </c>
      <c r="C58" s="14" t="s">
        <v>1419</v>
      </c>
    </row>
    <row r="59" spans="1:3" x14ac:dyDescent="0.2">
      <c r="A59" t="s">
        <v>1420</v>
      </c>
      <c r="B59" s="10">
        <f>COUNTIFS(tblNodes[node_type],"Organisation",tblNodes[org_size_band],"TBC")</f>
        <v>0</v>
      </c>
      <c r="C59" s="14" t="s">
        <v>1421</v>
      </c>
    </row>
    <row r="60" spans="1:3" x14ac:dyDescent="0.2">
      <c r="A60" t="s">
        <v>1422</v>
      </c>
      <c r="B60" s="10">
        <f>COUNTIFS(tblNodes[node_type],"Organisation",tblNodes[size_basis],"inferred - coarse band, verify")</f>
        <v>298</v>
      </c>
      <c r="C60" s="14" t="s">
        <v>1423</v>
      </c>
    </row>
    <row r="61" spans="1:3" x14ac:dyDescent="0.2">
      <c r="A61" t="s">
        <v>1424</v>
      </c>
      <c r="B61" s="10">
        <f>COUNTIFS(tblNodes[node_type],"Organisation",tblNodes[confirmation_status],"[C-Official]")+COUNTIFS(tblNodes[node_type],"Organisation",tblNodes[confirmation_status],"[C-Official, Chinese]")</f>
        <v>60</v>
      </c>
      <c r="C61" s="14" t="s">
        <v>1425</v>
      </c>
    </row>
    <row r="62" spans="1:3" x14ac:dyDescent="0.2">
      <c r="A62" t="s">
        <v>1426</v>
      </c>
      <c r="B62" s="10">
        <f>COUNTIFS(tblNodes[node_type],"Organisation",tblNodes[confirmation_status],"[C-Press]")+COUNTIFS(tblNodes[node_type],"Organisation",tblNodes[confirmation_status],"[C-Press, Chinese]")</f>
        <v>50</v>
      </c>
      <c r="C62" s="14"/>
    </row>
    <row r="63" spans="1:3" x14ac:dyDescent="0.2">
      <c r="A63" t="s">
        <v>1427</v>
      </c>
      <c r="B63" s="10">
        <f>COUNTIFS(tblNodes[node_type],"Organisation",tblNodes[confirmation_status],"[Note]")</f>
        <v>188</v>
      </c>
      <c r="C63" s="14" t="s">
        <v>1428</v>
      </c>
    </row>
    <row r="64" spans="1:3" x14ac:dyDescent="0.2">
      <c r="A64" t="s">
        <v>1429</v>
      </c>
      <c r="B64" s="10" cm="1">
        <f t="array" ref="B64">SUMPRODUCT((tblNodes[node_type]="Organisation")*(COUNTIFS(tblEdges[source_id],tblNodes[node_id],tblEdges[edge_type],"LOCATED_IN")&gt;1))</f>
        <v>52</v>
      </c>
      <c r="C64" s="14" t="s">
        <v>1430</v>
      </c>
    </row>
    <row r="65" spans="1:3" x14ac:dyDescent="0.2">
      <c r="A65" t="s">
        <v>1431</v>
      </c>
      <c r="B65" s="10" cm="1">
        <f t="array" ref="B65">SUMPRODUCT(--(COUNTIF(tblNodes[node_id],tblEdges[source_id])=0))</f>
        <v>0</v>
      </c>
      <c r="C65" s="14" t="s">
        <v>1432</v>
      </c>
    </row>
    <row r="66" spans="1:3" x14ac:dyDescent="0.2">
      <c r="A66" t="s">
        <v>1433</v>
      </c>
      <c r="B66" s="10" cm="1">
        <f t="array" ref="B66">SUMPRODUCT(--(COUNTIF(tblNodes[node_id],tblEdges[target_id])=0))</f>
        <v>0</v>
      </c>
      <c r="C66" s="14" t="s">
        <v>1432</v>
      </c>
    </row>
    <row r="68" spans="1:3" x14ac:dyDescent="0.2">
      <c r="A68" s="4" t="s">
        <v>1795</v>
      </c>
      <c r="B68" s="11" t="s">
        <v>1408</v>
      </c>
    </row>
    <row r="69" spans="1:3" x14ac:dyDescent="0.2">
      <c r="A69" t="s">
        <v>1796</v>
      </c>
      <c r="B69" s="10">
        <f>COUNTIFS(tblEdges[target_id],"GEO_H_LON",tblEdges[edge_type],"LOCATED_IN")</f>
        <v>87</v>
      </c>
    </row>
    <row r="70" spans="1:3" x14ac:dyDescent="0.2">
      <c r="A70" t="s">
        <v>1887</v>
      </c>
      <c r="B70" s="10">
        <f>COUNTIF(tblNodes[entry_mechanism_id],"MECH_UK_SPRING")</f>
        <v>16</v>
      </c>
    </row>
    <row r="71" spans="1:3" x14ac:dyDescent="0.2">
      <c r="A71" t="s">
        <v>1888</v>
      </c>
      <c r="B71" s="10">
        <f>COUNTIF(tblNodes[entry_mechanism_id],"MECH_UK_SCHEME")</f>
        <v>36</v>
      </c>
    </row>
    <row r="73" spans="1:3" x14ac:dyDescent="0.2">
      <c r="A73" s="8" t="s">
        <v>1851</v>
      </c>
      <c r="B73" s="24"/>
    </row>
    <row r="74" spans="1:3" x14ac:dyDescent="0.2">
      <c r="A74" s="25" t="s">
        <v>1852</v>
      </c>
      <c r="B74" s="26" t="s">
        <v>1853</v>
      </c>
    </row>
    <row r="75" spans="1:3" x14ac:dyDescent="0.2">
      <c r="A75" s="25" t="s">
        <v>1854</v>
      </c>
      <c r="B75" s="26" t="s">
        <v>1855</v>
      </c>
    </row>
    <row r="76" spans="1:3" x14ac:dyDescent="0.2">
      <c r="A76" s="25" t="s">
        <v>1856</v>
      </c>
      <c r="B76" s="26" t="s">
        <v>1857</v>
      </c>
    </row>
    <row r="77" spans="1:3" x14ac:dyDescent="0.2">
      <c r="A77" s="25" t="s">
        <v>1858</v>
      </c>
      <c r="B77" s="26" t="s">
        <v>1859</v>
      </c>
    </row>
    <row r="78" spans="1:3" x14ac:dyDescent="0.2">
      <c r="A78" s="25" t="s">
        <v>1860</v>
      </c>
      <c r="B78" s="26" t="s">
        <v>1861</v>
      </c>
    </row>
    <row r="79" spans="1:3" x14ac:dyDescent="0.2">
      <c r="A79" s="25" t="s">
        <v>1862</v>
      </c>
      <c r="B79" s="26" t="s">
        <v>1863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1658C-181C-504D-9EF0-339E3B12DC04}">
  <dimension ref="A1:D47"/>
  <sheetViews>
    <sheetView workbookViewId="0"/>
  </sheetViews>
  <sheetFormatPr baseColWidth="10" defaultRowHeight="16" x14ac:dyDescent="0.2"/>
  <cols>
    <col min="1" max="1" width="5" customWidth="1"/>
    <col min="2" max="2" width="56.6640625" customWidth="1"/>
    <col min="3" max="3" width="11.6640625" customWidth="1"/>
    <col min="4" max="4" width="70" customWidth="1"/>
  </cols>
  <sheetData>
    <row r="1" spans="1:3" ht="19" x14ac:dyDescent="0.25">
      <c r="A1" s="3" t="s">
        <v>1824</v>
      </c>
    </row>
    <row r="2" spans="1:3" ht="46" customHeight="1" x14ac:dyDescent="0.2">
      <c r="A2" s="9"/>
      <c r="B2" s="20" t="s">
        <v>1825</v>
      </c>
    </row>
    <row r="3" spans="1:3" ht="46" customHeight="1" x14ac:dyDescent="0.2">
      <c r="A3" s="9"/>
      <c r="B3" s="20" t="s">
        <v>1826</v>
      </c>
    </row>
    <row r="4" spans="1:3" x14ac:dyDescent="0.2">
      <c r="B4" s="4" t="s">
        <v>1827</v>
      </c>
      <c r="C4" s="4" t="s">
        <v>1828</v>
      </c>
    </row>
    <row r="5" spans="1:3" x14ac:dyDescent="0.2">
      <c r="B5" t="s">
        <v>218</v>
      </c>
      <c r="C5">
        <v>400</v>
      </c>
    </row>
    <row r="6" spans="1:3" x14ac:dyDescent="0.2">
      <c r="B6" t="s">
        <v>208</v>
      </c>
      <c r="C6">
        <v>120</v>
      </c>
    </row>
    <row r="7" spans="1:3" x14ac:dyDescent="0.2">
      <c r="B7" t="s">
        <v>244</v>
      </c>
      <c r="C7">
        <v>30</v>
      </c>
    </row>
    <row r="8" spans="1:3" x14ac:dyDescent="0.2">
      <c r="B8" t="s">
        <v>236</v>
      </c>
      <c r="C8">
        <v>8</v>
      </c>
    </row>
    <row r="9" spans="1:3" x14ac:dyDescent="0.2">
      <c r="B9" t="s">
        <v>1342</v>
      </c>
      <c r="C9">
        <v>30</v>
      </c>
    </row>
    <row r="12" spans="1:3" x14ac:dyDescent="0.2">
      <c r="B12" s="4" t="s">
        <v>1829</v>
      </c>
      <c r="C12" s="4" t="s">
        <v>1830</v>
      </c>
    </row>
    <row r="13" spans="1:3" x14ac:dyDescent="0.2">
      <c r="B13" t="s">
        <v>163</v>
      </c>
      <c r="C13">
        <v>2</v>
      </c>
    </row>
    <row r="14" spans="1:3" x14ac:dyDescent="0.2">
      <c r="B14" t="s">
        <v>166</v>
      </c>
      <c r="C14">
        <v>0.8</v>
      </c>
    </row>
    <row r="15" spans="1:3" x14ac:dyDescent="0.2">
      <c r="B15" t="s">
        <v>168</v>
      </c>
      <c r="C15">
        <v>2</v>
      </c>
    </row>
    <row r="16" spans="1:3" x14ac:dyDescent="0.2">
      <c r="B16" t="s">
        <v>170</v>
      </c>
      <c r="C16">
        <v>1</v>
      </c>
    </row>
    <row r="17" spans="2:4" x14ac:dyDescent="0.2">
      <c r="B17" t="s">
        <v>172</v>
      </c>
      <c r="C17">
        <v>1.5</v>
      </c>
    </row>
    <row r="18" spans="2:4" x14ac:dyDescent="0.2">
      <c r="B18" t="s">
        <v>174</v>
      </c>
      <c r="C18">
        <v>0.8</v>
      </c>
    </row>
    <row r="19" spans="2:4" x14ac:dyDescent="0.2">
      <c r="B19" t="s">
        <v>176</v>
      </c>
      <c r="C19">
        <v>1</v>
      </c>
    </row>
    <row r="20" spans="2:4" x14ac:dyDescent="0.2">
      <c r="B20" t="s">
        <v>178</v>
      </c>
      <c r="C20">
        <v>1.5</v>
      </c>
    </row>
    <row r="21" spans="2:4" x14ac:dyDescent="0.2">
      <c r="B21" t="s">
        <v>180</v>
      </c>
      <c r="C21">
        <v>3</v>
      </c>
    </row>
    <row r="22" spans="2:4" x14ac:dyDescent="0.2">
      <c r="B22" t="s">
        <v>182</v>
      </c>
      <c r="C22">
        <v>1</v>
      </c>
    </row>
    <row r="23" spans="2:4" x14ac:dyDescent="0.2">
      <c r="B23" t="s">
        <v>184</v>
      </c>
      <c r="C23">
        <v>0.4</v>
      </c>
    </row>
    <row r="24" spans="2:4" x14ac:dyDescent="0.2">
      <c r="B24" t="s">
        <v>186</v>
      </c>
      <c r="C24">
        <v>1</v>
      </c>
    </row>
    <row r="25" spans="2:4" x14ac:dyDescent="0.2">
      <c r="B25" t="s">
        <v>188</v>
      </c>
      <c r="C25">
        <v>1</v>
      </c>
    </row>
    <row r="26" spans="2:4" x14ac:dyDescent="0.2">
      <c r="B26" t="s">
        <v>190</v>
      </c>
      <c r="C26">
        <v>0.8</v>
      </c>
    </row>
    <row r="29" spans="2:4" x14ac:dyDescent="0.2">
      <c r="B29" s="4" t="s">
        <v>1831</v>
      </c>
      <c r="C29" s="4" t="s">
        <v>1830</v>
      </c>
      <c r="D29" s="4" t="s">
        <v>1832</v>
      </c>
    </row>
    <row r="30" spans="2:4" x14ac:dyDescent="0.2">
      <c r="B30" t="s">
        <v>191</v>
      </c>
      <c r="C30">
        <v>1</v>
      </c>
      <c r="D30" t="s">
        <v>1833</v>
      </c>
    </row>
    <row r="31" spans="2:4" x14ac:dyDescent="0.2">
      <c r="B31" t="s">
        <v>201</v>
      </c>
      <c r="C31">
        <v>0.5</v>
      </c>
      <c r="D31" t="s">
        <v>1834</v>
      </c>
    </row>
    <row r="32" spans="2:4" x14ac:dyDescent="0.2">
      <c r="B32" t="s">
        <v>193</v>
      </c>
      <c r="C32">
        <v>1.4</v>
      </c>
      <c r="D32" t="s">
        <v>1835</v>
      </c>
    </row>
    <row r="33" spans="2:4" x14ac:dyDescent="0.2">
      <c r="B33" t="s">
        <v>194</v>
      </c>
      <c r="C33">
        <v>1.2</v>
      </c>
      <c r="D33" t="s">
        <v>1836</v>
      </c>
    </row>
    <row r="34" spans="2:4" x14ac:dyDescent="0.2">
      <c r="B34" t="s">
        <v>195</v>
      </c>
      <c r="C34">
        <v>1</v>
      </c>
      <c r="D34" t="s">
        <v>1837</v>
      </c>
    </row>
    <row r="35" spans="2:4" x14ac:dyDescent="0.2">
      <c r="B35" t="s">
        <v>196</v>
      </c>
      <c r="C35">
        <v>3</v>
      </c>
      <c r="D35" t="s">
        <v>1838</v>
      </c>
    </row>
    <row r="36" spans="2:4" x14ac:dyDescent="0.2">
      <c r="B36" t="s">
        <v>197</v>
      </c>
      <c r="C36">
        <v>0.25</v>
      </c>
      <c r="D36" t="s">
        <v>1839</v>
      </c>
    </row>
    <row r="37" spans="2:4" x14ac:dyDescent="0.2">
      <c r="B37" t="s">
        <v>198</v>
      </c>
      <c r="C37">
        <v>0.8</v>
      </c>
      <c r="D37" t="s">
        <v>1840</v>
      </c>
    </row>
    <row r="38" spans="2:4" x14ac:dyDescent="0.2">
      <c r="B38" t="s">
        <v>199</v>
      </c>
      <c r="C38">
        <v>0.6</v>
      </c>
      <c r="D38" t="s">
        <v>1841</v>
      </c>
    </row>
    <row r="39" spans="2:4" x14ac:dyDescent="0.2">
      <c r="B39" t="s">
        <v>200</v>
      </c>
      <c r="C39">
        <v>0.8</v>
      </c>
      <c r="D39" t="s">
        <v>1842</v>
      </c>
    </row>
    <row r="40" spans="2:4" x14ac:dyDescent="0.2">
      <c r="B40" t="s">
        <v>1453</v>
      </c>
      <c r="C40">
        <v>1</v>
      </c>
      <c r="D40" t="s">
        <v>1843</v>
      </c>
    </row>
    <row r="41" spans="2:4" x14ac:dyDescent="0.2">
      <c r="B41" t="s">
        <v>1454</v>
      </c>
      <c r="C41">
        <v>1</v>
      </c>
      <c r="D41" t="s">
        <v>1844</v>
      </c>
    </row>
    <row r="42" spans="2:4" x14ac:dyDescent="0.2">
      <c r="B42" t="s">
        <v>1845</v>
      </c>
      <c r="C42">
        <v>0</v>
      </c>
      <c r="D42" t="s">
        <v>1846</v>
      </c>
    </row>
    <row r="43" spans="2:4" x14ac:dyDescent="0.2">
      <c r="B43" s="31" t="s">
        <v>2980</v>
      </c>
      <c r="C43" s="31">
        <v>1</v>
      </c>
      <c r="D43" s="31" t="s">
        <v>2981</v>
      </c>
    </row>
    <row r="44" spans="2:4" x14ac:dyDescent="0.2">
      <c r="B44" s="31" t="s">
        <v>2982</v>
      </c>
      <c r="C44" s="31">
        <v>2</v>
      </c>
      <c r="D44" s="31" t="s">
        <v>2983</v>
      </c>
    </row>
    <row r="45" spans="2:4" x14ac:dyDescent="0.2">
      <c r="B45" s="31" t="s">
        <v>2984</v>
      </c>
      <c r="C45" s="31">
        <v>1</v>
      </c>
      <c r="D45" s="31" t="s">
        <v>2985</v>
      </c>
    </row>
    <row r="46" spans="2:4" x14ac:dyDescent="0.2">
      <c r="B46" s="31" t="s">
        <v>2986</v>
      </c>
      <c r="C46" s="31">
        <v>0.6</v>
      </c>
      <c r="D46" s="31" t="s">
        <v>2987</v>
      </c>
    </row>
    <row r="47" spans="2:4" x14ac:dyDescent="0.2">
      <c r="B47" s="31" t="s">
        <v>2988</v>
      </c>
      <c r="C47" s="31">
        <v>1</v>
      </c>
      <c r="D47" s="31" t="s">
        <v>2989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D6CC3-CDB4-E845-93DF-25F0905C4BCE}">
  <dimension ref="A1:A1291"/>
  <sheetViews>
    <sheetView workbookViewId="0"/>
  </sheetViews>
  <sheetFormatPr baseColWidth="10" defaultRowHeight="16" x14ac:dyDescent="0.2"/>
  <cols>
    <col min="1" max="1" width="150" style="30" customWidth="1"/>
  </cols>
  <sheetData>
    <row r="1" spans="1:1" x14ac:dyDescent="0.2">
      <c r="A1" s="30" t="s">
        <v>1910</v>
      </c>
    </row>
    <row r="2" spans="1:1" x14ac:dyDescent="0.2">
      <c r="A2" s="30" t="s">
        <v>1911</v>
      </c>
    </row>
    <row r="3" spans="1:1" x14ac:dyDescent="0.2">
      <c r="A3" s="30" t="s">
        <v>1916</v>
      </c>
    </row>
    <row r="4" spans="1:1" x14ac:dyDescent="0.2">
      <c r="A4" s="30" t="s">
        <v>1917</v>
      </c>
    </row>
    <row r="5" spans="1:1" x14ac:dyDescent="0.2">
      <c r="A5" s="30" t="s">
        <v>1918</v>
      </c>
    </row>
    <row r="6" spans="1:1" x14ac:dyDescent="0.2">
      <c r="A6" s="30" t="s">
        <v>1919</v>
      </c>
    </row>
    <row r="7" spans="1:1" x14ac:dyDescent="0.2">
      <c r="A7" s="30" t="s">
        <v>1920</v>
      </c>
    </row>
    <row r="8" spans="1:1" x14ac:dyDescent="0.2">
      <c r="A8" s="30" t="s">
        <v>1921</v>
      </c>
    </row>
    <row r="9" spans="1:1" x14ac:dyDescent="0.2">
      <c r="A9" s="30" t="s">
        <v>1922</v>
      </c>
    </row>
    <row r="10" spans="1:1" x14ac:dyDescent="0.2">
      <c r="A10" s="30" t="s">
        <v>1923</v>
      </c>
    </row>
    <row r="11" spans="1:1" x14ac:dyDescent="0.2">
      <c r="A11" s="30" t="s">
        <v>1924</v>
      </c>
    </row>
    <row r="12" spans="1:1" x14ac:dyDescent="0.2">
      <c r="A12" s="30" t="s">
        <v>1925</v>
      </c>
    </row>
    <row r="13" spans="1:1" x14ac:dyDescent="0.2">
      <c r="A13" s="30" t="s">
        <v>1926</v>
      </c>
    </row>
    <row r="14" spans="1:1" x14ac:dyDescent="0.2">
      <c r="A14" s="30" t="s">
        <v>1927</v>
      </c>
    </row>
    <row r="15" spans="1:1" x14ac:dyDescent="0.2">
      <c r="A15" s="30" t="s">
        <v>1928</v>
      </c>
    </row>
    <row r="16" spans="1:1" x14ac:dyDescent="0.2">
      <c r="A16" s="30" t="s">
        <v>1929</v>
      </c>
    </row>
    <row r="17" spans="1:1" x14ac:dyDescent="0.2">
      <c r="A17" s="30" t="s">
        <v>1930</v>
      </c>
    </row>
    <row r="18" spans="1:1" x14ac:dyDescent="0.2">
      <c r="A18" s="30" t="s">
        <v>1931</v>
      </c>
    </row>
    <row r="19" spans="1:1" x14ac:dyDescent="0.2">
      <c r="A19" s="30" t="s">
        <v>1932</v>
      </c>
    </row>
    <row r="20" spans="1:1" x14ac:dyDescent="0.2">
      <c r="A20" s="30" t="s">
        <v>1933</v>
      </c>
    </row>
    <row r="21" spans="1:1" x14ac:dyDescent="0.2">
      <c r="A21" s="30" t="s">
        <v>1934</v>
      </c>
    </row>
    <row r="22" spans="1:1" x14ac:dyDescent="0.2">
      <c r="A22" s="30" t="s">
        <v>1935</v>
      </c>
    </row>
    <row r="23" spans="1:1" x14ac:dyDescent="0.2">
      <c r="A23" s="30" t="s">
        <v>1936</v>
      </c>
    </row>
    <row r="24" spans="1:1" x14ac:dyDescent="0.2">
      <c r="A24" s="30" t="s">
        <v>1937</v>
      </c>
    </row>
    <row r="25" spans="1:1" x14ac:dyDescent="0.2">
      <c r="A25" s="30" t="s">
        <v>1938</v>
      </c>
    </row>
    <row r="26" spans="1:1" x14ac:dyDescent="0.2">
      <c r="A26" s="30" t="s">
        <v>1939</v>
      </c>
    </row>
    <row r="27" spans="1:1" x14ac:dyDescent="0.2">
      <c r="A27" s="30" t="s">
        <v>1940</v>
      </c>
    </row>
    <row r="28" spans="1:1" x14ac:dyDescent="0.2">
      <c r="A28" s="30" t="s">
        <v>1941</v>
      </c>
    </row>
    <row r="29" spans="1:1" x14ac:dyDescent="0.2">
      <c r="A29" s="30" t="s">
        <v>1942</v>
      </c>
    </row>
    <row r="30" spans="1:1" x14ac:dyDescent="0.2">
      <c r="A30" s="30" t="s">
        <v>1943</v>
      </c>
    </row>
    <row r="31" spans="1:1" x14ac:dyDescent="0.2">
      <c r="A31" s="30" t="s">
        <v>1944</v>
      </c>
    </row>
    <row r="32" spans="1:1" x14ac:dyDescent="0.2">
      <c r="A32" s="30" t="s">
        <v>1945</v>
      </c>
    </row>
    <row r="33" spans="1:1" x14ac:dyDescent="0.2">
      <c r="A33" s="30" t="s">
        <v>1946</v>
      </c>
    </row>
    <row r="34" spans="1:1" x14ac:dyDescent="0.2">
      <c r="A34" s="30" t="s">
        <v>1947</v>
      </c>
    </row>
    <row r="35" spans="1:1" x14ac:dyDescent="0.2">
      <c r="A35" s="30" t="s">
        <v>1948</v>
      </c>
    </row>
    <row r="36" spans="1:1" x14ac:dyDescent="0.2">
      <c r="A36" s="30" t="s">
        <v>1949</v>
      </c>
    </row>
    <row r="37" spans="1:1" x14ac:dyDescent="0.2">
      <c r="A37" s="30" t="s">
        <v>1950</v>
      </c>
    </row>
    <row r="38" spans="1:1" x14ac:dyDescent="0.2">
      <c r="A38" s="30" t="s">
        <v>1951</v>
      </c>
    </row>
    <row r="39" spans="1:1" x14ac:dyDescent="0.2">
      <c r="A39" s="30" t="s">
        <v>1952</v>
      </c>
    </row>
    <row r="40" spans="1:1" x14ac:dyDescent="0.2">
      <c r="A40" s="30" t="s">
        <v>1953</v>
      </c>
    </row>
    <row r="41" spans="1:1" x14ac:dyDescent="0.2">
      <c r="A41" s="30" t="s">
        <v>1954</v>
      </c>
    </row>
    <row r="42" spans="1:1" x14ac:dyDescent="0.2">
      <c r="A42" s="30" t="s">
        <v>1955</v>
      </c>
    </row>
    <row r="43" spans="1:1" x14ac:dyDescent="0.2">
      <c r="A43" s="30" t="s">
        <v>1956</v>
      </c>
    </row>
    <row r="44" spans="1:1" x14ac:dyDescent="0.2">
      <c r="A44" s="30" t="s">
        <v>1957</v>
      </c>
    </row>
    <row r="45" spans="1:1" x14ac:dyDescent="0.2">
      <c r="A45" s="30" t="s">
        <v>1958</v>
      </c>
    </row>
    <row r="46" spans="1:1" x14ac:dyDescent="0.2">
      <c r="A46" s="30" t="s">
        <v>1959</v>
      </c>
    </row>
    <row r="47" spans="1:1" x14ac:dyDescent="0.2">
      <c r="A47" s="30" t="s">
        <v>1960</v>
      </c>
    </row>
    <row r="48" spans="1:1" x14ac:dyDescent="0.2">
      <c r="A48" s="30" t="s">
        <v>1961</v>
      </c>
    </row>
    <row r="49" spans="1:1" x14ac:dyDescent="0.2">
      <c r="A49" s="30" t="s">
        <v>1962</v>
      </c>
    </row>
    <row r="50" spans="1:1" x14ac:dyDescent="0.2">
      <c r="A50" s="30" t="s">
        <v>1963</v>
      </c>
    </row>
    <row r="51" spans="1:1" x14ac:dyDescent="0.2">
      <c r="A51" s="30" t="s">
        <v>1964</v>
      </c>
    </row>
    <row r="52" spans="1:1" x14ac:dyDescent="0.2">
      <c r="A52" s="30" t="s">
        <v>1965</v>
      </c>
    </row>
    <row r="53" spans="1:1" x14ac:dyDescent="0.2">
      <c r="A53" s="30" t="s">
        <v>1966</v>
      </c>
    </row>
    <row r="54" spans="1:1" x14ac:dyDescent="0.2">
      <c r="A54" s="30" t="s">
        <v>1967</v>
      </c>
    </row>
    <row r="55" spans="1:1" x14ac:dyDescent="0.2">
      <c r="A55" s="30" t="s">
        <v>1968</v>
      </c>
    </row>
    <row r="56" spans="1:1" x14ac:dyDescent="0.2">
      <c r="A56" s="30" t="s">
        <v>1969</v>
      </c>
    </row>
    <row r="57" spans="1:1" x14ac:dyDescent="0.2">
      <c r="A57" s="30" t="s">
        <v>1970</v>
      </c>
    </row>
    <row r="58" spans="1:1" x14ac:dyDescent="0.2">
      <c r="A58" s="30" t="s">
        <v>1971</v>
      </c>
    </row>
    <row r="59" spans="1:1" x14ac:dyDescent="0.2">
      <c r="A59" s="30" t="s">
        <v>1972</v>
      </c>
    </row>
    <row r="60" spans="1:1" x14ac:dyDescent="0.2">
      <c r="A60" s="30" t="s">
        <v>1973</v>
      </c>
    </row>
    <row r="61" spans="1:1" x14ac:dyDescent="0.2">
      <c r="A61" s="30" t="s">
        <v>1974</v>
      </c>
    </row>
    <row r="62" spans="1:1" x14ac:dyDescent="0.2">
      <c r="A62" s="30" t="s">
        <v>1975</v>
      </c>
    </row>
    <row r="63" spans="1:1" x14ac:dyDescent="0.2">
      <c r="A63" s="30" t="s">
        <v>1976</v>
      </c>
    </row>
    <row r="64" spans="1:1" x14ac:dyDescent="0.2">
      <c r="A64" s="30" t="s">
        <v>1977</v>
      </c>
    </row>
    <row r="65" spans="1:1" x14ac:dyDescent="0.2">
      <c r="A65" s="30" t="s">
        <v>1978</v>
      </c>
    </row>
    <row r="66" spans="1:1" x14ac:dyDescent="0.2">
      <c r="A66" s="30" t="s">
        <v>1979</v>
      </c>
    </row>
    <row r="67" spans="1:1" x14ac:dyDescent="0.2">
      <c r="A67" s="30" t="s">
        <v>1980</v>
      </c>
    </row>
    <row r="68" spans="1:1" x14ac:dyDescent="0.2">
      <c r="A68" s="30" t="s">
        <v>1981</v>
      </c>
    </row>
    <row r="69" spans="1:1" x14ac:dyDescent="0.2">
      <c r="A69" s="30" t="s">
        <v>1982</v>
      </c>
    </row>
    <row r="70" spans="1:1" x14ac:dyDescent="0.2">
      <c r="A70" s="30" t="s">
        <v>1983</v>
      </c>
    </row>
    <row r="71" spans="1:1" x14ac:dyDescent="0.2">
      <c r="A71" s="30" t="s">
        <v>1984</v>
      </c>
    </row>
    <row r="72" spans="1:1" x14ac:dyDescent="0.2">
      <c r="A72" s="30" t="s">
        <v>1985</v>
      </c>
    </row>
    <row r="73" spans="1:1" x14ac:dyDescent="0.2">
      <c r="A73" s="30" t="s">
        <v>1986</v>
      </c>
    </row>
    <row r="74" spans="1:1" x14ac:dyDescent="0.2">
      <c r="A74" s="30" t="s">
        <v>1987</v>
      </c>
    </row>
    <row r="75" spans="1:1" x14ac:dyDescent="0.2">
      <c r="A75" s="30" t="s">
        <v>1988</v>
      </c>
    </row>
    <row r="76" spans="1:1" x14ac:dyDescent="0.2">
      <c r="A76" s="30" t="s">
        <v>1989</v>
      </c>
    </row>
    <row r="77" spans="1:1" x14ac:dyDescent="0.2">
      <c r="A77" s="30" t="s">
        <v>1990</v>
      </c>
    </row>
    <row r="78" spans="1:1" x14ac:dyDescent="0.2">
      <c r="A78" s="30" t="s">
        <v>1991</v>
      </c>
    </row>
    <row r="79" spans="1:1" x14ac:dyDescent="0.2">
      <c r="A79" s="30" t="s">
        <v>1992</v>
      </c>
    </row>
    <row r="80" spans="1:1" x14ac:dyDescent="0.2">
      <c r="A80" s="30" t="s">
        <v>1993</v>
      </c>
    </row>
    <row r="81" spans="1:1" x14ac:dyDescent="0.2">
      <c r="A81" s="30" t="s">
        <v>1994</v>
      </c>
    </row>
    <row r="82" spans="1:1" x14ac:dyDescent="0.2">
      <c r="A82" s="30" t="s">
        <v>1995</v>
      </c>
    </row>
    <row r="83" spans="1:1" x14ac:dyDescent="0.2">
      <c r="A83" s="30" t="s">
        <v>1996</v>
      </c>
    </row>
    <row r="84" spans="1:1" x14ac:dyDescent="0.2">
      <c r="A84" s="30" t="s">
        <v>1997</v>
      </c>
    </row>
    <row r="85" spans="1:1" x14ac:dyDescent="0.2">
      <c r="A85" s="30" t="s">
        <v>1998</v>
      </c>
    </row>
    <row r="86" spans="1:1" x14ac:dyDescent="0.2">
      <c r="A86" s="30" t="s">
        <v>1999</v>
      </c>
    </row>
    <row r="87" spans="1:1" x14ac:dyDescent="0.2">
      <c r="A87" s="30" t="s">
        <v>2000</v>
      </c>
    </row>
    <row r="88" spans="1:1" x14ac:dyDescent="0.2">
      <c r="A88" s="30" t="s">
        <v>2001</v>
      </c>
    </row>
    <row r="89" spans="1:1" x14ac:dyDescent="0.2">
      <c r="A89" s="30" t="s">
        <v>2002</v>
      </c>
    </row>
    <row r="90" spans="1:1" x14ac:dyDescent="0.2">
      <c r="A90" s="30" t="s">
        <v>2003</v>
      </c>
    </row>
    <row r="91" spans="1:1" x14ac:dyDescent="0.2">
      <c r="A91" s="30" t="s">
        <v>2004</v>
      </c>
    </row>
    <row r="92" spans="1:1" x14ac:dyDescent="0.2">
      <c r="A92" s="30" t="s">
        <v>2005</v>
      </c>
    </row>
    <row r="93" spans="1:1" x14ac:dyDescent="0.2">
      <c r="A93" s="30" t="s">
        <v>2006</v>
      </c>
    </row>
    <row r="94" spans="1:1" x14ac:dyDescent="0.2">
      <c r="A94" s="30" t="s">
        <v>2007</v>
      </c>
    </row>
    <row r="95" spans="1:1" x14ac:dyDescent="0.2">
      <c r="A95" s="30" t="s">
        <v>2008</v>
      </c>
    </row>
    <row r="96" spans="1:1" x14ac:dyDescent="0.2">
      <c r="A96" s="30" t="s">
        <v>2009</v>
      </c>
    </row>
    <row r="97" spans="1:1" x14ac:dyDescent="0.2">
      <c r="A97" s="30" t="s">
        <v>2010</v>
      </c>
    </row>
    <row r="98" spans="1:1" x14ac:dyDescent="0.2">
      <c r="A98" s="30" t="s">
        <v>2011</v>
      </c>
    </row>
    <row r="99" spans="1:1" x14ac:dyDescent="0.2">
      <c r="A99" s="30" t="s">
        <v>2012</v>
      </c>
    </row>
    <row r="100" spans="1:1" x14ac:dyDescent="0.2">
      <c r="A100" s="30" t="s">
        <v>2013</v>
      </c>
    </row>
    <row r="101" spans="1:1" x14ac:dyDescent="0.2">
      <c r="A101" s="30" t="s">
        <v>2014</v>
      </c>
    </row>
    <row r="102" spans="1:1" x14ac:dyDescent="0.2">
      <c r="A102" s="30" t="s">
        <v>2015</v>
      </c>
    </row>
    <row r="103" spans="1:1" x14ac:dyDescent="0.2">
      <c r="A103" s="30" t="s">
        <v>2016</v>
      </c>
    </row>
    <row r="104" spans="1:1" x14ac:dyDescent="0.2">
      <c r="A104" s="30" t="s">
        <v>2017</v>
      </c>
    </row>
    <row r="105" spans="1:1" x14ac:dyDescent="0.2">
      <c r="A105" s="30" t="s">
        <v>2018</v>
      </c>
    </row>
    <row r="106" spans="1:1" x14ac:dyDescent="0.2">
      <c r="A106" s="30" t="s">
        <v>2019</v>
      </c>
    </row>
    <row r="107" spans="1:1" x14ac:dyDescent="0.2">
      <c r="A107" s="30" t="s">
        <v>2020</v>
      </c>
    </row>
    <row r="108" spans="1:1" x14ac:dyDescent="0.2">
      <c r="A108" s="30" t="s">
        <v>2021</v>
      </c>
    </row>
    <row r="109" spans="1:1" x14ac:dyDescent="0.2">
      <c r="A109" s="30" t="s">
        <v>2022</v>
      </c>
    </row>
    <row r="110" spans="1:1" x14ac:dyDescent="0.2">
      <c r="A110" s="30" t="s">
        <v>2023</v>
      </c>
    </row>
    <row r="111" spans="1:1" x14ac:dyDescent="0.2">
      <c r="A111" s="30" t="s">
        <v>2024</v>
      </c>
    </row>
    <row r="112" spans="1:1" x14ac:dyDescent="0.2">
      <c r="A112" s="30" t="s">
        <v>2025</v>
      </c>
    </row>
    <row r="113" spans="1:1" x14ac:dyDescent="0.2">
      <c r="A113" s="30" t="s">
        <v>2026</v>
      </c>
    </row>
    <row r="114" spans="1:1" x14ac:dyDescent="0.2">
      <c r="A114" s="30" t="s">
        <v>2027</v>
      </c>
    </row>
    <row r="115" spans="1:1" x14ac:dyDescent="0.2">
      <c r="A115" s="30" t="s">
        <v>2028</v>
      </c>
    </row>
    <row r="116" spans="1:1" x14ac:dyDescent="0.2">
      <c r="A116" s="30" t="s">
        <v>2029</v>
      </c>
    </row>
    <row r="117" spans="1:1" x14ac:dyDescent="0.2">
      <c r="A117" s="30" t="s">
        <v>2030</v>
      </c>
    </row>
    <row r="118" spans="1:1" x14ac:dyDescent="0.2">
      <c r="A118" s="30" t="s">
        <v>2031</v>
      </c>
    </row>
    <row r="119" spans="1:1" x14ac:dyDescent="0.2">
      <c r="A119" s="30" t="s">
        <v>2032</v>
      </c>
    </row>
    <row r="120" spans="1:1" x14ac:dyDescent="0.2">
      <c r="A120" s="30" t="s">
        <v>2033</v>
      </c>
    </row>
    <row r="121" spans="1:1" x14ac:dyDescent="0.2">
      <c r="A121" s="30" t="s">
        <v>2034</v>
      </c>
    </row>
    <row r="122" spans="1:1" x14ac:dyDescent="0.2">
      <c r="A122" s="30" t="s">
        <v>2035</v>
      </c>
    </row>
    <row r="123" spans="1:1" x14ac:dyDescent="0.2">
      <c r="A123" s="30" t="s">
        <v>2036</v>
      </c>
    </row>
    <row r="124" spans="1:1" x14ac:dyDescent="0.2">
      <c r="A124" s="30" t="s">
        <v>2037</v>
      </c>
    </row>
    <row r="125" spans="1:1" x14ac:dyDescent="0.2">
      <c r="A125" s="30" t="s">
        <v>2038</v>
      </c>
    </row>
    <row r="126" spans="1:1" x14ac:dyDescent="0.2">
      <c r="A126" s="30" t="s">
        <v>2039</v>
      </c>
    </row>
    <row r="127" spans="1:1" x14ac:dyDescent="0.2">
      <c r="A127" s="30" t="s">
        <v>2040</v>
      </c>
    </row>
    <row r="128" spans="1:1" x14ac:dyDescent="0.2">
      <c r="A128" s="30" t="s">
        <v>2041</v>
      </c>
    </row>
    <row r="129" spans="1:1" x14ac:dyDescent="0.2">
      <c r="A129" s="30" t="s">
        <v>2042</v>
      </c>
    </row>
    <row r="130" spans="1:1" x14ac:dyDescent="0.2">
      <c r="A130" s="30" t="s">
        <v>2043</v>
      </c>
    </row>
    <row r="131" spans="1:1" x14ac:dyDescent="0.2">
      <c r="A131" s="30" t="s">
        <v>2044</v>
      </c>
    </row>
    <row r="132" spans="1:1" x14ac:dyDescent="0.2">
      <c r="A132" s="30" t="s">
        <v>2045</v>
      </c>
    </row>
    <row r="133" spans="1:1" x14ac:dyDescent="0.2">
      <c r="A133" s="30" t="s">
        <v>2046</v>
      </c>
    </row>
    <row r="134" spans="1:1" x14ac:dyDescent="0.2">
      <c r="A134" s="30" t="s">
        <v>2047</v>
      </c>
    </row>
    <row r="135" spans="1:1" x14ac:dyDescent="0.2">
      <c r="A135" s="30" t="s">
        <v>2048</v>
      </c>
    </row>
    <row r="136" spans="1:1" x14ac:dyDescent="0.2">
      <c r="A136" s="30" t="s">
        <v>2049</v>
      </c>
    </row>
    <row r="137" spans="1:1" x14ac:dyDescent="0.2">
      <c r="A137" s="30" t="s">
        <v>2050</v>
      </c>
    </row>
    <row r="138" spans="1:1" x14ac:dyDescent="0.2">
      <c r="A138" s="30" t="s">
        <v>2051</v>
      </c>
    </row>
    <row r="139" spans="1:1" x14ac:dyDescent="0.2">
      <c r="A139" s="30" t="s">
        <v>2052</v>
      </c>
    </row>
    <row r="140" spans="1:1" x14ac:dyDescent="0.2">
      <c r="A140" s="30" t="s">
        <v>2053</v>
      </c>
    </row>
    <row r="141" spans="1:1" x14ac:dyDescent="0.2">
      <c r="A141" s="30" t="s">
        <v>2054</v>
      </c>
    </row>
    <row r="142" spans="1:1" x14ac:dyDescent="0.2">
      <c r="A142" s="30" t="s">
        <v>2055</v>
      </c>
    </row>
    <row r="143" spans="1:1" x14ac:dyDescent="0.2">
      <c r="A143" s="30" t="s">
        <v>2056</v>
      </c>
    </row>
    <row r="144" spans="1:1" x14ac:dyDescent="0.2">
      <c r="A144" s="30" t="s">
        <v>2057</v>
      </c>
    </row>
    <row r="145" spans="1:1" x14ac:dyDescent="0.2">
      <c r="A145" s="30" t="s">
        <v>2058</v>
      </c>
    </row>
    <row r="146" spans="1:1" x14ac:dyDescent="0.2">
      <c r="A146" s="30" t="s">
        <v>2059</v>
      </c>
    </row>
    <row r="147" spans="1:1" x14ac:dyDescent="0.2">
      <c r="A147" s="30" t="s">
        <v>2060</v>
      </c>
    </row>
    <row r="148" spans="1:1" x14ac:dyDescent="0.2">
      <c r="A148" s="30" t="s">
        <v>2061</v>
      </c>
    </row>
    <row r="149" spans="1:1" x14ac:dyDescent="0.2">
      <c r="A149" s="30" t="s">
        <v>2062</v>
      </c>
    </row>
    <row r="150" spans="1:1" x14ac:dyDescent="0.2">
      <c r="A150" s="30" t="s">
        <v>2063</v>
      </c>
    </row>
    <row r="151" spans="1:1" x14ac:dyDescent="0.2">
      <c r="A151" s="30" t="s">
        <v>2064</v>
      </c>
    </row>
    <row r="152" spans="1:1" x14ac:dyDescent="0.2">
      <c r="A152" s="30" t="s">
        <v>2065</v>
      </c>
    </row>
    <row r="153" spans="1:1" x14ac:dyDescent="0.2">
      <c r="A153" s="30" t="s">
        <v>2066</v>
      </c>
    </row>
    <row r="154" spans="1:1" x14ac:dyDescent="0.2">
      <c r="A154" s="30" t="s">
        <v>2067</v>
      </c>
    </row>
    <row r="155" spans="1:1" x14ac:dyDescent="0.2">
      <c r="A155" s="30" t="s">
        <v>2068</v>
      </c>
    </row>
    <row r="156" spans="1:1" x14ac:dyDescent="0.2">
      <c r="A156" s="30" t="s">
        <v>2069</v>
      </c>
    </row>
    <row r="157" spans="1:1" x14ac:dyDescent="0.2">
      <c r="A157" s="30" t="s">
        <v>2070</v>
      </c>
    </row>
    <row r="158" spans="1:1" x14ac:dyDescent="0.2">
      <c r="A158" s="30" t="s">
        <v>2071</v>
      </c>
    </row>
    <row r="159" spans="1:1" x14ac:dyDescent="0.2">
      <c r="A159" s="30" t="s">
        <v>2072</v>
      </c>
    </row>
    <row r="160" spans="1:1" x14ac:dyDescent="0.2">
      <c r="A160" s="30" t="s">
        <v>2073</v>
      </c>
    </row>
    <row r="161" spans="1:1" x14ac:dyDescent="0.2">
      <c r="A161" s="30" t="s">
        <v>2074</v>
      </c>
    </row>
    <row r="162" spans="1:1" x14ac:dyDescent="0.2">
      <c r="A162" s="30" t="s">
        <v>2075</v>
      </c>
    </row>
    <row r="163" spans="1:1" x14ac:dyDescent="0.2">
      <c r="A163" s="30" t="s">
        <v>2076</v>
      </c>
    </row>
    <row r="164" spans="1:1" x14ac:dyDescent="0.2">
      <c r="A164" s="30" t="s">
        <v>2077</v>
      </c>
    </row>
    <row r="165" spans="1:1" x14ac:dyDescent="0.2">
      <c r="A165" s="30" t="s">
        <v>2078</v>
      </c>
    </row>
    <row r="166" spans="1:1" x14ac:dyDescent="0.2">
      <c r="A166" s="30" t="s">
        <v>2079</v>
      </c>
    </row>
    <row r="167" spans="1:1" x14ac:dyDescent="0.2">
      <c r="A167" s="30" t="s">
        <v>2080</v>
      </c>
    </row>
    <row r="168" spans="1:1" x14ac:dyDescent="0.2">
      <c r="A168" s="30" t="s">
        <v>2081</v>
      </c>
    </row>
    <row r="169" spans="1:1" x14ac:dyDescent="0.2">
      <c r="A169" s="30" t="s">
        <v>2082</v>
      </c>
    </row>
    <row r="170" spans="1:1" x14ac:dyDescent="0.2">
      <c r="A170" s="30" t="s">
        <v>2083</v>
      </c>
    </row>
    <row r="171" spans="1:1" x14ac:dyDescent="0.2">
      <c r="A171" s="30" t="s">
        <v>2084</v>
      </c>
    </row>
    <row r="172" spans="1:1" x14ac:dyDescent="0.2">
      <c r="A172" s="30" t="s">
        <v>2085</v>
      </c>
    </row>
    <row r="173" spans="1:1" x14ac:dyDescent="0.2">
      <c r="A173" s="30" t="s">
        <v>2086</v>
      </c>
    </row>
    <row r="174" spans="1:1" x14ac:dyDescent="0.2">
      <c r="A174" s="30" t="s">
        <v>2087</v>
      </c>
    </row>
    <row r="175" spans="1:1" x14ac:dyDescent="0.2">
      <c r="A175" s="30" t="s">
        <v>2088</v>
      </c>
    </row>
    <row r="176" spans="1:1" x14ac:dyDescent="0.2">
      <c r="A176" s="30" t="s">
        <v>2089</v>
      </c>
    </row>
    <row r="177" spans="1:1" x14ac:dyDescent="0.2">
      <c r="A177" s="30" t="s">
        <v>2090</v>
      </c>
    </row>
    <row r="178" spans="1:1" x14ac:dyDescent="0.2">
      <c r="A178" s="30" t="s">
        <v>2091</v>
      </c>
    </row>
    <row r="179" spans="1:1" x14ac:dyDescent="0.2">
      <c r="A179" s="30" t="s">
        <v>2092</v>
      </c>
    </row>
    <row r="180" spans="1:1" x14ac:dyDescent="0.2">
      <c r="A180" s="30" t="s">
        <v>2093</v>
      </c>
    </row>
    <row r="181" spans="1:1" x14ac:dyDescent="0.2">
      <c r="A181" s="30" t="s">
        <v>2094</v>
      </c>
    </row>
    <row r="182" spans="1:1" x14ac:dyDescent="0.2">
      <c r="A182" s="30" t="s">
        <v>2095</v>
      </c>
    </row>
    <row r="183" spans="1:1" x14ac:dyDescent="0.2">
      <c r="A183" s="30" t="s">
        <v>2096</v>
      </c>
    </row>
    <row r="184" spans="1:1" x14ac:dyDescent="0.2">
      <c r="A184" s="30" t="s">
        <v>2097</v>
      </c>
    </row>
    <row r="185" spans="1:1" x14ac:dyDescent="0.2">
      <c r="A185" s="30" t="s">
        <v>2098</v>
      </c>
    </row>
    <row r="186" spans="1:1" x14ac:dyDescent="0.2">
      <c r="A186" s="30" t="s">
        <v>2099</v>
      </c>
    </row>
    <row r="187" spans="1:1" x14ac:dyDescent="0.2">
      <c r="A187" s="30" t="s">
        <v>2100</v>
      </c>
    </row>
    <row r="188" spans="1:1" x14ac:dyDescent="0.2">
      <c r="A188" s="30" t="s">
        <v>2101</v>
      </c>
    </row>
    <row r="189" spans="1:1" x14ac:dyDescent="0.2">
      <c r="A189" s="30" t="s">
        <v>2102</v>
      </c>
    </row>
    <row r="190" spans="1:1" x14ac:dyDescent="0.2">
      <c r="A190" s="30" t="s">
        <v>2103</v>
      </c>
    </row>
    <row r="191" spans="1:1" x14ac:dyDescent="0.2">
      <c r="A191" s="30" t="s">
        <v>2104</v>
      </c>
    </row>
    <row r="192" spans="1:1" x14ac:dyDescent="0.2">
      <c r="A192" s="30" t="s">
        <v>2105</v>
      </c>
    </row>
    <row r="193" spans="1:1" x14ac:dyDescent="0.2">
      <c r="A193" s="30" t="s">
        <v>2106</v>
      </c>
    </row>
    <row r="194" spans="1:1" x14ac:dyDescent="0.2">
      <c r="A194" s="30" t="s">
        <v>2107</v>
      </c>
    </row>
    <row r="195" spans="1:1" x14ac:dyDescent="0.2">
      <c r="A195" s="30" t="s">
        <v>2108</v>
      </c>
    </row>
    <row r="196" spans="1:1" x14ac:dyDescent="0.2">
      <c r="A196" s="30" t="s">
        <v>2109</v>
      </c>
    </row>
    <row r="197" spans="1:1" x14ac:dyDescent="0.2">
      <c r="A197" s="30" t="s">
        <v>2110</v>
      </c>
    </row>
    <row r="198" spans="1:1" x14ac:dyDescent="0.2">
      <c r="A198" s="30" t="s">
        <v>2111</v>
      </c>
    </row>
    <row r="199" spans="1:1" x14ac:dyDescent="0.2">
      <c r="A199" s="30" t="s">
        <v>2112</v>
      </c>
    </row>
    <row r="200" spans="1:1" x14ac:dyDescent="0.2">
      <c r="A200" s="30" t="s">
        <v>2113</v>
      </c>
    </row>
    <row r="201" spans="1:1" x14ac:dyDescent="0.2">
      <c r="A201" s="30" t="s">
        <v>2114</v>
      </c>
    </row>
    <row r="202" spans="1:1" x14ac:dyDescent="0.2">
      <c r="A202" s="30" t="s">
        <v>2115</v>
      </c>
    </row>
    <row r="203" spans="1:1" x14ac:dyDescent="0.2">
      <c r="A203" s="30" t="s">
        <v>2116</v>
      </c>
    </row>
    <row r="204" spans="1:1" x14ac:dyDescent="0.2">
      <c r="A204" s="30" t="s">
        <v>2117</v>
      </c>
    </row>
    <row r="205" spans="1:1" x14ac:dyDescent="0.2">
      <c r="A205" s="30" t="s">
        <v>2118</v>
      </c>
    </row>
    <row r="206" spans="1:1" x14ac:dyDescent="0.2">
      <c r="A206" s="30" t="s">
        <v>2119</v>
      </c>
    </row>
    <row r="207" spans="1:1" x14ac:dyDescent="0.2">
      <c r="A207" s="30" t="s">
        <v>2120</v>
      </c>
    </row>
    <row r="208" spans="1:1" x14ac:dyDescent="0.2">
      <c r="A208" s="30" t="s">
        <v>2121</v>
      </c>
    </row>
    <row r="209" spans="1:1" x14ac:dyDescent="0.2">
      <c r="A209" s="30" t="s">
        <v>2122</v>
      </c>
    </row>
    <row r="210" spans="1:1" x14ac:dyDescent="0.2">
      <c r="A210" s="30" t="s">
        <v>2123</v>
      </c>
    </row>
    <row r="211" spans="1:1" x14ac:dyDescent="0.2">
      <c r="A211" s="30" t="s">
        <v>2124</v>
      </c>
    </row>
    <row r="212" spans="1:1" x14ac:dyDescent="0.2">
      <c r="A212" s="30" t="s">
        <v>2125</v>
      </c>
    </row>
    <row r="213" spans="1:1" x14ac:dyDescent="0.2">
      <c r="A213" s="30" t="s">
        <v>2126</v>
      </c>
    </row>
    <row r="214" spans="1:1" x14ac:dyDescent="0.2">
      <c r="A214" s="30" t="s">
        <v>2127</v>
      </c>
    </row>
    <row r="215" spans="1:1" x14ac:dyDescent="0.2">
      <c r="A215" s="30" t="s">
        <v>2128</v>
      </c>
    </row>
    <row r="216" spans="1:1" x14ac:dyDescent="0.2">
      <c r="A216" s="30" t="s">
        <v>2129</v>
      </c>
    </row>
    <row r="217" spans="1:1" x14ac:dyDescent="0.2">
      <c r="A217" s="30" t="s">
        <v>2130</v>
      </c>
    </row>
    <row r="218" spans="1:1" x14ac:dyDescent="0.2">
      <c r="A218" s="30" t="s">
        <v>2131</v>
      </c>
    </row>
    <row r="219" spans="1:1" x14ac:dyDescent="0.2">
      <c r="A219" s="30" t="s">
        <v>2132</v>
      </c>
    </row>
    <row r="220" spans="1:1" x14ac:dyDescent="0.2">
      <c r="A220" s="30" t="s">
        <v>2133</v>
      </c>
    </row>
    <row r="221" spans="1:1" x14ac:dyDescent="0.2">
      <c r="A221" s="30" t="s">
        <v>2134</v>
      </c>
    </row>
    <row r="222" spans="1:1" x14ac:dyDescent="0.2">
      <c r="A222" s="30" t="s">
        <v>2135</v>
      </c>
    </row>
    <row r="223" spans="1:1" x14ac:dyDescent="0.2">
      <c r="A223" s="30" t="s">
        <v>2136</v>
      </c>
    </row>
    <row r="224" spans="1:1" x14ac:dyDescent="0.2">
      <c r="A224" s="30" t="s">
        <v>2137</v>
      </c>
    </row>
    <row r="225" spans="1:1" x14ac:dyDescent="0.2">
      <c r="A225" s="30" t="s">
        <v>2138</v>
      </c>
    </row>
    <row r="226" spans="1:1" x14ac:dyDescent="0.2">
      <c r="A226" s="30" t="s">
        <v>2139</v>
      </c>
    </row>
    <row r="227" spans="1:1" x14ac:dyDescent="0.2">
      <c r="A227" s="30" t="s">
        <v>2140</v>
      </c>
    </row>
    <row r="228" spans="1:1" x14ac:dyDescent="0.2">
      <c r="A228" s="30" t="s">
        <v>2141</v>
      </c>
    </row>
    <row r="229" spans="1:1" x14ac:dyDescent="0.2">
      <c r="A229" s="30" t="s">
        <v>2142</v>
      </c>
    </row>
    <row r="230" spans="1:1" x14ac:dyDescent="0.2">
      <c r="A230" s="30" t="s">
        <v>2143</v>
      </c>
    </row>
    <row r="231" spans="1:1" x14ac:dyDescent="0.2">
      <c r="A231" s="30" t="s">
        <v>2144</v>
      </c>
    </row>
    <row r="232" spans="1:1" x14ac:dyDescent="0.2">
      <c r="A232" s="30" t="s">
        <v>2145</v>
      </c>
    </row>
    <row r="233" spans="1:1" x14ac:dyDescent="0.2">
      <c r="A233" s="30" t="s">
        <v>2146</v>
      </c>
    </row>
    <row r="234" spans="1:1" x14ac:dyDescent="0.2">
      <c r="A234" s="30" t="s">
        <v>2147</v>
      </c>
    </row>
    <row r="235" spans="1:1" x14ac:dyDescent="0.2">
      <c r="A235" s="30" t="s">
        <v>2148</v>
      </c>
    </row>
    <row r="236" spans="1:1" x14ac:dyDescent="0.2">
      <c r="A236" s="30" t="s">
        <v>2149</v>
      </c>
    </row>
    <row r="237" spans="1:1" x14ac:dyDescent="0.2">
      <c r="A237" s="30" t="s">
        <v>2150</v>
      </c>
    </row>
    <row r="238" spans="1:1" x14ac:dyDescent="0.2">
      <c r="A238" s="30" t="s">
        <v>2151</v>
      </c>
    </row>
    <row r="239" spans="1:1" x14ac:dyDescent="0.2">
      <c r="A239" s="30" t="s">
        <v>2152</v>
      </c>
    </row>
    <row r="240" spans="1:1" x14ac:dyDescent="0.2">
      <c r="A240" s="30" t="s">
        <v>2153</v>
      </c>
    </row>
    <row r="241" spans="1:1" x14ac:dyDescent="0.2">
      <c r="A241" s="30" t="s">
        <v>2154</v>
      </c>
    </row>
    <row r="242" spans="1:1" x14ac:dyDescent="0.2">
      <c r="A242" s="30" t="s">
        <v>2155</v>
      </c>
    </row>
    <row r="243" spans="1:1" x14ac:dyDescent="0.2">
      <c r="A243" s="30" t="s">
        <v>2156</v>
      </c>
    </row>
    <row r="244" spans="1:1" x14ac:dyDescent="0.2">
      <c r="A244" s="30" t="s">
        <v>2157</v>
      </c>
    </row>
    <row r="245" spans="1:1" x14ac:dyDescent="0.2">
      <c r="A245" s="30" t="s">
        <v>2158</v>
      </c>
    </row>
    <row r="246" spans="1:1" x14ac:dyDescent="0.2">
      <c r="A246" s="30" t="s">
        <v>2159</v>
      </c>
    </row>
    <row r="247" spans="1:1" x14ac:dyDescent="0.2">
      <c r="A247" s="30" t="s">
        <v>2160</v>
      </c>
    </row>
    <row r="248" spans="1:1" x14ac:dyDescent="0.2">
      <c r="A248" s="30" t="s">
        <v>2161</v>
      </c>
    </row>
    <row r="249" spans="1:1" x14ac:dyDescent="0.2">
      <c r="A249" s="30" t="s">
        <v>2162</v>
      </c>
    </row>
    <row r="250" spans="1:1" x14ac:dyDescent="0.2">
      <c r="A250" s="30" t="s">
        <v>2163</v>
      </c>
    </row>
    <row r="251" spans="1:1" x14ac:dyDescent="0.2">
      <c r="A251" s="30" t="s">
        <v>2164</v>
      </c>
    </row>
    <row r="252" spans="1:1" x14ac:dyDescent="0.2">
      <c r="A252" s="30" t="s">
        <v>2165</v>
      </c>
    </row>
    <row r="253" spans="1:1" x14ac:dyDescent="0.2">
      <c r="A253" s="30" t="s">
        <v>2166</v>
      </c>
    </row>
    <row r="254" spans="1:1" x14ac:dyDescent="0.2">
      <c r="A254" s="30" t="s">
        <v>2167</v>
      </c>
    </row>
    <row r="255" spans="1:1" x14ac:dyDescent="0.2">
      <c r="A255" s="30" t="s">
        <v>2168</v>
      </c>
    </row>
    <row r="256" spans="1:1" x14ac:dyDescent="0.2">
      <c r="A256" s="30" t="s">
        <v>2169</v>
      </c>
    </row>
    <row r="257" spans="1:1" x14ac:dyDescent="0.2">
      <c r="A257" s="30" t="s">
        <v>2170</v>
      </c>
    </row>
    <row r="258" spans="1:1" x14ac:dyDescent="0.2">
      <c r="A258" s="30" t="s">
        <v>2171</v>
      </c>
    </row>
    <row r="259" spans="1:1" x14ac:dyDescent="0.2">
      <c r="A259" s="30" t="s">
        <v>2172</v>
      </c>
    </row>
    <row r="260" spans="1:1" x14ac:dyDescent="0.2">
      <c r="A260" s="30" t="s">
        <v>2173</v>
      </c>
    </row>
    <row r="261" spans="1:1" x14ac:dyDescent="0.2">
      <c r="A261" s="30" t="s">
        <v>2174</v>
      </c>
    </row>
    <row r="262" spans="1:1" x14ac:dyDescent="0.2">
      <c r="A262" s="30" t="s">
        <v>2175</v>
      </c>
    </row>
    <row r="263" spans="1:1" x14ac:dyDescent="0.2">
      <c r="A263" s="30" t="s">
        <v>2176</v>
      </c>
    </row>
    <row r="264" spans="1:1" x14ac:dyDescent="0.2">
      <c r="A264" s="30" t="s">
        <v>2177</v>
      </c>
    </row>
    <row r="265" spans="1:1" x14ac:dyDescent="0.2">
      <c r="A265" s="30" t="s">
        <v>2178</v>
      </c>
    </row>
    <row r="266" spans="1:1" x14ac:dyDescent="0.2">
      <c r="A266" s="30" t="s">
        <v>2179</v>
      </c>
    </row>
    <row r="267" spans="1:1" x14ac:dyDescent="0.2">
      <c r="A267" s="30" t="s">
        <v>2180</v>
      </c>
    </row>
    <row r="268" spans="1:1" x14ac:dyDescent="0.2">
      <c r="A268" s="30" t="s">
        <v>2181</v>
      </c>
    </row>
    <row r="269" spans="1:1" x14ac:dyDescent="0.2">
      <c r="A269" s="30" t="s">
        <v>2182</v>
      </c>
    </row>
    <row r="270" spans="1:1" x14ac:dyDescent="0.2">
      <c r="A270" s="30" t="s">
        <v>2183</v>
      </c>
    </row>
    <row r="271" spans="1:1" x14ac:dyDescent="0.2">
      <c r="A271" s="30" t="s">
        <v>2184</v>
      </c>
    </row>
    <row r="272" spans="1:1" x14ac:dyDescent="0.2">
      <c r="A272" s="30" t="s">
        <v>2185</v>
      </c>
    </row>
    <row r="273" spans="1:1" x14ac:dyDescent="0.2">
      <c r="A273" s="30" t="s">
        <v>2186</v>
      </c>
    </row>
    <row r="274" spans="1:1" x14ac:dyDescent="0.2">
      <c r="A274" s="30" t="s">
        <v>2187</v>
      </c>
    </row>
    <row r="275" spans="1:1" x14ac:dyDescent="0.2">
      <c r="A275" s="30" t="s">
        <v>2188</v>
      </c>
    </row>
    <row r="276" spans="1:1" x14ac:dyDescent="0.2">
      <c r="A276" s="30" t="s">
        <v>2189</v>
      </c>
    </row>
    <row r="277" spans="1:1" x14ac:dyDescent="0.2">
      <c r="A277" s="30" t="s">
        <v>2190</v>
      </c>
    </row>
    <row r="278" spans="1:1" x14ac:dyDescent="0.2">
      <c r="A278" s="30" t="s">
        <v>2191</v>
      </c>
    </row>
    <row r="279" spans="1:1" x14ac:dyDescent="0.2">
      <c r="A279" s="30" t="s">
        <v>2192</v>
      </c>
    </row>
    <row r="280" spans="1:1" x14ac:dyDescent="0.2">
      <c r="A280" s="30" t="s">
        <v>2193</v>
      </c>
    </row>
    <row r="281" spans="1:1" x14ac:dyDescent="0.2">
      <c r="A281" s="30" t="s">
        <v>2194</v>
      </c>
    </row>
    <row r="282" spans="1:1" x14ac:dyDescent="0.2">
      <c r="A282" s="30" t="s">
        <v>2195</v>
      </c>
    </row>
    <row r="283" spans="1:1" x14ac:dyDescent="0.2">
      <c r="A283" s="30" t="s">
        <v>2196</v>
      </c>
    </row>
    <row r="284" spans="1:1" x14ac:dyDescent="0.2">
      <c r="A284" s="30" t="s">
        <v>2197</v>
      </c>
    </row>
    <row r="285" spans="1:1" x14ac:dyDescent="0.2">
      <c r="A285" s="30" t="s">
        <v>2198</v>
      </c>
    </row>
    <row r="286" spans="1:1" x14ac:dyDescent="0.2">
      <c r="A286" s="30" t="s">
        <v>2199</v>
      </c>
    </row>
    <row r="287" spans="1:1" x14ac:dyDescent="0.2">
      <c r="A287" s="30" t="s">
        <v>2200</v>
      </c>
    </row>
    <row r="288" spans="1:1" x14ac:dyDescent="0.2">
      <c r="A288" s="30" t="s">
        <v>2201</v>
      </c>
    </row>
    <row r="289" spans="1:1" x14ac:dyDescent="0.2">
      <c r="A289" s="30" t="s">
        <v>2202</v>
      </c>
    </row>
    <row r="290" spans="1:1" x14ac:dyDescent="0.2">
      <c r="A290" s="30" t="s">
        <v>2203</v>
      </c>
    </row>
    <row r="291" spans="1:1" x14ac:dyDescent="0.2">
      <c r="A291" s="30" t="s">
        <v>2204</v>
      </c>
    </row>
    <row r="292" spans="1:1" x14ac:dyDescent="0.2">
      <c r="A292" s="30" t="s">
        <v>2205</v>
      </c>
    </row>
    <row r="293" spans="1:1" x14ac:dyDescent="0.2">
      <c r="A293" s="30" t="s">
        <v>2206</v>
      </c>
    </row>
    <row r="294" spans="1:1" x14ac:dyDescent="0.2">
      <c r="A294" s="30" t="s">
        <v>2207</v>
      </c>
    </row>
    <row r="295" spans="1:1" x14ac:dyDescent="0.2">
      <c r="A295" s="30" t="s">
        <v>2208</v>
      </c>
    </row>
    <row r="296" spans="1:1" x14ac:dyDescent="0.2">
      <c r="A296" s="30" t="s">
        <v>2209</v>
      </c>
    </row>
    <row r="297" spans="1:1" x14ac:dyDescent="0.2">
      <c r="A297" s="30" t="s">
        <v>2210</v>
      </c>
    </row>
    <row r="298" spans="1:1" x14ac:dyDescent="0.2">
      <c r="A298" s="30" t="s">
        <v>2211</v>
      </c>
    </row>
    <row r="299" spans="1:1" x14ac:dyDescent="0.2">
      <c r="A299" s="30" t="s">
        <v>2212</v>
      </c>
    </row>
    <row r="300" spans="1:1" x14ac:dyDescent="0.2">
      <c r="A300" s="30" t="s">
        <v>2213</v>
      </c>
    </row>
    <row r="301" spans="1:1" x14ac:dyDescent="0.2">
      <c r="A301" s="30" t="s">
        <v>2214</v>
      </c>
    </row>
    <row r="302" spans="1:1" x14ac:dyDescent="0.2">
      <c r="A302" s="30" t="s">
        <v>2215</v>
      </c>
    </row>
    <row r="303" spans="1:1" x14ac:dyDescent="0.2">
      <c r="A303" s="30" t="s">
        <v>2216</v>
      </c>
    </row>
    <row r="304" spans="1:1" x14ac:dyDescent="0.2">
      <c r="A304" s="30" t="s">
        <v>2217</v>
      </c>
    </row>
    <row r="305" spans="1:1" x14ac:dyDescent="0.2">
      <c r="A305" s="30" t="s">
        <v>2218</v>
      </c>
    </row>
    <row r="306" spans="1:1" x14ac:dyDescent="0.2">
      <c r="A306" s="30" t="s">
        <v>2219</v>
      </c>
    </row>
    <row r="307" spans="1:1" x14ac:dyDescent="0.2">
      <c r="A307" s="30" t="s">
        <v>2220</v>
      </c>
    </row>
    <row r="308" spans="1:1" x14ac:dyDescent="0.2">
      <c r="A308" s="30" t="s">
        <v>2221</v>
      </c>
    </row>
    <row r="309" spans="1:1" x14ac:dyDescent="0.2">
      <c r="A309" s="30" t="s">
        <v>2222</v>
      </c>
    </row>
    <row r="310" spans="1:1" x14ac:dyDescent="0.2">
      <c r="A310" s="30" t="s">
        <v>2223</v>
      </c>
    </row>
    <row r="311" spans="1:1" x14ac:dyDescent="0.2">
      <c r="A311" s="30" t="s">
        <v>2224</v>
      </c>
    </row>
    <row r="312" spans="1:1" x14ac:dyDescent="0.2">
      <c r="A312" s="30" t="s">
        <v>2225</v>
      </c>
    </row>
    <row r="313" spans="1:1" x14ac:dyDescent="0.2">
      <c r="A313" s="30" t="s">
        <v>2226</v>
      </c>
    </row>
    <row r="314" spans="1:1" x14ac:dyDescent="0.2">
      <c r="A314" s="30" t="s">
        <v>2227</v>
      </c>
    </row>
    <row r="315" spans="1:1" x14ac:dyDescent="0.2">
      <c r="A315" s="30" t="s">
        <v>2228</v>
      </c>
    </row>
    <row r="316" spans="1:1" x14ac:dyDescent="0.2">
      <c r="A316" s="30" t="s">
        <v>2229</v>
      </c>
    </row>
    <row r="317" spans="1:1" x14ac:dyDescent="0.2">
      <c r="A317" s="30" t="s">
        <v>2230</v>
      </c>
    </row>
    <row r="318" spans="1:1" x14ac:dyDescent="0.2">
      <c r="A318" s="30" t="s">
        <v>2231</v>
      </c>
    </row>
    <row r="319" spans="1:1" x14ac:dyDescent="0.2">
      <c r="A319" s="30" t="s">
        <v>2232</v>
      </c>
    </row>
    <row r="320" spans="1:1" x14ac:dyDescent="0.2">
      <c r="A320" s="30" t="s">
        <v>2233</v>
      </c>
    </row>
    <row r="321" spans="1:1" x14ac:dyDescent="0.2">
      <c r="A321" s="30" t="s">
        <v>2234</v>
      </c>
    </row>
    <row r="322" spans="1:1" x14ac:dyDescent="0.2">
      <c r="A322" s="30" t="s">
        <v>2235</v>
      </c>
    </row>
    <row r="323" spans="1:1" x14ac:dyDescent="0.2">
      <c r="A323" s="30" t="s">
        <v>2236</v>
      </c>
    </row>
    <row r="324" spans="1:1" x14ac:dyDescent="0.2">
      <c r="A324" s="30" t="s">
        <v>2237</v>
      </c>
    </row>
    <row r="325" spans="1:1" x14ac:dyDescent="0.2">
      <c r="A325" s="30" t="s">
        <v>2238</v>
      </c>
    </row>
    <row r="326" spans="1:1" x14ac:dyDescent="0.2">
      <c r="A326" s="30" t="s">
        <v>2239</v>
      </c>
    </row>
    <row r="327" spans="1:1" x14ac:dyDescent="0.2">
      <c r="A327" s="30" t="s">
        <v>2240</v>
      </c>
    </row>
    <row r="328" spans="1:1" x14ac:dyDescent="0.2">
      <c r="A328" s="30" t="s">
        <v>2241</v>
      </c>
    </row>
    <row r="329" spans="1:1" x14ac:dyDescent="0.2">
      <c r="A329" s="30" t="s">
        <v>2242</v>
      </c>
    </row>
    <row r="330" spans="1:1" x14ac:dyDescent="0.2">
      <c r="A330" s="30" t="s">
        <v>2243</v>
      </c>
    </row>
    <row r="331" spans="1:1" x14ac:dyDescent="0.2">
      <c r="A331" s="30" t="s">
        <v>2244</v>
      </c>
    </row>
    <row r="332" spans="1:1" x14ac:dyDescent="0.2">
      <c r="A332" s="30" t="s">
        <v>2245</v>
      </c>
    </row>
    <row r="333" spans="1:1" x14ac:dyDescent="0.2">
      <c r="A333" s="30" t="s">
        <v>2246</v>
      </c>
    </row>
    <row r="334" spans="1:1" x14ac:dyDescent="0.2">
      <c r="A334" s="30" t="s">
        <v>2247</v>
      </c>
    </row>
    <row r="335" spans="1:1" x14ac:dyDescent="0.2">
      <c r="A335" s="30" t="s">
        <v>2248</v>
      </c>
    </row>
    <row r="336" spans="1:1" x14ac:dyDescent="0.2">
      <c r="A336" s="30" t="s">
        <v>2249</v>
      </c>
    </row>
    <row r="337" spans="1:1" x14ac:dyDescent="0.2">
      <c r="A337" s="30" t="s">
        <v>2250</v>
      </c>
    </row>
    <row r="338" spans="1:1" x14ac:dyDescent="0.2">
      <c r="A338" s="30" t="s">
        <v>3375</v>
      </c>
    </row>
    <row r="339" spans="1:1" x14ac:dyDescent="0.2">
      <c r="A339" s="30" t="s">
        <v>3376</v>
      </c>
    </row>
    <row r="340" spans="1:1" x14ac:dyDescent="0.2">
      <c r="A340" s="30" t="s">
        <v>3377</v>
      </c>
    </row>
    <row r="341" spans="1:1" x14ac:dyDescent="0.2">
      <c r="A341" s="30" t="s">
        <v>3378</v>
      </c>
    </row>
    <row r="342" spans="1:1" x14ac:dyDescent="0.2">
      <c r="A342" s="30" t="s">
        <v>3379</v>
      </c>
    </row>
    <row r="343" spans="1:1" x14ac:dyDescent="0.2">
      <c r="A343" s="30" t="s">
        <v>3380</v>
      </c>
    </row>
    <row r="344" spans="1:1" x14ac:dyDescent="0.2">
      <c r="A344" s="30" t="s">
        <v>3381</v>
      </c>
    </row>
    <row r="345" spans="1:1" x14ac:dyDescent="0.2">
      <c r="A345" s="30" t="s">
        <v>3382</v>
      </c>
    </row>
    <row r="346" spans="1:1" x14ac:dyDescent="0.2">
      <c r="A346" s="30" t="s">
        <v>3383</v>
      </c>
    </row>
    <row r="347" spans="1:1" x14ac:dyDescent="0.2">
      <c r="A347" s="30" t="s">
        <v>3384</v>
      </c>
    </row>
    <row r="348" spans="1:1" x14ac:dyDescent="0.2">
      <c r="A348" s="30" t="s">
        <v>3385</v>
      </c>
    </row>
    <row r="349" spans="1:1" x14ac:dyDescent="0.2">
      <c r="A349" s="30" t="s">
        <v>3386</v>
      </c>
    </row>
    <row r="350" spans="1:1" x14ac:dyDescent="0.2">
      <c r="A350" s="30" t="s">
        <v>3387</v>
      </c>
    </row>
    <row r="351" spans="1:1" x14ac:dyDescent="0.2">
      <c r="A351" s="30" t="s">
        <v>3388</v>
      </c>
    </row>
    <row r="352" spans="1:1" x14ac:dyDescent="0.2">
      <c r="A352" s="30" t="s">
        <v>3389</v>
      </c>
    </row>
    <row r="353" spans="1:1" x14ac:dyDescent="0.2">
      <c r="A353" s="30" t="s">
        <v>3390</v>
      </c>
    </row>
    <row r="354" spans="1:1" x14ac:dyDescent="0.2">
      <c r="A354" s="30" t="s">
        <v>3391</v>
      </c>
    </row>
    <row r="355" spans="1:1" x14ac:dyDescent="0.2">
      <c r="A355" s="30" t="s">
        <v>3392</v>
      </c>
    </row>
    <row r="356" spans="1:1" x14ac:dyDescent="0.2">
      <c r="A356" s="30" t="s">
        <v>3393</v>
      </c>
    </row>
    <row r="357" spans="1:1" x14ac:dyDescent="0.2">
      <c r="A357" s="30" t="s">
        <v>3394</v>
      </c>
    </row>
    <row r="358" spans="1:1" x14ac:dyDescent="0.2">
      <c r="A358" s="30" t="s">
        <v>3395</v>
      </c>
    </row>
    <row r="359" spans="1:1" x14ac:dyDescent="0.2">
      <c r="A359" s="30" t="s">
        <v>3396</v>
      </c>
    </row>
    <row r="360" spans="1:1" x14ac:dyDescent="0.2">
      <c r="A360" s="30" t="s">
        <v>3397</v>
      </c>
    </row>
    <row r="361" spans="1:1" x14ac:dyDescent="0.2">
      <c r="A361" s="30" t="s">
        <v>3398</v>
      </c>
    </row>
    <row r="362" spans="1:1" x14ac:dyDescent="0.2">
      <c r="A362" s="30" t="s">
        <v>3399</v>
      </c>
    </row>
    <row r="363" spans="1:1" x14ac:dyDescent="0.2">
      <c r="A363" s="30" t="s">
        <v>3400</v>
      </c>
    </row>
    <row r="364" spans="1:1" x14ac:dyDescent="0.2">
      <c r="A364" s="30" t="s">
        <v>3401</v>
      </c>
    </row>
    <row r="365" spans="1:1" x14ac:dyDescent="0.2">
      <c r="A365" s="30" t="s">
        <v>3402</v>
      </c>
    </row>
    <row r="366" spans="1:1" x14ac:dyDescent="0.2">
      <c r="A366" s="30" t="s">
        <v>3403</v>
      </c>
    </row>
    <row r="367" spans="1:1" x14ac:dyDescent="0.2">
      <c r="A367" s="30" t="s">
        <v>3404</v>
      </c>
    </row>
    <row r="368" spans="1:1" x14ac:dyDescent="0.2">
      <c r="A368" s="30" t="s">
        <v>3405</v>
      </c>
    </row>
    <row r="369" spans="1:1" x14ac:dyDescent="0.2">
      <c r="A369" s="30" t="s">
        <v>3406</v>
      </c>
    </row>
    <row r="370" spans="1:1" x14ac:dyDescent="0.2">
      <c r="A370" s="30" t="s">
        <v>3407</v>
      </c>
    </row>
    <row r="371" spans="1:1" x14ac:dyDescent="0.2">
      <c r="A371" s="30" t="s">
        <v>3408</v>
      </c>
    </row>
    <row r="372" spans="1:1" x14ac:dyDescent="0.2">
      <c r="A372" s="30" t="s">
        <v>3409</v>
      </c>
    </row>
    <row r="373" spans="1:1" x14ac:dyDescent="0.2">
      <c r="A373" s="30" t="s">
        <v>3410</v>
      </c>
    </row>
    <row r="374" spans="1:1" x14ac:dyDescent="0.2">
      <c r="A374" s="30" t="s">
        <v>3411</v>
      </c>
    </row>
    <row r="375" spans="1:1" x14ac:dyDescent="0.2">
      <c r="A375" s="30" t="s">
        <v>3412</v>
      </c>
    </row>
    <row r="376" spans="1:1" x14ac:dyDescent="0.2">
      <c r="A376" s="30" t="s">
        <v>3413</v>
      </c>
    </row>
    <row r="377" spans="1:1" x14ac:dyDescent="0.2">
      <c r="A377" s="30" t="s">
        <v>3414</v>
      </c>
    </row>
    <row r="378" spans="1:1" x14ac:dyDescent="0.2">
      <c r="A378" s="30" t="s">
        <v>3415</v>
      </c>
    </row>
    <row r="379" spans="1:1" x14ac:dyDescent="0.2">
      <c r="A379" s="30" t="s">
        <v>3416</v>
      </c>
    </row>
    <row r="380" spans="1:1" x14ac:dyDescent="0.2">
      <c r="A380" s="30" t="s">
        <v>3417</v>
      </c>
    </row>
    <row r="381" spans="1:1" x14ac:dyDescent="0.2">
      <c r="A381" s="30" t="s">
        <v>3418</v>
      </c>
    </row>
    <row r="382" spans="1:1" x14ac:dyDescent="0.2">
      <c r="A382" s="30" t="s">
        <v>3419</v>
      </c>
    </row>
    <row r="383" spans="1:1" x14ac:dyDescent="0.2">
      <c r="A383" s="30" t="s">
        <v>3420</v>
      </c>
    </row>
    <row r="384" spans="1:1" x14ac:dyDescent="0.2">
      <c r="A384" s="30" t="s">
        <v>3421</v>
      </c>
    </row>
    <row r="385" spans="1:1" x14ac:dyDescent="0.2">
      <c r="A385" s="30" t="s">
        <v>3422</v>
      </c>
    </row>
    <row r="386" spans="1:1" x14ac:dyDescent="0.2">
      <c r="A386" s="30" t="s">
        <v>3423</v>
      </c>
    </row>
    <row r="387" spans="1:1" x14ac:dyDescent="0.2">
      <c r="A387" s="30" t="s">
        <v>3424</v>
      </c>
    </row>
    <row r="388" spans="1:1" x14ac:dyDescent="0.2">
      <c r="A388" s="30" t="s">
        <v>3425</v>
      </c>
    </row>
    <row r="389" spans="1:1" x14ac:dyDescent="0.2">
      <c r="A389" s="30" t="s">
        <v>3426</v>
      </c>
    </row>
    <row r="390" spans="1:1" x14ac:dyDescent="0.2">
      <c r="A390" s="30" t="s">
        <v>3427</v>
      </c>
    </row>
    <row r="391" spans="1:1" x14ac:dyDescent="0.2">
      <c r="A391" s="30" t="s">
        <v>3428</v>
      </c>
    </row>
    <row r="392" spans="1:1" x14ac:dyDescent="0.2">
      <c r="A392" s="30" t="s">
        <v>3429</v>
      </c>
    </row>
    <row r="393" spans="1:1" x14ac:dyDescent="0.2">
      <c r="A393" s="30" t="s">
        <v>3430</v>
      </c>
    </row>
    <row r="394" spans="1:1" x14ac:dyDescent="0.2">
      <c r="A394" s="30" t="s">
        <v>3431</v>
      </c>
    </row>
    <row r="395" spans="1:1" x14ac:dyDescent="0.2">
      <c r="A395" s="30" t="s">
        <v>3432</v>
      </c>
    </row>
    <row r="396" spans="1:1" x14ac:dyDescent="0.2">
      <c r="A396" s="30" t="s">
        <v>3433</v>
      </c>
    </row>
    <row r="397" spans="1:1" x14ac:dyDescent="0.2">
      <c r="A397" s="30" t="s">
        <v>3434</v>
      </c>
    </row>
    <row r="398" spans="1:1" x14ac:dyDescent="0.2">
      <c r="A398" s="30" t="s">
        <v>3435</v>
      </c>
    </row>
    <row r="399" spans="1:1" x14ac:dyDescent="0.2">
      <c r="A399" s="30" t="s">
        <v>3436</v>
      </c>
    </row>
    <row r="400" spans="1:1" x14ac:dyDescent="0.2">
      <c r="A400" s="30" t="s">
        <v>3437</v>
      </c>
    </row>
    <row r="401" spans="1:1" x14ac:dyDescent="0.2">
      <c r="A401" s="30" t="s">
        <v>3438</v>
      </c>
    </row>
    <row r="402" spans="1:1" x14ac:dyDescent="0.2">
      <c r="A402" s="30" t="s">
        <v>3439</v>
      </c>
    </row>
    <row r="403" spans="1:1" x14ac:dyDescent="0.2">
      <c r="A403" s="30" t="s">
        <v>3440</v>
      </c>
    </row>
    <row r="404" spans="1:1" x14ac:dyDescent="0.2">
      <c r="A404" s="30" t="s">
        <v>3441</v>
      </c>
    </row>
    <row r="405" spans="1:1" x14ac:dyDescent="0.2">
      <c r="A405" s="30" t="s">
        <v>3442</v>
      </c>
    </row>
    <row r="406" spans="1:1" x14ac:dyDescent="0.2">
      <c r="A406" s="30" t="s">
        <v>3443</v>
      </c>
    </row>
    <row r="407" spans="1:1" x14ac:dyDescent="0.2">
      <c r="A407" s="30" t="s">
        <v>3444</v>
      </c>
    </row>
    <row r="408" spans="1:1" x14ac:dyDescent="0.2">
      <c r="A408" s="30" t="s">
        <v>1912</v>
      </c>
    </row>
    <row r="409" spans="1:1" x14ac:dyDescent="0.2">
      <c r="A409" s="30" t="s">
        <v>1913</v>
      </c>
    </row>
    <row r="410" spans="1:1" x14ac:dyDescent="0.2">
      <c r="A410" s="30" t="s">
        <v>2251</v>
      </c>
    </row>
    <row r="411" spans="1:1" x14ac:dyDescent="0.2">
      <c r="A411" s="30" t="s">
        <v>2252</v>
      </c>
    </row>
    <row r="412" spans="1:1" x14ac:dyDescent="0.2">
      <c r="A412" s="30" t="s">
        <v>2253</v>
      </c>
    </row>
    <row r="413" spans="1:1" x14ac:dyDescent="0.2">
      <c r="A413" s="30" t="s">
        <v>2254</v>
      </c>
    </row>
    <row r="414" spans="1:1" x14ac:dyDescent="0.2">
      <c r="A414" s="30" t="s">
        <v>2255</v>
      </c>
    </row>
    <row r="415" spans="1:1" x14ac:dyDescent="0.2">
      <c r="A415" s="30" t="s">
        <v>2256</v>
      </c>
    </row>
    <row r="416" spans="1:1" x14ac:dyDescent="0.2">
      <c r="A416" s="30" t="s">
        <v>2257</v>
      </c>
    </row>
    <row r="417" spans="1:1" x14ac:dyDescent="0.2">
      <c r="A417" s="30" t="s">
        <v>2258</v>
      </c>
    </row>
    <row r="418" spans="1:1" x14ac:dyDescent="0.2">
      <c r="A418" s="30" t="s">
        <v>2259</v>
      </c>
    </row>
    <row r="419" spans="1:1" x14ac:dyDescent="0.2">
      <c r="A419" s="30" t="s">
        <v>2260</v>
      </c>
    </row>
    <row r="420" spans="1:1" x14ac:dyDescent="0.2">
      <c r="A420" s="30" t="s">
        <v>2261</v>
      </c>
    </row>
    <row r="421" spans="1:1" x14ac:dyDescent="0.2">
      <c r="A421" s="30" t="s">
        <v>2262</v>
      </c>
    </row>
    <row r="422" spans="1:1" x14ac:dyDescent="0.2">
      <c r="A422" s="30" t="s">
        <v>2263</v>
      </c>
    </row>
    <row r="423" spans="1:1" x14ac:dyDescent="0.2">
      <c r="A423" s="30" t="s">
        <v>2264</v>
      </c>
    </row>
    <row r="424" spans="1:1" x14ac:dyDescent="0.2">
      <c r="A424" s="30" t="s">
        <v>2265</v>
      </c>
    </row>
    <row r="425" spans="1:1" x14ac:dyDescent="0.2">
      <c r="A425" s="30" t="s">
        <v>2266</v>
      </c>
    </row>
    <row r="426" spans="1:1" x14ac:dyDescent="0.2">
      <c r="A426" s="30" t="s">
        <v>2267</v>
      </c>
    </row>
    <row r="427" spans="1:1" x14ac:dyDescent="0.2">
      <c r="A427" s="30" t="s">
        <v>2268</v>
      </c>
    </row>
    <row r="428" spans="1:1" x14ac:dyDescent="0.2">
      <c r="A428" s="30" t="s">
        <v>2269</v>
      </c>
    </row>
    <row r="429" spans="1:1" x14ac:dyDescent="0.2">
      <c r="A429" s="30" t="s">
        <v>2270</v>
      </c>
    </row>
    <row r="430" spans="1:1" x14ac:dyDescent="0.2">
      <c r="A430" s="30" t="s">
        <v>2271</v>
      </c>
    </row>
    <row r="431" spans="1:1" x14ac:dyDescent="0.2">
      <c r="A431" s="30" t="s">
        <v>2272</v>
      </c>
    </row>
    <row r="432" spans="1:1" x14ac:dyDescent="0.2">
      <c r="A432" s="30" t="s">
        <v>2273</v>
      </c>
    </row>
    <row r="433" spans="1:1" x14ac:dyDescent="0.2">
      <c r="A433" s="30" t="s">
        <v>2274</v>
      </c>
    </row>
    <row r="434" spans="1:1" x14ac:dyDescent="0.2">
      <c r="A434" s="30" t="s">
        <v>2275</v>
      </c>
    </row>
    <row r="435" spans="1:1" x14ac:dyDescent="0.2">
      <c r="A435" s="30" t="s">
        <v>2276</v>
      </c>
    </row>
    <row r="436" spans="1:1" x14ac:dyDescent="0.2">
      <c r="A436" s="30" t="s">
        <v>2277</v>
      </c>
    </row>
    <row r="437" spans="1:1" x14ac:dyDescent="0.2">
      <c r="A437" s="30" t="s">
        <v>2278</v>
      </c>
    </row>
    <row r="438" spans="1:1" x14ac:dyDescent="0.2">
      <c r="A438" s="30" t="s">
        <v>2279</v>
      </c>
    </row>
    <row r="439" spans="1:1" x14ac:dyDescent="0.2">
      <c r="A439" s="30" t="s">
        <v>2280</v>
      </c>
    </row>
    <row r="440" spans="1:1" x14ac:dyDescent="0.2">
      <c r="A440" s="30" t="s">
        <v>2281</v>
      </c>
    </row>
    <row r="441" spans="1:1" x14ac:dyDescent="0.2">
      <c r="A441" s="30" t="s">
        <v>2282</v>
      </c>
    </row>
    <row r="442" spans="1:1" x14ac:dyDescent="0.2">
      <c r="A442" s="30" t="s">
        <v>2283</v>
      </c>
    </row>
    <row r="443" spans="1:1" x14ac:dyDescent="0.2">
      <c r="A443" s="30" t="s">
        <v>2284</v>
      </c>
    </row>
    <row r="444" spans="1:1" x14ac:dyDescent="0.2">
      <c r="A444" s="30" t="s">
        <v>2285</v>
      </c>
    </row>
    <row r="445" spans="1:1" x14ac:dyDescent="0.2">
      <c r="A445" s="30" t="s">
        <v>2286</v>
      </c>
    </row>
    <row r="446" spans="1:1" x14ac:dyDescent="0.2">
      <c r="A446" s="30" t="s">
        <v>2287</v>
      </c>
    </row>
    <row r="447" spans="1:1" x14ac:dyDescent="0.2">
      <c r="A447" s="30" t="s">
        <v>2288</v>
      </c>
    </row>
    <row r="448" spans="1:1" x14ac:dyDescent="0.2">
      <c r="A448" s="30" t="s">
        <v>2289</v>
      </c>
    </row>
    <row r="449" spans="1:1" x14ac:dyDescent="0.2">
      <c r="A449" s="30" t="s">
        <v>2290</v>
      </c>
    </row>
    <row r="450" spans="1:1" x14ac:dyDescent="0.2">
      <c r="A450" s="30" t="s">
        <v>2291</v>
      </c>
    </row>
    <row r="451" spans="1:1" x14ac:dyDescent="0.2">
      <c r="A451" s="30" t="s">
        <v>2292</v>
      </c>
    </row>
    <row r="452" spans="1:1" x14ac:dyDescent="0.2">
      <c r="A452" s="30" t="s">
        <v>2293</v>
      </c>
    </row>
    <row r="453" spans="1:1" x14ac:dyDescent="0.2">
      <c r="A453" s="30" t="s">
        <v>2294</v>
      </c>
    </row>
    <row r="454" spans="1:1" x14ac:dyDescent="0.2">
      <c r="A454" s="30" t="s">
        <v>2295</v>
      </c>
    </row>
    <row r="455" spans="1:1" x14ac:dyDescent="0.2">
      <c r="A455" s="30" t="s">
        <v>2296</v>
      </c>
    </row>
    <row r="456" spans="1:1" x14ac:dyDescent="0.2">
      <c r="A456" s="30" t="s">
        <v>2297</v>
      </c>
    </row>
    <row r="457" spans="1:1" x14ac:dyDescent="0.2">
      <c r="A457" s="30" t="s">
        <v>2298</v>
      </c>
    </row>
    <row r="458" spans="1:1" x14ac:dyDescent="0.2">
      <c r="A458" s="30" t="s">
        <v>2299</v>
      </c>
    </row>
    <row r="459" spans="1:1" x14ac:dyDescent="0.2">
      <c r="A459" s="30" t="s">
        <v>2300</v>
      </c>
    </row>
    <row r="460" spans="1:1" x14ac:dyDescent="0.2">
      <c r="A460" s="30" t="s">
        <v>2301</v>
      </c>
    </row>
    <row r="461" spans="1:1" x14ac:dyDescent="0.2">
      <c r="A461" s="30" t="s">
        <v>2302</v>
      </c>
    </row>
    <row r="462" spans="1:1" x14ac:dyDescent="0.2">
      <c r="A462" s="30" t="s">
        <v>2303</v>
      </c>
    </row>
    <row r="463" spans="1:1" x14ac:dyDescent="0.2">
      <c r="A463" s="30" t="s">
        <v>2304</v>
      </c>
    </row>
    <row r="464" spans="1:1" x14ac:dyDescent="0.2">
      <c r="A464" s="30" t="s">
        <v>2305</v>
      </c>
    </row>
    <row r="465" spans="1:1" x14ac:dyDescent="0.2">
      <c r="A465" s="30" t="s">
        <v>2306</v>
      </c>
    </row>
    <row r="466" spans="1:1" x14ac:dyDescent="0.2">
      <c r="A466" s="30" t="s">
        <v>2307</v>
      </c>
    </row>
    <row r="467" spans="1:1" x14ac:dyDescent="0.2">
      <c r="A467" s="30" t="s">
        <v>2308</v>
      </c>
    </row>
    <row r="468" spans="1:1" x14ac:dyDescent="0.2">
      <c r="A468" s="30" t="s">
        <v>2309</v>
      </c>
    </row>
    <row r="469" spans="1:1" x14ac:dyDescent="0.2">
      <c r="A469" s="30" t="s">
        <v>2310</v>
      </c>
    </row>
    <row r="470" spans="1:1" x14ac:dyDescent="0.2">
      <c r="A470" s="30" t="s">
        <v>2311</v>
      </c>
    </row>
    <row r="471" spans="1:1" x14ac:dyDescent="0.2">
      <c r="A471" s="30" t="s">
        <v>2312</v>
      </c>
    </row>
    <row r="472" spans="1:1" x14ac:dyDescent="0.2">
      <c r="A472" s="30" t="s">
        <v>2313</v>
      </c>
    </row>
    <row r="473" spans="1:1" x14ac:dyDescent="0.2">
      <c r="A473" s="30" t="s">
        <v>2314</v>
      </c>
    </row>
    <row r="474" spans="1:1" x14ac:dyDescent="0.2">
      <c r="A474" s="30" t="s">
        <v>2315</v>
      </c>
    </row>
    <row r="475" spans="1:1" x14ac:dyDescent="0.2">
      <c r="A475" s="30" t="s">
        <v>2316</v>
      </c>
    </row>
    <row r="476" spans="1:1" x14ac:dyDescent="0.2">
      <c r="A476" s="30" t="s">
        <v>2317</v>
      </c>
    </row>
    <row r="477" spans="1:1" x14ac:dyDescent="0.2">
      <c r="A477" s="30" t="s">
        <v>2318</v>
      </c>
    </row>
    <row r="478" spans="1:1" x14ac:dyDescent="0.2">
      <c r="A478" s="30" t="s">
        <v>2319</v>
      </c>
    </row>
    <row r="479" spans="1:1" x14ac:dyDescent="0.2">
      <c r="A479" s="30" t="s">
        <v>2320</v>
      </c>
    </row>
    <row r="480" spans="1:1" x14ac:dyDescent="0.2">
      <c r="A480" s="30" t="s">
        <v>2321</v>
      </c>
    </row>
    <row r="481" spans="1:1" x14ac:dyDescent="0.2">
      <c r="A481" s="30" t="s">
        <v>2322</v>
      </c>
    </row>
    <row r="482" spans="1:1" x14ac:dyDescent="0.2">
      <c r="A482" s="30" t="s">
        <v>2323</v>
      </c>
    </row>
    <row r="483" spans="1:1" x14ac:dyDescent="0.2">
      <c r="A483" s="30" t="s">
        <v>2324</v>
      </c>
    </row>
    <row r="484" spans="1:1" x14ac:dyDescent="0.2">
      <c r="A484" s="30" t="s">
        <v>2325</v>
      </c>
    </row>
    <row r="485" spans="1:1" x14ac:dyDescent="0.2">
      <c r="A485" s="30" t="s">
        <v>2326</v>
      </c>
    </row>
    <row r="486" spans="1:1" x14ac:dyDescent="0.2">
      <c r="A486" s="30" t="s">
        <v>2327</v>
      </c>
    </row>
    <row r="487" spans="1:1" x14ac:dyDescent="0.2">
      <c r="A487" s="30" t="s">
        <v>2328</v>
      </c>
    </row>
    <row r="488" spans="1:1" x14ac:dyDescent="0.2">
      <c r="A488" s="30" t="s">
        <v>2329</v>
      </c>
    </row>
    <row r="489" spans="1:1" x14ac:dyDescent="0.2">
      <c r="A489" s="30" t="s">
        <v>2330</v>
      </c>
    </row>
    <row r="490" spans="1:1" x14ac:dyDescent="0.2">
      <c r="A490" s="30" t="s">
        <v>2331</v>
      </c>
    </row>
    <row r="491" spans="1:1" x14ac:dyDescent="0.2">
      <c r="A491" s="30" t="s">
        <v>2332</v>
      </c>
    </row>
    <row r="492" spans="1:1" x14ac:dyDescent="0.2">
      <c r="A492" s="30" t="s">
        <v>2333</v>
      </c>
    </row>
    <row r="493" spans="1:1" x14ac:dyDescent="0.2">
      <c r="A493" s="30" t="s">
        <v>2334</v>
      </c>
    </row>
    <row r="494" spans="1:1" x14ac:dyDescent="0.2">
      <c r="A494" s="30" t="s">
        <v>2335</v>
      </c>
    </row>
    <row r="495" spans="1:1" x14ac:dyDescent="0.2">
      <c r="A495" s="30" t="s">
        <v>2336</v>
      </c>
    </row>
    <row r="496" spans="1:1" x14ac:dyDescent="0.2">
      <c r="A496" s="30" t="s">
        <v>2337</v>
      </c>
    </row>
    <row r="497" spans="1:1" x14ac:dyDescent="0.2">
      <c r="A497" s="30" t="s">
        <v>2338</v>
      </c>
    </row>
    <row r="498" spans="1:1" x14ac:dyDescent="0.2">
      <c r="A498" s="30" t="s">
        <v>2339</v>
      </c>
    </row>
    <row r="499" spans="1:1" x14ac:dyDescent="0.2">
      <c r="A499" s="30" t="s">
        <v>2340</v>
      </c>
    </row>
    <row r="500" spans="1:1" x14ac:dyDescent="0.2">
      <c r="A500" s="30" t="s">
        <v>2341</v>
      </c>
    </row>
    <row r="501" spans="1:1" x14ac:dyDescent="0.2">
      <c r="A501" s="30" t="s">
        <v>2342</v>
      </c>
    </row>
    <row r="502" spans="1:1" x14ac:dyDescent="0.2">
      <c r="A502" s="30" t="s">
        <v>2343</v>
      </c>
    </row>
    <row r="503" spans="1:1" x14ac:dyDescent="0.2">
      <c r="A503" s="30" t="s">
        <v>2344</v>
      </c>
    </row>
    <row r="504" spans="1:1" x14ac:dyDescent="0.2">
      <c r="A504" s="30" t="s">
        <v>2345</v>
      </c>
    </row>
    <row r="505" spans="1:1" x14ac:dyDescent="0.2">
      <c r="A505" s="30" t="s">
        <v>2346</v>
      </c>
    </row>
    <row r="506" spans="1:1" x14ac:dyDescent="0.2">
      <c r="A506" s="30" t="s">
        <v>2347</v>
      </c>
    </row>
    <row r="507" spans="1:1" x14ac:dyDescent="0.2">
      <c r="A507" s="30" t="s">
        <v>2348</v>
      </c>
    </row>
    <row r="508" spans="1:1" x14ac:dyDescent="0.2">
      <c r="A508" s="30" t="s">
        <v>2349</v>
      </c>
    </row>
    <row r="509" spans="1:1" x14ac:dyDescent="0.2">
      <c r="A509" s="30" t="s">
        <v>2350</v>
      </c>
    </row>
    <row r="510" spans="1:1" x14ac:dyDescent="0.2">
      <c r="A510" s="30" t="s">
        <v>2351</v>
      </c>
    </row>
    <row r="511" spans="1:1" x14ac:dyDescent="0.2">
      <c r="A511" s="30" t="s">
        <v>2352</v>
      </c>
    </row>
    <row r="512" spans="1:1" x14ac:dyDescent="0.2">
      <c r="A512" s="30" t="s">
        <v>2353</v>
      </c>
    </row>
    <row r="513" spans="1:1" x14ac:dyDescent="0.2">
      <c r="A513" s="30" t="s">
        <v>2354</v>
      </c>
    </row>
    <row r="514" spans="1:1" x14ac:dyDescent="0.2">
      <c r="A514" s="30" t="s">
        <v>2355</v>
      </c>
    </row>
    <row r="515" spans="1:1" x14ac:dyDescent="0.2">
      <c r="A515" s="30" t="s">
        <v>2356</v>
      </c>
    </row>
    <row r="516" spans="1:1" x14ac:dyDescent="0.2">
      <c r="A516" s="30" t="s">
        <v>2357</v>
      </c>
    </row>
    <row r="517" spans="1:1" x14ac:dyDescent="0.2">
      <c r="A517" s="30" t="s">
        <v>2358</v>
      </c>
    </row>
    <row r="518" spans="1:1" x14ac:dyDescent="0.2">
      <c r="A518" s="30" t="s">
        <v>2359</v>
      </c>
    </row>
    <row r="519" spans="1:1" x14ac:dyDescent="0.2">
      <c r="A519" s="30" t="s">
        <v>2360</v>
      </c>
    </row>
    <row r="520" spans="1:1" x14ac:dyDescent="0.2">
      <c r="A520" s="30" t="s">
        <v>2361</v>
      </c>
    </row>
    <row r="521" spans="1:1" x14ac:dyDescent="0.2">
      <c r="A521" s="30" t="s">
        <v>2362</v>
      </c>
    </row>
    <row r="522" spans="1:1" x14ac:dyDescent="0.2">
      <c r="A522" s="30" t="s">
        <v>2363</v>
      </c>
    </row>
    <row r="523" spans="1:1" x14ac:dyDescent="0.2">
      <c r="A523" s="30" t="s">
        <v>2364</v>
      </c>
    </row>
    <row r="524" spans="1:1" x14ac:dyDescent="0.2">
      <c r="A524" s="30" t="s">
        <v>2365</v>
      </c>
    </row>
    <row r="525" spans="1:1" x14ac:dyDescent="0.2">
      <c r="A525" s="30" t="s">
        <v>2366</v>
      </c>
    </row>
    <row r="526" spans="1:1" x14ac:dyDescent="0.2">
      <c r="A526" s="30" t="s">
        <v>2367</v>
      </c>
    </row>
    <row r="527" spans="1:1" x14ac:dyDescent="0.2">
      <c r="A527" s="30" t="s">
        <v>2368</v>
      </c>
    </row>
    <row r="528" spans="1:1" x14ac:dyDescent="0.2">
      <c r="A528" s="30" t="s">
        <v>2369</v>
      </c>
    </row>
    <row r="529" spans="1:1" x14ac:dyDescent="0.2">
      <c r="A529" s="30" t="s">
        <v>2370</v>
      </c>
    </row>
    <row r="530" spans="1:1" x14ac:dyDescent="0.2">
      <c r="A530" s="30" t="s">
        <v>2371</v>
      </c>
    </row>
    <row r="531" spans="1:1" x14ac:dyDescent="0.2">
      <c r="A531" s="30" t="s">
        <v>2372</v>
      </c>
    </row>
    <row r="532" spans="1:1" x14ac:dyDescent="0.2">
      <c r="A532" s="30" t="s">
        <v>2373</v>
      </c>
    </row>
    <row r="533" spans="1:1" x14ac:dyDescent="0.2">
      <c r="A533" s="30" t="s">
        <v>2374</v>
      </c>
    </row>
    <row r="534" spans="1:1" x14ac:dyDescent="0.2">
      <c r="A534" s="30" t="s">
        <v>2375</v>
      </c>
    </row>
    <row r="535" spans="1:1" x14ac:dyDescent="0.2">
      <c r="A535" s="30" t="s">
        <v>2376</v>
      </c>
    </row>
    <row r="536" spans="1:1" x14ac:dyDescent="0.2">
      <c r="A536" s="30" t="s">
        <v>2377</v>
      </c>
    </row>
    <row r="537" spans="1:1" x14ac:dyDescent="0.2">
      <c r="A537" s="30" t="s">
        <v>2378</v>
      </c>
    </row>
    <row r="538" spans="1:1" x14ac:dyDescent="0.2">
      <c r="A538" s="30" t="s">
        <v>2379</v>
      </c>
    </row>
    <row r="539" spans="1:1" x14ac:dyDescent="0.2">
      <c r="A539" s="30" t="s">
        <v>2380</v>
      </c>
    </row>
    <row r="540" spans="1:1" x14ac:dyDescent="0.2">
      <c r="A540" s="30" t="s">
        <v>2381</v>
      </c>
    </row>
    <row r="541" spans="1:1" x14ac:dyDescent="0.2">
      <c r="A541" s="30" t="s">
        <v>2382</v>
      </c>
    </row>
    <row r="542" spans="1:1" x14ac:dyDescent="0.2">
      <c r="A542" s="30" t="s">
        <v>2383</v>
      </c>
    </row>
    <row r="543" spans="1:1" x14ac:dyDescent="0.2">
      <c r="A543" s="30" t="s">
        <v>2384</v>
      </c>
    </row>
    <row r="544" spans="1:1" x14ac:dyDescent="0.2">
      <c r="A544" s="30" t="s">
        <v>2385</v>
      </c>
    </row>
    <row r="545" spans="1:1" x14ac:dyDescent="0.2">
      <c r="A545" s="30" t="s">
        <v>2386</v>
      </c>
    </row>
    <row r="546" spans="1:1" x14ac:dyDescent="0.2">
      <c r="A546" s="30" t="s">
        <v>2387</v>
      </c>
    </row>
    <row r="547" spans="1:1" x14ac:dyDescent="0.2">
      <c r="A547" s="30" t="s">
        <v>2388</v>
      </c>
    </row>
    <row r="548" spans="1:1" x14ac:dyDescent="0.2">
      <c r="A548" s="30" t="s">
        <v>2389</v>
      </c>
    </row>
    <row r="549" spans="1:1" x14ac:dyDescent="0.2">
      <c r="A549" s="30" t="s">
        <v>2390</v>
      </c>
    </row>
    <row r="550" spans="1:1" x14ac:dyDescent="0.2">
      <c r="A550" s="30" t="s">
        <v>2391</v>
      </c>
    </row>
    <row r="551" spans="1:1" x14ac:dyDescent="0.2">
      <c r="A551" s="30" t="s">
        <v>2392</v>
      </c>
    </row>
    <row r="552" spans="1:1" x14ac:dyDescent="0.2">
      <c r="A552" s="30" t="s">
        <v>2393</v>
      </c>
    </row>
    <row r="553" spans="1:1" x14ac:dyDescent="0.2">
      <c r="A553" s="30" t="s">
        <v>2394</v>
      </c>
    </row>
    <row r="554" spans="1:1" x14ac:dyDescent="0.2">
      <c r="A554" s="30" t="s">
        <v>2395</v>
      </c>
    </row>
    <row r="555" spans="1:1" x14ac:dyDescent="0.2">
      <c r="A555" s="30" t="s">
        <v>2396</v>
      </c>
    </row>
    <row r="556" spans="1:1" x14ac:dyDescent="0.2">
      <c r="A556" s="30" t="s">
        <v>2397</v>
      </c>
    </row>
    <row r="557" spans="1:1" x14ac:dyDescent="0.2">
      <c r="A557" s="30" t="s">
        <v>2398</v>
      </c>
    </row>
    <row r="558" spans="1:1" x14ac:dyDescent="0.2">
      <c r="A558" s="30" t="s">
        <v>2399</v>
      </c>
    </row>
    <row r="559" spans="1:1" x14ac:dyDescent="0.2">
      <c r="A559" s="30" t="s">
        <v>2400</v>
      </c>
    </row>
    <row r="560" spans="1:1" x14ac:dyDescent="0.2">
      <c r="A560" s="30" t="s">
        <v>2401</v>
      </c>
    </row>
    <row r="561" spans="1:1" x14ac:dyDescent="0.2">
      <c r="A561" s="30" t="s">
        <v>2402</v>
      </c>
    </row>
    <row r="562" spans="1:1" x14ac:dyDescent="0.2">
      <c r="A562" s="30" t="s">
        <v>2403</v>
      </c>
    </row>
    <row r="563" spans="1:1" x14ac:dyDescent="0.2">
      <c r="A563" s="30" t="s">
        <v>2404</v>
      </c>
    </row>
    <row r="564" spans="1:1" x14ac:dyDescent="0.2">
      <c r="A564" s="30" t="s">
        <v>2405</v>
      </c>
    </row>
    <row r="565" spans="1:1" x14ac:dyDescent="0.2">
      <c r="A565" s="30" t="s">
        <v>2406</v>
      </c>
    </row>
    <row r="566" spans="1:1" x14ac:dyDescent="0.2">
      <c r="A566" s="30" t="s">
        <v>2407</v>
      </c>
    </row>
    <row r="567" spans="1:1" x14ac:dyDescent="0.2">
      <c r="A567" s="30" t="s">
        <v>2408</v>
      </c>
    </row>
    <row r="568" spans="1:1" x14ac:dyDescent="0.2">
      <c r="A568" s="30" t="s">
        <v>2409</v>
      </c>
    </row>
    <row r="569" spans="1:1" x14ac:dyDescent="0.2">
      <c r="A569" s="30" t="s">
        <v>2410</v>
      </c>
    </row>
    <row r="570" spans="1:1" x14ac:dyDescent="0.2">
      <c r="A570" s="30" t="s">
        <v>2411</v>
      </c>
    </row>
    <row r="571" spans="1:1" x14ac:dyDescent="0.2">
      <c r="A571" s="30" t="s">
        <v>2412</v>
      </c>
    </row>
    <row r="572" spans="1:1" x14ac:dyDescent="0.2">
      <c r="A572" s="30" t="s">
        <v>2413</v>
      </c>
    </row>
    <row r="573" spans="1:1" x14ac:dyDescent="0.2">
      <c r="A573" s="30" t="s">
        <v>2414</v>
      </c>
    </row>
    <row r="574" spans="1:1" x14ac:dyDescent="0.2">
      <c r="A574" s="30" t="s">
        <v>2415</v>
      </c>
    </row>
    <row r="575" spans="1:1" x14ac:dyDescent="0.2">
      <c r="A575" s="30" t="s">
        <v>2416</v>
      </c>
    </row>
    <row r="576" spans="1:1" x14ac:dyDescent="0.2">
      <c r="A576" s="30" t="s">
        <v>2417</v>
      </c>
    </row>
    <row r="577" spans="1:1" x14ac:dyDescent="0.2">
      <c r="A577" s="30" t="s">
        <v>2418</v>
      </c>
    </row>
    <row r="578" spans="1:1" x14ac:dyDescent="0.2">
      <c r="A578" s="30" t="s">
        <v>2419</v>
      </c>
    </row>
    <row r="579" spans="1:1" x14ac:dyDescent="0.2">
      <c r="A579" s="30" t="s">
        <v>2420</v>
      </c>
    </row>
    <row r="580" spans="1:1" x14ac:dyDescent="0.2">
      <c r="A580" s="30" t="s">
        <v>2421</v>
      </c>
    </row>
    <row r="581" spans="1:1" x14ac:dyDescent="0.2">
      <c r="A581" s="30" t="s">
        <v>2422</v>
      </c>
    </row>
    <row r="582" spans="1:1" x14ac:dyDescent="0.2">
      <c r="A582" s="30" t="s">
        <v>2423</v>
      </c>
    </row>
    <row r="583" spans="1:1" x14ac:dyDescent="0.2">
      <c r="A583" s="30" t="s">
        <v>2424</v>
      </c>
    </row>
    <row r="584" spans="1:1" x14ac:dyDescent="0.2">
      <c r="A584" s="30" t="s">
        <v>2425</v>
      </c>
    </row>
    <row r="585" spans="1:1" x14ac:dyDescent="0.2">
      <c r="A585" s="30" t="s">
        <v>2426</v>
      </c>
    </row>
    <row r="586" spans="1:1" x14ac:dyDescent="0.2">
      <c r="A586" s="30" t="s">
        <v>2427</v>
      </c>
    </row>
    <row r="587" spans="1:1" x14ac:dyDescent="0.2">
      <c r="A587" s="30" t="s">
        <v>2428</v>
      </c>
    </row>
    <row r="588" spans="1:1" x14ac:dyDescent="0.2">
      <c r="A588" s="30" t="s">
        <v>2429</v>
      </c>
    </row>
    <row r="589" spans="1:1" x14ac:dyDescent="0.2">
      <c r="A589" s="30" t="s">
        <v>2430</v>
      </c>
    </row>
    <row r="590" spans="1:1" x14ac:dyDescent="0.2">
      <c r="A590" s="30" t="s">
        <v>2431</v>
      </c>
    </row>
    <row r="591" spans="1:1" x14ac:dyDescent="0.2">
      <c r="A591" s="30" t="s">
        <v>2432</v>
      </c>
    </row>
    <row r="592" spans="1:1" x14ac:dyDescent="0.2">
      <c r="A592" s="30" t="s">
        <v>2433</v>
      </c>
    </row>
    <row r="593" spans="1:1" x14ac:dyDescent="0.2">
      <c r="A593" s="30" t="s">
        <v>2434</v>
      </c>
    </row>
    <row r="594" spans="1:1" x14ac:dyDescent="0.2">
      <c r="A594" s="30" t="s">
        <v>2435</v>
      </c>
    </row>
    <row r="595" spans="1:1" x14ac:dyDescent="0.2">
      <c r="A595" s="30" t="s">
        <v>2436</v>
      </c>
    </row>
    <row r="596" spans="1:1" x14ac:dyDescent="0.2">
      <c r="A596" s="30" t="s">
        <v>2437</v>
      </c>
    </row>
    <row r="597" spans="1:1" x14ac:dyDescent="0.2">
      <c r="A597" s="30" t="s">
        <v>2438</v>
      </c>
    </row>
    <row r="598" spans="1:1" x14ac:dyDescent="0.2">
      <c r="A598" s="30" t="s">
        <v>2439</v>
      </c>
    </row>
    <row r="599" spans="1:1" x14ac:dyDescent="0.2">
      <c r="A599" s="30" t="s">
        <v>2440</v>
      </c>
    </row>
    <row r="600" spans="1:1" x14ac:dyDescent="0.2">
      <c r="A600" s="30" t="s">
        <v>2441</v>
      </c>
    </row>
    <row r="601" spans="1:1" x14ac:dyDescent="0.2">
      <c r="A601" s="30" t="s">
        <v>2442</v>
      </c>
    </row>
    <row r="602" spans="1:1" x14ac:dyDescent="0.2">
      <c r="A602" s="30" t="s">
        <v>2443</v>
      </c>
    </row>
    <row r="603" spans="1:1" x14ac:dyDescent="0.2">
      <c r="A603" s="30" t="s">
        <v>2444</v>
      </c>
    </row>
    <row r="604" spans="1:1" x14ac:dyDescent="0.2">
      <c r="A604" s="30" t="s">
        <v>2445</v>
      </c>
    </row>
    <row r="605" spans="1:1" x14ac:dyDescent="0.2">
      <c r="A605" s="30" t="s">
        <v>2446</v>
      </c>
    </row>
    <row r="606" spans="1:1" x14ac:dyDescent="0.2">
      <c r="A606" s="30" t="s">
        <v>2447</v>
      </c>
    </row>
    <row r="607" spans="1:1" x14ac:dyDescent="0.2">
      <c r="A607" s="30" t="s">
        <v>2448</v>
      </c>
    </row>
    <row r="608" spans="1:1" x14ac:dyDescent="0.2">
      <c r="A608" s="30" t="s">
        <v>2449</v>
      </c>
    </row>
    <row r="609" spans="1:1" x14ac:dyDescent="0.2">
      <c r="A609" s="30" t="s">
        <v>2450</v>
      </c>
    </row>
    <row r="610" spans="1:1" x14ac:dyDescent="0.2">
      <c r="A610" s="30" t="s">
        <v>2451</v>
      </c>
    </row>
    <row r="611" spans="1:1" x14ac:dyDescent="0.2">
      <c r="A611" s="30" t="s">
        <v>2452</v>
      </c>
    </row>
    <row r="612" spans="1:1" x14ac:dyDescent="0.2">
      <c r="A612" s="30" t="s">
        <v>2453</v>
      </c>
    </row>
    <row r="613" spans="1:1" x14ac:dyDescent="0.2">
      <c r="A613" s="30" t="s">
        <v>2454</v>
      </c>
    </row>
    <row r="614" spans="1:1" x14ac:dyDescent="0.2">
      <c r="A614" s="30" t="s">
        <v>2455</v>
      </c>
    </row>
    <row r="615" spans="1:1" x14ac:dyDescent="0.2">
      <c r="A615" s="30" t="s">
        <v>2456</v>
      </c>
    </row>
    <row r="616" spans="1:1" x14ac:dyDescent="0.2">
      <c r="A616" s="30" t="s">
        <v>2457</v>
      </c>
    </row>
    <row r="617" spans="1:1" x14ac:dyDescent="0.2">
      <c r="A617" s="30" t="s">
        <v>2458</v>
      </c>
    </row>
    <row r="618" spans="1:1" x14ac:dyDescent="0.2">
      <c r="A618" s="30" t="s">
        <v>2459</v>
      </c>
    </row>
    <row r="619" spans="1:1" x14ac:dyDescent="0.2">
      <c r="A619" s="30" t="s">
        <v>2460</v>
      </c>
    </row>
    <row r="620" spans="1:1" x14ac:dyDescent="0.2">
      <c r="A620" s="30" t="s">
        <v>2461</v>
      </c>
    </row>
    <row r="621" spans="1:1" x14ac:dyDescent="0.2">
      <c r="A621" s="30" t="s">
        <v>2462</v>
      </c>
    </row>
    <row r="622" spans="1:1" x14ac:dyDescent="0.2">
      <c r="A622" s="30" t="s">
        <v>2463</v>
      </c>
    </row>
    <row r="623" spans="1:1" x14ac:dyDescent="0.2">
      <c r="A623" s="30" t="s">
        <v>2464</v>
      </c>
    </row>
    <row r="624" spans="1:1" x14ac:dyDescent="0.2">
      <c r="A624" s="30" t="s">
        <v>2465</v>
      </c>
    </row>
    <row r="625" spans="1:1" x14ac:dyDescent="0.2">
      <c r="A625" s="30" t="s">
        <v>2466</v>
      </c>
    </row>
    <row r="626" spans="1:1" x14ac:dyDescent="0.2">
      <c r="A626" s="30" t="s">
        <v>2467</v>
      </c>
    </row>
    <row r="627" spans="1:1" x14ac:dyDescent="0.2">
      <c r="A627" s="30" t="s">
        <v>2468</v>
      </c>
    </row>
    <row r="628" spans="1:1" x14ac:dyDescent="0.2">
      <c r="A628" s="30" t="s">
        <v>2469</v>
      </c>
    </row>
    <row r="629" spans="1:1" x14ac:dyDescent="0.2">
      <c r="A629" s="30" t="s">
        <v>2470</v>
      </c>
    </row>
    <row r="630" spans="1:1" x14ac:dyDescent="0.2">
      <c r="A630" s="30" t="s">
        <v>2471</v>
      </c>
    </row>
    <row r="631" spans="1:1" x14ac:dyDescent="0.2">
      <c r="A631" s="30" t="s">
        <v>2472</v>
      </c>
    </row>
    <row r="632" spans="1:1" x14ac:dyDescent="0.2">
      <c r="A632" s="30" t="s">
        <v>2473</v>
      </c>
    </row>
    <row r="633" spans="1:1" x14ac:dyDescent="0.2">
      <c r="A633" s="30" t="s">
        <v>2474</v>
      </c>
    </row>
    <row r="634" spans="1:1" x14ac:dyDescent="0.2">
      <c r="A634" s="30" t="s">
        <v>2475</v>
      </c>
    </row>
    <row r="635" spans="1:1" x14ac:dyDescent="0.2">
      <c r="A635" s="30" t="s">
        <v>2476</v>
      </c>
    </row>
    <row r="636" spans="1:1" x14ac:dyDescent="0.2">
      <c r="A636" s="30" t="s">
        <v>2477</v>
      </c>
    </row>
    <row r="637" spans="1:1" x14ac:dyDescent="0.2">
      <c r="A637" s="30" t="s">
        <v>2478</v>
      </c>
    </row>
    <row r="638" spans="1:1" x14ac:dyDescent="0.2">
      <c r="A638" s="30" t="s">
        <v>2479</v>
      </c>
    </row>
    <row r="639" spans="1:1" x14ac:dyDescent="0.2">
      <c r="A639" s="30" t="s">
        <v>2480</v>
      </c>
    </row>
    <row r="640" spans="1:1" x14ac:dyDescent="0.2">
      <c r="A640" s="30" t="s">
        <v>2481</v>
      </c>
    </row>
    <row r="641" spans="1:1" x14ac:dyDescent="0.2">
      <c r="A641" s="30" t="s">
        <v>2482</v>
      </c>
    </row>
    <row r="642" spans="1:1" x14ac:dyDescent="0.2">
      <c r="A642" s="30" t="s">
        <v>2483</v>
      </c>
    </row>
    <row r="643" spans="1:1" x14ac:dyDescent="0.2">
      <c r="A643" s="30" t="s">
        <v>2484</v>
      </c>
    </row>
    <row r="644" spans="1:1" x14ac:dyDescent="0.2">
      <c r="A644" s="30" t="s">
        <v>2485</v>
      </c>
    </row>
    <row r="645" spans="1:1" x14ac:dyDescent="0.2">
      <c r="A645" s="30" t="s">
        <v>2486</v>
      </c>
    </row>
    <row r="646" spans="1:1" x14ac:dyDescent="0.2">
      <c r="A646" s="30" t="s">
        <v>2487</v>
      </c>
    </row>
    <row r="647" spans="1:1" x14ac:dyDescent="0.2">
      <c r="A647" s="30" t="s">
        <v>2488</v>
      </c>
    </row>
    <row r="648" spans="1:1" x14ac:dyDescent="0.2">
      <c r="A648" s="30" t="s">
        <v>2489</v>
      </c>
    </row>
    <row r="649" spans="1:1" x14ac:dyDescent="0.2">
      <c r="A649" s="30" t="s">
        <v>2490</v>
      </c>
    </row>
    <row r="650" spans="1:1" x14ac:dyDescent="0.2">
      <c r="A650" s="30" t="s">
        <v>2491</v>
      </c>
    </row>
    <row r="651" spans="1:1" x14ac:dyDescent="0.2">
      <c r="A651" s="30" t="s">
        <v>2492</v>
      </c>
    </row>
    <row r="652" spans="1:1" x14ac:dyDescent="0.2">
      <c r="A652" s="30" t="s">
        <v>2493</v>
      </c>
    </row>
    <row r="653" spans="1:1" x14ac:dyDescent="0.2">
      <c r="A653" s="30" t="s">
        <v>2494</v>
      </c>
    </row>
    <row r="654" spans="1:1" x14ac:dyDescent="0.2">
      <c r="A654" s="30" t="s">
        <v>2495</v>
      </c>
    </row>
    <row r="655" spans="1:1" x14ac:dyDescent="0.2">
      <c r="A655" s="30" t="s">
        <v>2496</v>
      </c>
    </row>
    <row r="656" spans="1:1" x14ac:dyDescent="0.2">
      <c r="A656" s="30" t="s">
        <v>2497</v>
      </c>
    </row>
    <row r="657" spans="1:1" x14ac:dyDescent="0.2">
      <c r="A657" s="30" t="s">
        <v>2498</v>
      </c>
    </row>
    <row r="658" spans="1:1" x14ac:dyDescent="0.2">
      <c r="A658" s="30" t="s">
        <v>2499</v>
      </c>
    </row>
    <row r="659" spans="1:1" x14ac:dyDescent="0.2">
      <c r="A659" s="30" t="s">
        <v>2500</v>
      </c>
    </row>
    <row r="660" spans="1:1" x14ac:dyDescent="0.2">
      <c r="A660" s="30" t="s">
        <v>2501</v>
      </c>
    </row>
    <row r="661" spans="1:1" x14ac:dyDescent="0.2">
      <c r="A661" s="30" t="s">
        <v>2502</v>
      </c>
    </row>
    <row r="662" spans="1:1" x14ac:dyDescent="0.2">
      <c r="A662" s="30" t="s">
        <v>2503</v>
      </c>
    </row>
    <row r="663" spans="1:1" x14ac:dyDescent="0.2">
      <c r="A663" s="30" t="s">
        <v>2504</v>
      </c>
    </row>
    <row r="664" spans="1:1" x14ac:dyDescent="0.2">
      <c r="A664" s="30" t="s">
        <v>2505</v>
      </c>
    </row>
    <row r="665" spans="1:1" x14ac:dyDescent="0.2">
      <c r="A665" s="30" t="s">
        <v>2506</v>
      </c>
    </row>
    <row r="666" spans="1:1" x14ac:dyDescent="0.2">
      <c r="A666" s="30" t="s">
        <v>2507</v>
      </c>
    </row>
    <row r="667" spans="1:1" x14ac:dyDescent="0.2">
      <c r="A667" s="30" t="s">
        <v>2508</v>
      </c>
    </row>
    <row r="668" spans="1:1" x14ac:dyDescent="0.2">
      <c r="A668" s="30" t="s">
        <v>2509</v>
      </c>
    </row>
    <row r="669" spans="1:1" x14ac:dyDescent="0.2">
      <c r="A669" s="30" t="s">
        <v>2510</v>
      </c>
    </row>
    <row r="670" spans="1:1" x14ac:dyDescent="0.2">
      <c r="A670" s="30" t="s">
        <v>2511</v>
      </c>
    </row>
    <row r="671" spans="1:1" x14ac:dyDescent="0.2">
      <c r="A671" s="30" t="s">
        <v>2512</v>
      </c>
    </row>
    <row r="672" spans="1:1" x14ac:dyDescent="0.2">
      <c r="A672" s="30" t="s">
        <v>2513</v>
      </c>
    </row>
    <row r="673" spans="1:1" x14ac:dyDescent="0.2">
      <c r="A673" s="30" t="s">
        <v>2514</v>
      </c>
    </row>
    <row r="674" spans="1:1" x14ac:dyDescent="0.2">
      <c r="A674" s="30" t="s">
        <v>2515</v>
      </c>
    </row>
    <row r="675" spans="1:1" x14ac:dyDescent="0.2">
      <c r="A675" s="30" t="s">
        <v>2516</v>
      </c>
    </row>
    <row r="676" spans="1:1" x14ac:dyDescent="0.2">
      <c r="A676" s="30" t="s">
        <v>2517</v>
      </c>
    </row>
    <row r="677" spans="1:1" x14ac:dyDescent="0.2">
      <c r="A677" s="30" t="s">
        <v>2518</v>
      </c>
    </row>
    <row r="678" spans="1:1" x14ac:dyDescent="0.2">
      <c r="A678" s="30" t="s">
        <v>2519</v>
      </c>
    </row>
    <row r="679" spans="1:1" x14ac:dyDescent="0.2">
      <c r="A679" s="30" t="s">
        <v>2520</v>
      </c>
    </row>
    <row r="680" spans="1:1" x14ac:dyDescent="0.2">
      <c r="A680" s="30" t="s">
        <v>2521</v>
      </c>
    </row>
    <row r="681" spans="1:1" x14ac:dyDescent="0.2">
      <c r="A681" s="30" t="s">
        <v>2522</v>
      </c>
    </row>
    <row r="682" spans="1:1" x14ac:dyDescent="0.2">
      <c r="A682" s="30" t="s">
        <v>2523</v>
      </c>
    </row>
    <row r="683" spans="1:1" x14ac:dyDescent="0.2">
      <c r="A683" s="30" t="s">
        <v>2524</v>
      </c>
    </row>
    <row r="684" spans="1:1" x14ac:dyDescent="0.2">
      <c r="A684" s="30" t="s">
        <v>2525</v>
      </c>
    </row>
    <row r="685" spans="1:1" x14ac:dyDescent="0.2">
      <c r="A685" s="30" t="s">
        <v>2526</v>
      </c>
    </row>
    <row r="686" spans="1:1" x14ac:dyDescent="0.2">
      <c r="A686" s="30" t="s">
        <v>2527</v>
      </c>
    </row>
    <row r="687" spans="1:1" x14ac:dyDescent="0.2">
      <c r="A687" s="30" t="s">
        <v>2528</v>
      </c>
    </row>
    <row r="688" spans="1:1" x14ac:dyDescent="0.2">
      <c r="A688" s="30" t="s">
        <v>2529</v>
      </c>
    </row>
    <row r="689" spans="1:1" x14ac:dyDescent="0.2">
      <c r="A689" s="30" t="s">
        <v>2530</v>
      </c>
    </row>
    <row r="690" spans="1:1" x14ac:dyDescent="0.2">
      <c r="A690" s="30" t="s">
        <v>2531</v>
      </c>
    </row>
    <row r="691" spans="1:1" x14ac:dyDescent="0.2">
      <c r="A691" s="30" t="s">
        <v>2532</v>
      </c>
    </row>
    <row r="692" spans="1:1" x14ac:dyDescent="0.2">
      <c r="A692" s="30" t="s">
        <v>2533</v>
      </c>
    </row>
    <row r="693" spans="1:1" x14ac:dyDescent="0.2">
      <c r="A693" s="30" t="s">
        <v>2534</v>
      </c>
    </row>
    <row r="694" spans="1:1" x14ac:dyDescent="0.2">
      <c r="A694" s="30" t="s">
        <v>2535</v>
      </c>
    </row>
    <row r="695" spans="1:1" x14ac:dyDescent="0.2">
      <c r="A695" s="30" t="s">
        <v>2536</v>
      </c>
    </row>
    <row r="696" spans="1:1" x14ac:dyDescent="0.2">
      <c r="A696" s="30" t="s">
        <v>2537</v>
      </c>
    </row>
    <row r="697" spans="1:1" x14ac:dyDescent="0.2">
      <c r="A697" s="30" t="s">
        <v>2538</v>
      </c>
    </row>
    <row r="698" spans="1:1" x14ac:dyDescent="0.2">
      <c r="A698" s="30" t="s">
        <v>2539</v>
      </c>
    </row>
    <row r="699" spans="1:1" x14ac:dyDescent="0.2">
      <c r="A699" s="30" t="s">
        <v>2540</v>
      </c>
    </row>
    <row r="700" spans="1:1" x14ac:dyDescent="0.2">
      <c r="A700" s="30" t="s">
        <v>2541</v>
      </c>
    </row>
    <row r="701" spans="1:1" x14ac:dyDescent="0.2">
      <c r="A701" s="30" t="s">
        <v>2542</v>
      </c>
    </row>
    <row r="702" spans="1:1" x14ac:dyDescent="0.2">
      <c r="A702" s="30" t="s">
        <v>2543</v>
      </c>
    </row>
    <row r="703" spans="1:1" x14ac:dyDescent="0.2">
      <c r="A703" s="30" t="s">
        <v>2544</v>
      </c>
    </row>
    <row r="704" spans="1:1" x14ac:dyDescent="0.2">
      <c r="A704" s="30" t="s">
        <v>2545</v>
      </c>
    </row>
    <row r="705" spans="1:1" x14ac:dyDescent="0.2">
      <c r="A705" s="30" t="s">
        <v>2546</v>
      </c>
    </row>
    <row r="706" spans="1:1" x14ac:dyDescent="0.2">
      <c r="A706" s="30" t="s">
        <v>2547</v>
      </c>
    </row>
    <row r="707" spans="1:1" x14ac:dyDescent="0.2">
      <c r="A707" s="30" t="s">
        <v>2548</v>
      </c>
    </row>
    <row r="708" spans="1:1" x14ac:dyDescent="0.2">
      <c r="A708" s="30" t="s">
        <v>2549</v>
      </c>
    </row>
    <row r="709" spans="1:1" x14ac:dyDescent="0.2">
      <c r="A709" s="30" t="s">
        <v>2550</v>
      </c>
    </row>
    <row r="710" spans="1:1" x14ac:dyDescent="0.2">
      <c r="A710" s="30" t="s">
        <v>2551</v>
      </c>
    </row>
    <row r="711" spans="1:1" x14ac:dyDescent="0.2">
      <c r="A711" s="30" t="s">
        <v>2552</v>
      </c>
    </row>
    <row r="712" spans="1:1" x14ac:dyDescent="0.2">
      <c r="A712" s="30" t="s">
        <v>2553</v>
      </c>
    </row>
    <row r="713" spans="1:1" x14ac:dyDescent="0.2">
      <c r="A713" s="30" t="s">
        <v>2554</v>
      </c>
    </row>
    <row r="714" spans="1:1" x14ac:dyDescent="0.2">
      <c r="A714" s="30" t="s">
        <v>2555</v>
      </c>
    </row>
    <row r="715" spans="1:1" x14ac:dyDescent="0.2">
      <c r="A715" s="30" t="s">
        <v>2556</v>
      </c>
    </row>
    <row r="716" spans="1:1" x14ac:dyDescent="0.2">
      <c r="A716" s="30" t="s">
        <v>2557</v>
      </c>
    </row>
    <row r="717" spans="1:1" x14ac:dyDescent="0.2">
      <c r="A717" s="30" t="s">
        <v>2558</v>
      </c>
    </row>
    <row r="718" spans="1:1" x14ac:dyDescent="0.2">
      <c r="A718" s="30" t="s">
        <v>2559</v>
      </c>
    </row>
    <row r="719" spans="1:1" x14ac:dyDescent="0.2">
      <c r="A719" s="30" t="s">
        <v>2560</v>
      </c>
    </row>
    <row r="720" spans="1:1" x14ac:dyDescent="0.2">
      <c r="A720" s="30" t="s">
        <v>2561</v>
      </c>
    </row>
    <row r="721" spans="1:1" x14ac:dyDescent="0.2">
      <c r="A721" s="30" t="s">
        <v>2562</v>
      </c>
    </row>
    <row r="722" spans="1:1" x14ac:dyDescent="0.2">
      <c r="A722" s="30" t="s">
        <v>2563</v>
      </c>
    </row>
    <row r="723" spans="1:1" x14ac:dyDescent="0.2">
      <c r="A723" s="30" t="s">
        <v>2564</v>
      </c>
    </row>
    <row r="724" spans="1:1" x14ac:dyDescent="0.2">
      <c r="A724" s="30" t="s">
        <v>2565</v>
      </c>
    </row>
    <row r="725" spans="1:1" x14ac:dyDescent="0.2">
      <c r="A725" s="30" t="s">
        <v>2566</v>
      </c>
    </row>
    <row r="726" spans="1:1" x14ac:dyDescent="0.2">
      <c r="A726" s="30" t="s">
        <v>2567</v>
      </c>
    </row>
    <row r="727" spans="1:1" x14ac:dyDescent="0.2">
      <c r="A727" s="30" t="s">
        <v>2568</v>
      </c>
    </row>
    <row r="728" spans="1:1" x14ac:dyDescent="0.2">
      <c r="A728" s="30" t="s">
        <v>2569</v>
      </c>
    </row>
    <row r="729" spans="1:1" x14ac:dyDescent="0.2">
      <c r="A729" s="30" t="s">
        <v>2570</v>
      </c>
    </row>
    <row r="730" spans="1:1" x14ac:dyDescent="0.2">
      <c r="A730" s="30" t="s">
        <v>2571</v>
      </c>
    </row>
    <row r="731" spans="1:1" x14ac:dyDescent="0.2">
      <c r="A731" s="30" t="s">
        <v>2572</v>
      </c>
    </row>
    <row r="732" spans="1:1" x14ac:dyDescent="0.2">
      <c r="A732" s="30" t="s">
        <v>2573</v>
      </c>
    </row>
    <row r="733" spans="1:1" x14ac:dyDescent="0.2">
      <c r="A733" s="30" t="s">
        <v>2574</v>
      </c>
    </row>
    <row r="734" spans="1:1" x14ac:dyDescent="0.2">
      <c r="A734" s="30" t="s">
        <v>2575</v>
      </c>
    </row>
    <row r="735" spans="1:1" x14ac:dyDescent="0.2">
      <c r="A735" s="30" t="s">
        <v>2576</v>
      </c>
    </row>
    <row r="736" spans="1:1" x14ac:dyDescent="0.2">
      <c r="A736" s="30" t="s">
        <v>2577</v>
      </c>
    </row>
    <row r="737" spans="1:1" x14ac:dyDescent="0.2">
      <c r="A737" s="30" t="s">
        <v>2578</v>
      </c>
    </row>
    <row r="738" spans="1:1" x14ac:dyDescent="0.2">
      <c r="A738" s="30" t="s">
        <v>2579</v>
      </c>
    </row>
    <row r="739" spans="1:1" x14ac:dyDescent="0.2">
      <c r="A739" s="30" t="s">
        <v>2580</v>
      </c>
    </row>
    <row r="740" spans="1:1" x14ac:dyDescent="0.2">
      <c r="A740" s="30" t="s">
        <v>2581</v>
      </c>
    </row>
    <row r="741" spans="1:1" x14ac:dyDescent="0.2">
      <c r="A741" s="30" t="s">
        <v>2582</v>
      </c>
    </row>
    <row r="742" spans="1:1" x14ac:dyDescent="0.2">
      <c r="A742" s="30" t="s">
        <v>2583</v>
      </c>
    </row>
    <row r="743" spans="1:1" x14ac:dyDescent="0.2">
      <c r="A743" s="30" t="s">
        <v>2584</v>
      </c>
    </row>
    <row r="744" spans="1:1" x14ac:dyDescent="0.2">
      <c r="A744" s="30" t="s">
        <v>2585</v>
      </c>
    </row>
    <row r="745" spans="1:1" x14ac:dyDescent="0.2">
      <c r="A745" s="30" t="s">
        <v>2586</v>
      </c>
    </row>
    <row r="746" spans="1:1" x14ac:dyDescent="0.2">
      <c r="A746" s="30" t="s">
        <v>2587</v>
      </c>
    </row>
    <row r="747" spans="1:1" x14ac:dyDescent="0.2">
      <c r="A747" s="30" t="s">
        <v>2588</v>
      </c>
    </row>
    <row r="748" spans="1:1" x14ac:dyDescent="0.2">
      <c r="A748" s="30" t="s">
        <v>2589</v>
      </c>
    </row>
    <row r="749" spans="1:1" x14ac:dyDescent="0.2">
      <c r="A749" s="30" t="s">
        <v>2590</v>
      </c>
    </row>
    <row r="750" spans="1:1" x14ac:dyDescent="0.2">
      <c r="A750" s="30" t="s">
        <v>2591</v>
      </c>
    </row>
    <row r="751" spans="1:1" x14ac:dyDescent="0.2">
      <c r="A751" s="30" t="s">
        <v>2592</v>
      </c>
    </row>
    <row r="752" spans="1:1" x14ac:dyDescent="0.2">
      <c r="A752" s="30" t="s">
        <v>2593</v>
      </c>
    </row>
    <row r="753" spans="1:1" x14ac:dyDescent="0.2">
      <c r="A753" s="30" t="s">
        <v>2594</v>
      </c>
    </row>
    <row r="754" spans="1:1" x14ac:dyDescent="0.2">
      <c r="A754" s="30" t="s">
        <v>2595</v>
      </c>
    </row>
    <row r="755" spans="1:1" x14ac:dyDescent="0.2">
      <c r="A755" s="30" t="s">
        <v>2596</v>
      </c>
    </row>
    <row r="756" spans="1:1" x14ac:dyDescent="0.2">
      <c r="A756" s="30" t="s">
        <v>2597</v>
      </c>
    </row>
    <row r="757" spans="1:1" x14ac:dyDescent="0.2">
      <c r="A757" s="30" t="s">
        <v>2598</v>
      </c>
    </row>
    <row r="758" spans="1:1" x14ac:dyDescent="0.2">
      <c r="A758" s="30" t="s">
        <v>2599</v>
      </c>
    </row>
    <row r="759" spans="1:1" x14ac:dyDescent="0.2">
      <c r="A759" s="30" t="s">
        <v>2600</v>
      </c>
    </row>
    <row r="760" spans="1:1" x14ac:dyDescent="0.2">
      <c r="A760" s="30" t="s">
        <v>2601</v>
      </c>
    </row>
    <row r="761" spans="1:1" x14ac:dyDescent="0.2">
      <c r="A761" s="30" t="s">
        <v>2602</v>
      </c>
    </row>
    <row r="762" spans="1:1" x14ac:dyDescent="0.2">
      <c r="A762" s="30" t="s">
        <v>2603</v>
      </c>
    </row>
    <row r="763" spans="1:1" x14ac:dyDescent="0.2">
      <c r="A763" s="30" t="s">
        <v>2604</v>
      </c>
    </row>
    <row r="764" spans="1:1" x14ac:dyDescent="0.2">
      <c r="A764" s="30" t="s">
        <v>2605</v>
      </c>
    </row>
    <row r="765" spans="1:1" x14ac:dyDescent="0.2">
      <c r="A765" s="30" t="s">
        <v>2606</v>
      </c>
    </row>
    <row r="766" spans="1:1" x14ac:dyDescent="0.2">
      <c r="A766" s="30" t="s">
        <v>2607</v>
      </c>
    </row>
    <row r="767" spans="1:1" x14ac:dyDescent="0.2">
      <c r="A767" s="30" t="s">
        <v>2608</v>
      </c>
    </row>
    <row r="768" spans="1:1" x14ac:dyDescent="0.2">
      <c r="A768" s="30" t="s">
        <v>2609</v>
      </c>
    </row>
    <row r="769" spans="1:1" x14ac:dyDescent="0.2">
      <c r="A769" s="30" t="s">
        <v>2610</v>
      </c>
    </row>
    <row r="770" spans="1:1" x14ac:dyDescent="0.2">
      <c r="A770" s="30" t="s">
        <v>2611</v>
      </c>
    </row>
    <row r="771" spans="1:1" x14ac:dyDescent="0.2">
      <c r="A771" s="30" t="s">
        <v>2612</v>
      </c>
    </row>
    <row r="772" spans="1:1" x14ac:dyDescent="0.2">
      <c r="A772" s="30" t="s">
        <v>2613</v>
      </c>
    </row>
    <row r="773" spans="1:1" x14ac:dyDescent="0.2">
      <c r="A773" s="30" t="s">
        <v>2614</v>
      </c>
    </row>
    <row r="774" spans="1:1" x14ac:dyDescent="0.2">
      <c r="A774" s="30" t="s">
        <v>2615</v>
      </c>
    </row>
    <row r="775" spans="1:1" x14ac:dyDescent="0.2">
      <c r="A775" s="30" t="s">
        <v>2616</v>
      </c>
    </row>
    <row r="776" spans="1:1" x14ac:dyDescent="0.2">
      <c r="A776" s="30" t="s">
        <v>2617</v>
      </c>
    </row>
    <row r="777" spans="1:1" x14ac:dyDescent="0.2">
      <c r="A777" s="30" t="s">
        <v>2618</v>
      </c>
    </row>
    <row r="778" spans="1:1" x14ac:dyDescent="0.2">
      <c r="A778" s="30" t="s">
        <v>2619</v>
      </c>
    </row>
    <row r="779" spans="1:1" x14ac:dyDescent="0.2">
      <c r="A779" s="30" t="s">
        <v>2620</v>
      </c>
    </row>
    <row r="780" spans="1:1" x14ac:dyDescent="0.2">
      <c r="A780" s="30" t="s">
        <v>2621</v>
      </c>
    </row>
    <row r="781" spans="1:1" x14ac:dyDescent="0.2">
      <c r="A781" s="30" t="s">
        <v>2622</v>
      </c>
    </row>
    <row r="782" spans="1:1" x14ac:dyDescent="0.2">
      <c r="A782" s="30" t="s">
        <v>2623</v>
      </c>
    </row>
    <row r="783" spans="1:1" x14ac:dyDescent="0.2">
      <c r="A783" s="30" t="s">
        <v>2624</v>
      </c>
    </row>
    <row r="784" spans="1:1" x14ac:dyDescent="0.2">
      <c r="A784" s="30" t="s">
        <v>2625</v>
      </c>
    </row>
    <row r="785" spans="1:1" x14ac:dyDescent="0.2">
      <c r="A785" s="30" t="s">
        <v>2626</v>
      </c>
    </row>
    <row r="786" spans="1:1" x14ac:dyDescent="0.2">
      <c r="A786" s="30" t="s">
        <v>2627</v>
      </c>
    </row>
    <row r="787" spans="1:1" x14ac:dyDescent="0.2">
      <c r="A787" s="30" t="s">
        <v>2628</v>
      </c>
    </row>
    <row r="788" spans="1:1" x14ac:dyDescent="0.2">
      <c r="A788" s="30" t="s">
        <v>2629</v>
      </c>
    </row>
    <row r="789" spans="1:1" x14ac:dyDescent="0.2">
      <c r="A789" s="30" t="s">
        <v>2630</v>
      </c>
    </row>
    <row r="790" spans="1:1" x14ac:dyDescent="0.2">
      <c r="A790" s="30" t="s">
        <v>2631</v>
      </c>
    </row>
    <row r="791" spans="1:1" x14ac:dyDescent="0.2">
      <c r="A791" s="30" t="s">
        <v>2632</v>
      </c>
    </row>
    <row r="792" spans="1:1" x14ac:dyDescent="0.2">
      <c r="A792" s="30" t="s">
        <v>2633</v>
      </c>
    </row>
    <row r="793" spans="1:1" x14ac:dyDescent="0.2">
      <c r="A793" s="30" t="s">
        <v>2634</v>
      </c>
    </row>
    <row r="794" spans="1:1" x14ac:dyDescent="0.2">
      <c r="A794" s="30" t="s">
        <v>2635</v>
      </c>
    </row>
    <row r="795" spans="1:1" x14ac:dyDescent="0.2">
      <c r="A795" s="30" t="s">
        <v>2636</v>
      </c>
    </row>
    <row r="796" spans="1:1" x14ac:dyDescent="0.2">
      <c r="A796" s="30" t="s">
        <v>2637</v>
      </c>
    </row>
    <row r="797" spans="1:1" x14ac:dyDescent="0.2">
      <c r="A797" s="30" t="s">
        <v>2638</v>
      </c>
    </row>
    <row r="798" spans="1:1" x14ac:dyDescent="0.2">
      <c r="A798" s="30" t="s">
        <v>2639</v>
      </c>
    </row>
    <row r="799" spans="1:1" x14ac:dyDescent="0.2">
      <c r="A799" s="30" t="s">
        <v>2640</v>
      </c>
    </row>
    <row r="800" spans="1:1" x14ac:dyDescent="0.2">
      <c r="A800" s="30" t="s">
        <v>2641</v>
      </c>
    </row>
    <row r="801" spans="1:1" x14ac:dyDescent="0.2">
      <c r="A801" s="30" t="s">
        <v>2642</v>
      </c>
    </row>
    <row r="802" spans="1:1" x14ac:dyDescent="0.2">
      <c r="A802" s="30" t="s">
        <v>2643</v>
      </c>
    </row>
    <row r="803" spans="1:1" x14ac:dyDescent="0.2">
      <c r="A803" s="30" t="s">
        <v>2644</v>
      </c>
    </row>
    <row r="804" spans="1:1" x14ac:dyDescent="0.2">
      <c r="A804" s="30" t="s">
        <v>2645</v>
      </c>
    </row>
    <row r="805" spans="1:1" x14ac:dyDescent="0.2">
      <c r="A805" s="30" t="s">
        <v>2646</v>
      </c>
    </row>
    <row r="806" spans="1:1" x14ac:dyDescent="0.2">
      <c r="A806" s="30" t="s">
        <v>2647</v>
      </c>
    </row>
    <row r="807" spans="1:1" x14ac:dyDescent="0.2">
      <c r="A807" s="30" t="s">
        <v>2648</v>
      </c>
    </row>
    <row r="808" spans="1:1" x14ac:dyDescent="0.2">
      <c r="A808" s="30" t="s">
        <v>2649</v>
      </c>
    </row>
    <row r="809" spans="1:1" x14ac:dyDescent="0.2">
      <c r="A809" s="30" t="s">
        <v>2650</v>
      </c>
    </row>
    <row r="810" spans="1:1" x14ac:dyDescent="0.2">
      <c r="A810" s="30" t="s">
        <v>2651</v>
      </c>
    </row>
    <row r="811" spans="1:1" x14ac:dyDescent="0.2">
      <c r="A811" s="30" t="s">
        <v>2652</v>
      </c>
    </row>
    <row r="812" spans="1:1" x14ac:dyDescent="0.2">
      <c r="A812" s="30" t="s">
        <v>2653</v>
      </c>
    </row>
    <row r="813" spans="1:1" x14ac:dyDescent="0.2">
      <c r="A813" s="30" t="s">
        <v>2654</v>
      </c>
    </row>
    <row r="814" spans="1:1" x14ac:dyDescent="0.2">
      <c r="A814" s="30" t="s">
        <v>2655</v>
      </c>
    </row>
    <row r="815" spans="1:1" x14ac:dyDescent="0.2">
      <c r="A815" s="30" t="s">
        <v>2656</v>
      </c>
    </row>
    <row r="816" spans="1:1" x14ac:dyDescent="0.2">
      <c r="A816" s="30" t="s">
        <v>2657</v>
      </c>
    </row>
    <row r="817" spans="1:1" x14ac:dyDescent="0.2">
      <c r="A817" s="30" t="s">
        <v>2658</v>
      </c>
    </row>
    <row r="818" spans="1:1" x14ac:dyDescent="0.2">
      <c r="A818" s="30" t="s">
        <v>2659</v>
      </c>
    </row>
    <row r="819" spans="1:1" x14ac:dyDescent="0.2">
      <c r="A819" s="30" t="s">
        <v>2660</v>
      </c>
    </row>
    <row r="820" spans="1:1" x14ac:dyDescent="0.2">
      <c r="A820" s="30" t="s">
        <v>2661</v>
      </c>
    </row>
    <row r="821" spans="1:1" x14ac:dyDescent="0.2">
      <c r="A821" s="30" t="s">
        <v>2662</v>
      </c>
    </row>
    <row r="822" spans="1:1" x14ac:dyDescent="0.2">
      <c r="A822" s="30" t="s">
        <v>2663</v>
      </c>
    </row>
    <row r="823" spans="1:1" x14ac:dyDescent="0.2">
      <c r="A823" s="30" t="s">
        <v>2664</v>
      </c>
    </row>
    <row r="824" spans="1:1" x14ac:dyDescent="0.2">
      <c r="A824" s="30" t="s">
        <v>2665</v>
      </c>
    </row>
    <row r="825" spans="1:1" x14ac:dyDescent="0.2">
      <c r="A825" s="30" t="s">
        <v>2666</v>
      </c>
    </row>
    <row r="826" spans="1:1" x14ac:dyDescent="0.2">
      <c r="A826" s="30" t="s">
        <v>2667</v>
      </c>
    </row>
    <row r="827" spans="1:1" x14ac:dyDescent="0.2">
      <c r="A827" s="30" t="s">
        <v>2668</v>
      </c>
    </row>
    <row r="828" spans="1:1" x14ac:dyDescent="0.2">
      <c r="A828" s="30" t="s">
        <v>2669</v>
      </c>
    </row>
    <row r="829" spans="1:1" x14ac:dyDescent="0.2">
      <c r="A829" s="30" t="s">
        <v>2670</v>
      </c>
    </row>
    <row r="830" spans="1:1" x14ac:dyDescent="0.2">
      <c r="A830" s="30" t="s">
        <v>2671</v>
      </c>
    </row>
    <row r="831" spans="1:1" x14ac:dyDescent="0.2">
      <c r="A831" s="30" t="s">
        <v>2672</v>
      </c>
    </row>
    <row r="832" spans="1:1" x14ac:dyDescent="0.2">
      <c r="A832" s="30" t="s">
        <v>2673</v>
      </c>
    </row>
    <row r="833" spans="1:1" x14ac:dyDescent="0.2">
      <c r="A833" s="30" t="s">
        <v>2674</v>
      </c>
    </row>
    <row r="834" spans="1:1" x14ac:dyDescent="0.2">
      <c r="A834" s="30" t="s">
        <v>2675</v>
      </c>
    </row>
    <row r="835" spans="1:1" x14ac:dyDescent="0.2">
      <c r="A835" s="30" t="s">
        <v>2676</v>
      </c>
    </row>
    <row r="836" spans="1:1" x14ac:dyDescent="0.2">
      <c r="A836" s="30" t="s">
        <v>2677</v>
      </c>
    </row>
    <row r="837" spans="1:1" x14ac:dyDescent="0.2">
      <c r="A837" s="30" t="s">
        <v>2678</v>
      </c>
    </row>
    <row r="838" spans="1:1" x14ac:dyDescent="0.2">
      <c r="A838" s="30" t="s">
        <v>2679</v>
      </c>
    </row>
    <row r="839" spans="1:1" x14ac:dyDescent="0.2">
      <c r="A839" s="30" t="s">
        <v>2680</v>
      </c>
    </row>
    <row r="840" spans="1:1" x14ac:dyDescent="0.2">
      <c r="A840" s="30" t="s">
        <v>2681</v>
      </c>
    </row>
    <row r="841" spans="1:1" x14ac:dyDescent="0.2">
      <c r="A841" s="30" t="s">
        <v>2682</v>
      </c>
    </row>
    <row r="842" spans="1:1" x14ac:dyDescent="0.2">
      <c r="A842" s="30" t="s">
        <v>2683</v>
      </c>
    </row>
    <row r="843" spans="1:1" x14ac:dyDescent="0.2">
      <c r="A843" s="30" t="s">
        <v>2684</v>
      </c>
    </row>
    <row r="844" spans="1:1" x14ac:dyDescent="0.2">
      <c r="A844" s="30" t="s">
        <v>2685</v>
      </c>
    </row>
    <row r="845" spans="1:1" x14ac:dyDescent="0.2">
      <c r="A845" s="30" t="s">
        <v>2686</v>
      </c>
    </row>
    <row r="846" spans="1:1" x14ac:dyDescent="0.2">
      <c r="A846" s="30" t="s">
        <v>2687</v>
      </c>
    </row>
    <row r="847" spans="1:1" x14ac:dyDescent="0.2">
      <c r="A847" s="30" t="s">
        <v>2688</v>
      </c>
    </row>
    <row r="848" spans="1:1" x14ac:dyDescent="0.2">
      <c r="A848" s="30" t="s">
        <v>2689</v>
      </c>
    </row>
    <row r="849" spans="1:1" x14ac:dyDescent="0.2">
      <c r="A849" s="30" t="s">
        <v>2690</v>
      </c>
    </row>
    <row r="850" spans="1:1" x14ac:dyDescent="0.2">
      <c r="A850" s="30" t="s">
        <v>2691</v>
      </c>
    </row>
    <row r="851" spans="1:1" x14ac:dyDescent="0.2">
      <c r="A851" s="30" t="s">
        <v>2692</v>
      </c>
    </row>
    <row r="852" spans="1:1" x14ac:dyDescent="0.2">
      <c r="A852" s="30" t="s">
        <v>2693</v>
      </c>
    </row>
    <row r="853" spans="1:1" x14ac:dyDescent="0.2">
      <c r="A853" s="30" t="s">
        <v>2694</v>
      </c>
    </row>
    <row r="854" spans="1:1" x14ac:dyDescent="0.2">
      <c r="A854" s="30" t="s">
        <v>2695</v>
      </c>
    </row>
    <row r="855" spans="1:1" x14ac:dyDescent="0.2">
      <c r="A855" s="30" t="s">
        <v>2696</v>
      </c>
    </row>
    <row r="856" spans="1:1" x14ac:dyDescent="0.2">
      <c r="A856" s="30" t="s">
        <v>2697</v>
      </c>
    </row>
    <row r="857" spans="1:1" x14ac:dyDescent="0.2">
      <c r="A857" s="30" t="s">
        <v>2698</v>
      </c>
    </row>
    <row r="858" spans="1:1" x14ac:dyDescent="0.2">
      <c r="A858" s="30" t="s">
        <v>2699</v>
      </c>
    </row>
    <row r="859" spans="1:1" x14ac:dyDescent="0.2">
      <c r="A859" s="30" t="s">
        <v>2700</v>
      </c>
    </row>
    <row r="860" spans="1:1" x14ac:dyDescent="0.2">
      <c r="A860" s="30" t="s">
        <v>2701</v>
      </c>
    </row>
    <row r="861" spans="1:1" x14ac:dyDescent="0.2">
      <c r="A861" s="30" t="s">
        <v>2702</v>
      </c>
    </row>
    <row r="862" spans="1:1" x14ac:dyDescent="0.2">
      <c r="A862" s="30" t="s">
        <v>2703</v>
      </c>
    </row>
    <row r="863" spans="1:1" x14ac:dyDescent="0.2">
      <c r="A863" s="30" t="s">
        <v>2704</v>
      </c>
    </row>
    <row r="864" spans="1:1" x14ac:dyDescent="0.2">
      <c r="A864" s="30" t="s">
        <v>2705</v>
      </c>
    </row>
    <row r="865" spans="1:1" x14ac:dyDescent="0.2">
      <c r="A865" s="30" t="s">
        <v>2706</v>
      </c>
    </row>
    <row r="866" spans="1:1" x14ac:dyDescent="0.2">
      <c r="A866" s="30" t="s">
        <v>2707</v>
      </c>
    </row>
    <row r="867" spans="1:1" x14ac:dyDescent="0.2">
      <c r="A867" s="30" t="s">
        <v>2708</v>
      </c>
    </row>
    <row r="868" spans="1:1" x14ac:dyDescent="0.2">
      <c r="A868" s="30" t="s">
        <v>2709</v>
      </c>
    </row>
    <row r="869" spans="1:1" x14ac:dyDescent="0.2">
      <c r="A869" s="30" t="s">
        <v>2710</v>
      </c>
    </row>
    <row r="870" spans="1:1" x14ac:dyDescent="0.2">
      <c r="A870" s="30" t="s">
        <v>2711</v>
      </c>
    </row>
    <row r="871" spans="1:1" x14ac:dyDescent="0.2">
      <c r="A871" s="30" t="s">
        <v>2712</v>
      </c>
    </row>
    <row r="872" spans="1:1" x14ac:dyDescent="0.2">
      <c r="A872" s="30" t="s">
        <v>2713</v>
      </c>
    </row>
    <row r="873" spans="1:1" x14ac:dyDescent="0.2">
      <c r="A873" s="30" t="s">
        <v>2714</v>
      </c>
    </row>
    <row r="874" spans="1:1" x14ac:dyDescent="0.2">
      <c r="A874" s="30" t="s">
        <v>2715</v>
      </c>
    </row>
    <row r="875" spans="1:1" x14ac:dyDescent="0.2">
      <c r="A875" s="30" t="s">
        <v>2716</v>
      </c>
    </row>
    <row r="876" spans="1:1" x14ac:dyDescent="0.2">
      <c r="A876" s="30" t="s">
        <v>2717</v>
      </c>
    </row>
    <row r="877" spans="1:1" x14ac:dyDescent="0.2">
      <c r="A877" s="30" t="s">
        <v>2718</v>
      </c>
    </row>
    <row r="878" spans="1:1" x14ac:dyDescent="0.2">
      <c r="A878" s="30" t="s">
        <v>2719</v>
      </c>
    </row>
    <row r="879" spans="1:1" x14ac:dyDescent="0.2">
      <c r="A879" s="30" t="s">
        <v>2720</v>
      </c>
    </row>
    <row r="880" spans="1:1" x14ac:dyDescent="0.2">
      <c r="A880" s="30" t="s">
        <v>2721</v>
      </c>
    </row>
    <row r="881" spans="1:1" x14ac:dyDescent="0.2">
      <c r="A881" s="30" t="s">
        <v>2722</v>
      </c>
    </row>
    <row r="882" spans="1:1" x14ac:dyDescent="0.2">
      <c r="A882" s="30" t="s">
        <v>2723</v>
      </c>
    </row>
    <row r="883" spans="1:1" x14ac:dyDescent="0.2">
      <c r="A883" s="30" t="s">
        <v>2724</v>
      </c>
    </row>
    <row r="884" spans="1:1" x14ac:dyDescent="0.2">
      <c r="A884" s="30" t="s">
        <v>2725</v>
      </c>
    </row>
    <row r="885" spans="1:1" x14ac:dyDescent="0.2">
      <c r="A885" s="30" t="s">
        <v>2726</v>
      </c>
    </row>
    <row r="886" spans="1:1" x14ac:dyDescent="0.2">
      <c r="A886" s="30" t="s">
        <v>2727</v>
      </c>
    </row>
    <row r="887" spans="1:1" x14ac:dyDescent="0.2">
      <c r="A887" s="30" t="s">
        <v>2728</v>
      </c>
    </row>
    <row r="888" spans="1:1" x14ac:dyDescent="0.2">
      <c r="A888" s="30" t="s">
        <v>2729</v>
      </c>
    </row>
    <row r="889" spans="1:1" x14ac:dyDescent="0.2">
      <c r="A889" s="30" t="s">
        <v>2730</v>
      </c>
    </row>
    <row r="890" spans="1:1" x14ac:dyDescent="0.2">
      <c r="A890" s="30" t="s">
        <v>2731</v>
      </c>
    </row>
    <row r="891" spans="1:1" x14ac:dyDescent="0.2">
      <c r="A891" s="30" t="s">
        <v>2732</v>
      </c>
    </row>
    <row r="892" spans="1:1" x14ac:dyDescent="0.2">
      <c r="A892" s="30" t="s">
        <v>2733</v>
      </c>
    </row>
    <row r="893" spans="1:1" x14ac:dyDescent="0.2">
      <c r="A893" s="30" t="s">
        <v>2734</v>
      </c>
    </row>
    <row r="894" spans="1:1" x14ac:dyDescent="0.2">
      <c r="A894" s="30" t="s">
        <v>2735</v>
      </c>
    </row>
    <row r="895" spans="1:1" x14ac:dyDescent="0.2">
      <c r="A895" s="30" t="s">
        <v>2736</v>
      </c>
    </row>
    <row r="896" spans="1:1" x14ac:dyDescent="0.2">
      <c r="A896" s="30" t="s">
        <v>2737</v>
      </c>
    </row>
    <row r="897" spans="1:1" x14ac:dyDescent="0.2">
      <c r="A897" s="30" t="s">
        <v>2738</v>
      </c>
    </row>
    <row r="898" spans="1:1" x14ac:dyDescent="0.2">
      <c r="A898" s="30" t="s">
        <v>2739</v>
      </c>
    </row>
    <row r="899" spans="1:1" x14ac:dyDescent="0.2">
      <c r="A899" s="30" t="s">
        <v>2740</v>
      </c>
    </row>
    <row r="900" spans="1:1" x14ac:dyDescent="0.2">
      <c r="A900" s="30" t="s">
        <v>2741</v>
      </c>
    </row>
    <row r="901" spans="1:1" x14ac:dyDescent="0.2">
      <c r="A901" s="30" t="s">
        <v>2742</v>
      </c>
    </row>
    <row r="902" spans="1:1" x14ac:dyDescent="0.2">
      <c r="A902" s="30" t="s">
        <v>2743</v>
      </c>
    </row>
    <row r="903" spans="1:1" x14ac:dyDescent="0.2">
      <c r="A903" s="30" t="s">
        <v>2744</v>
      </c>
    </row>
    <row r="904" spans="1:1" x14ac:dyDescent="0.2">
      <c r="A904" s="30" t="s">
        <v>2745</v>
      </c>
    </row>
    <row r="905" spans="1:1" x14ac:dyDescent="0.2">
      <c r="A905" s="30" t="s">
        <v>2746</v>
      </c>
    </row>
    <row r="906" spans="1:1" x14ac:dyDescent="0.2">
      <c r="A906" s="30" t="s">
        <v>2747</v>
      </c>
    </row>
    <row r="907" spans="1:1" x14ac:dyDescent="0.2">
      <c r="A907" s="30" t="s">
        <v>2748</v>
      </c>
    </row>
    <row r="908" spans="1:1" x14ac:dyDescent="0.2">
      <c r="A908" s="30" t="s">
        <v>2749</v>
      </c>
    </row>
    <row r="909" spans="1:1" x14ac:dyDescent="0.2">
      <c r="A909" s="30" t="s">
        <v>2750</v>
      </c>
    </row>
    <row r="910" spans="1:1" x14ac:dyDescent="0.2">
      <c r="A910" s="30" t="s">
        <v>2751</v>
      </c>
    </row>
    <row r="911" spans="1:1" x14ac:dyDescent="0.2">
      <c r="A911" s="30" t="s">
        <v>2752</v>
      </c>
    </row>
    <row r="912" spans="1:1" x14ac:dyDescent="0.2">
      <c r="A912" s="30" t="s">
        <v>2753</v>
      </c>
    </row>
    <row r="913" spans="1:1" x14ac:dyDescent="0.2">
      <c r="A913" s="30" t="s">
        <v>2754</v>
      </c>
    </row>
    <row r="914" spans="1:1" x14ac:dyDescent="0.2">
      <c r="A914" s="30" t="s">
        <v>2755</v>
      </c>
    </row>
    <row r="915" spans="1:1" x14ac:dyDescent="0.2">
      <c r="A915" s="30" t="s">
        <v>2756</v>
      </c>
    </row>
    <row r="916" spans="1:1" x14ac:dyDescent="0.2">
      <c r="A916" s="30" t="s">
        <v>2757</v>
      </c>
    </row>
    <row r="917" spans="1:1" x14ac:dyDescent="0.2">
      <c r="A917" s="30" t="s">
        <v>2758</v>
      </c>
    </row>
    <row r="918" spans="1:1" x14ac:dyDescent="0.2">
      <c r="A918" s="30" t="s">
        <v>2759</v>
      </c>
    </row>
    <row r="919" spans="1:1" x14ac:dyDescent="0.2">
      <c r="A919" s="30" t="s">
        <v>2760</v>
      </c>
    </row>
    <row r="920" spans="1:1" x14ac:dyDescent="0.2">
      <c r="A920" s="30" t="s">
        <v>2761</v>
      </c>
    </row>
    <row r="921" spans="1:1" x14ac:dyDescent="0.2">
      <c r="A921" s="30" t="s">
        <v>2762</v>
      </c>
    </row>
    <row r="922" spans="1:1" x14ac:dyDescent="0.2">
      <c r="A922" s="30" t="s">
        <v>2763</v>
      </c>
    </row>
    <row r="923" spans="1:1" x14ac:dyDescent="0.2">
      <c r="A923" s="30" t="s">
        <v>2764</v>
      </c>
    </row>
    <row r="924" spans="1:1" x14ac:dyDescent="0.2">
      <c r="A924" s="30" t="s">
        <v>2765</v>
      </c>
    </row>
    <row r="925" spans="1:1" x14ac:dyDescent="0.2">
      <c r="A925" s="30" t="s">
        <v>2766</v>
      </c>
    </row>
    <row r="926" spans="1:1" x14ac:dyDescent="0.2">
      <c r="A926" s="30" t="s">
        <v>2767</v>
      </c>
    </row>
    <row r="927" spans="1:1" x14ac:dyDescent="0.2">
      <c r="A927" s="30" t="s">
        <v>2768</v>
      </c>
    </row>
    <row r="928" spans="1:1" x14ac:dyDescent="0.2">
      <c r="A928" s="30" t="s">
        <v>2769</v>
      </c>
    </row>
    <row r="929" spans="1:1" x14ac:dyDescent="0.2">
      <c r="A929" s="30" t="s">
        <v>2770</v>
      </c>
    </row>
    <row r="930" spans="1:1" x14ac:dyDescent="0.2">
      <c r="A930" s="30" t="s">
        <v>2771</v>
      </c>
    </row>
    <row r="931" spans="1:1" x14ac:dyDescent="0.2">
      <c r="A931" s="30" t="s">
        <v>2772</v>
      </c>
    </row>
    <row r="932" spans="1:1" x14ac:dyDescent="0.2">
      <c r="A932" s="30" t="s">
        <v>2773</v>
      </c>
    </row>
    <row r="933" spans="1:1" x14ac:dyDescent="0.2">
      <c r="A933" s="30" t="s">
        <v>2774</v>
      </c>
    </row>
    <row r="934" spans="1:1" x14ac:dyDescent="0.2">
      <c r="A934" s="30" t="s">
        <v>2775</v>
      </c>
    </row>
    <row r="935" spans="1:1" x14ac:dyDescent="0.2">
      <c r="A935" s="30" t="s">
        <v>2776</v>
      </c>
    </row>
    <row r="936" spans="1:1" x14ac:dyDescent="0.2">
      <c r="A936" s="30" t="s">
        <v>2777</v>
      </c>
    </row>
    <row r="937" spans="1:1" x14ac:dyDescent="0.2">
      <c r="A937" s="30" t="s">
        <v>2778</v>
      </c>
    </row>
    <row r="938" spans="1:1" x14ac:dyDescent="0.2">
      <c r="A938" s="30" t="s">
        <v>2779</v>
      </c>
    </row>
    <row r="939" spans="1:1" x14ac:dyDescent="0.2">
      <c r="A939" s="30" t="s">
        <v>2780</v>
      </c>
    </row>
    <row r="940" spans="1:1" x14ac:dyDescent="0.2">
      <c r="A940" s="30" t="s">
        <v>2781</v>
      </c>
    </row>
    <row r="941" spans="1:1" x14ac:dyDescent="0.2">
      <c r="A941" s="30" t="s">
        <v>2782</v>
      </c>
    </row>
    <row r="942" spans="1:1" x14ac:dyDescent="0.2">
      <c r="A942" s="30" t="s">
        <v>2783</v>
      </c>
    </row>
    <row r="943" spans="1:1" x14ac:dyDescent="0.2">
      <c r="A943" s="30" t="s">
        <v>2784</v>
      </c>
    </row>
    <row r="944" spans="1:1" x14ac:dyDescent="0.2">
      <c r="A944" s="30" t="s">
        <v>2785</v>
      </c>
    </row>
    <row r="945" spans="1:1" x14ac:dyDescent="0.2">
      <c r="A945" s="30" t="s">
        <v>2786</v>
      </c>
    </row>
    <row r="946" spans="1:1" x14ac:dyDescent="0.2">
      <c r="A946" s="30" t="s">
        <v>2787</v>
      </c>
    </row>
    <row r="947" spans="1:1" x14ac:dyDescent="0.2">
      <c r="A947" s="30" t="s">
        <v>2788</v>
      </c>
    </row>
    <row r="948" spans="1:1" x14ac:dyDescent="0.2">
      <c r="A948" s="30" t="s">
        <v>2789</v>
      </c>
    </row>
    <row r="949" spans="1:1" x14ac:dyDescent="0.2">
      <c r="A949" s="30" t="s">
        <v>2790</v>
      </c>
    </row>
    <row r="950" spans="1:1" x14ac:dyDescent="0.2">
      <c r="A950" s="30" t="s">
        <v>2791</v>
      </c>
    </row>
    <row r="951" spans="1:1" x14ac:dyDescent="0.2">
      <c r="A951" s="30" t="s">
        <v>2792</v>
      </c>
    </row>
    <row r="952" spans="1:1" x14ac:dyDescent="0.2">
      <c r="A952" s="30" t="s">
        <v>2793</v>
      </c>
    </row>
    <row r="953" spans="1:1" x14ac:dyDescent="0.2">
      <c r="A953" s="30" t="s">
        <v>2794</v>
      </c>
    </row>
    <row r="954" spans="1:1" x14ac:dyDescent="0.2">
      <c r="A954" s="30" t="s">
        <v>2795</v>
      </c>
    </row>
    <row r="955" spans="1:1" x14ac:dyDescent="0.2">
      <c r="A955" s="30" t="s">
        <v>2796</v>
      </c>
    </row>
    <row r="956" spans="1:1" x14ac:dyDescent="0.2">
      <c r="A956" s="30" t="s">
        <v>2797</v>
      </c>
    </row>
    <row r="957" spans="1:1" x14ac:dyDescent="0.2">
      <c r="A957" s="30" t="s">
        <v>2798</v>
      </c>
    </row>
    <row r="958" spans="1:1" x14ac:dyDescent="0.2">
      <c r="A958" s="30" t="s">
        <v>2799</v>
      </c>
    </row>
    <row r="959" spans="1:1" x14ac:dyDescent="0.2">
      <c r="A959" s="30" t="s">
        <v>2800</v>
      </c>
    </row>
    <row r="960" spans="1:1" x14ac:dyDescent="0.2">
      <c r="A960" s="30" t="s">
        <v>2801</v>
      </c>
    </row>
    <row r="961" spans="1:1" x14ac:dyDescent="0.2">
      <c r="A961" s="30" t="s">
        <v>2802</v>
      </c>
    </row>
    <row r="962" spans="1:1" x14ac:dyDescent="0.2">
      <c r="A962" s="30" t="s">
        <v>2803</v>
      </c>
    </row>
    <row r="963" spans="1:1" x14ac:dyDescent="0.2">
      <c r="A963" s="30" t="s">
        <v>2804</v>
      </c>
    </row>
    <row r="964" spans="1:1" x14ac:dyDescent="0.2">
      <c r="A964" s="30" t="s">
        <v>2805</v>
      </c>
    </row>
    <row r="965" spans="1:1" x14ac:dyDescent="0.2">
      <c r="A965" s="30" t="s">
        <v>2806</v>
      </c>
    </row>
    <row r="966" spans="1:1" x14ac:dyDescent="0.2">
      <c r="A966" s="30" t="s">
        <v>2807</v>
      </c>
    </row>
    <row r="967" spans="1:1" x14ac:dyDescent="0.2">
      <c r="A967" s="30" t="s">
        <v>2808</v>
      </c>
    </row>
    <row r="968" spans="1:1" x14ac:dyDescent="0.2">
      <c r="A968" s="30" t="s">
        <v>2809</v>
      </c>
    </row>
    <row r="969" spans="1:1" x14ac:dyDescent="0.2">
      <c r="A969" s="30" t="s">
        <v>2810</v>
      </c>
    </row>
    <row r="970" spans="1:1" x14ac:dyDescent="0.2">
      <c r="A970" s="30" t="s">
        <v>2811</v>
      </c>
    </row>
    <row r="971" spans="1:1" x14ac:dyDescent="0.2">
      <c r="A971" s="30" t="s">
        <v>2812</v>
      </c>
    </row>
    <row r="972" spans="1:1" x14ac:dyDescent="0.2">
      <c r="A972" s="30" t="s">
        <v>2813</v>
      </c>
    </row>
    <row r="973" spans="1:1" x14ac:dyDescent="0.2">
      <c r="A973" s="30" t="s">
        <v>2814</v>
      </c>
    </row>
    <row r="974" spans="1:1" x14ac:dyDescent="0.2">
      <c r="A974" s="30" t="s">
        <v>2815</v>
      </c>
    </row>
    <row r="975" spans="1:1" x14ac:dyDescent="0.2">
      <c r="A975" s="30" t="s">
        <v>2816</v>
      </c>
    </row>
    <row r="976" spans="1:1" x14ac:dyDescent="0.2">
      <c r="A976" s="30" t="s">
        <v>2817</v>
      </c>
    </row>
    <row r="977" spans="1:1" x14ac:dyDescent="0.2">
      <c r="A977" s="30" t="s">
        <v>2818</v>
      </c>
    </row>
    <row r="978" spans="1:1" x14ac:dyDescent="0.2">
      <c r="A978" s="30" t="s">
        <v>2819</v>
      </c>
    </row>
    <row r="979" spans="1:1" x14ac:dyDescent="0.2">
      <c r="A979" s="30" t="s">
        <v>2820</v>
      </c>
    </row>
    <row r="980" spans="1:1" x14ac:dyDescent="0.2">
      <c r="A980" s="30" t="s">
        <v>2821</v>
      </c>
    </row>
    <row r="981" spans="1:1" x14ac:dyDescent="0.2">
      <c r="A981" s="30" t="s">
        <v>2822</v>
      </c>
    </row>
    <row r="982" spans="1:1" x14ac:dyDescent="0.2">
      <c r="A982" s="30" t="s">
        <v>2823</v>
      </c>
    </row>
    <row r="983" spans="1:1" x14ac:dyDescent="0.2">
      <c r="A983" s="30" t="s">
        <v>2824</v>
      </c>
    </row>
    <row r="984" spans="1:1" x14ac:dyDescent="0.2">
      <c r="A984" s="30" t="s">
        <v>2825</v>
      </c>
    </row>
    <row r="985" spans="1:1" x14ac:dyDescent="0.2">
      <c r="A985" s="30" t="s">
        <v>2826</v>
      </c>
    </row>
    <row r="986" spans="1:1" x14ac:dyDescent="0.2">
      <c r="A986" s="30" t="s">
        <v>2827</v>
      </c>
    </row>
    <row r="987" spans="1:1" x14ac:dyDescent="0.2">
      <c r="A987" s="30" t="s">
        <v>2828</v>
      </c>
    </row>
    <row r="988" spans="1:1" x14ac:dyDescent="0.2">
      <c r="A988" s="30" t="s">
        <v>2829</v>
      </c>
    </row>
    <row r="989" spans="1:1" x14ac:dyDescent="0.2">
      <c r="A989" s="30" t="s">
        <v>2830</v>
      </c>
    </row>
    <row r="990" spans="1:1" x14ac:dyDescent="0.2">
      <c r="A990" s="30" t="s">
        <v>2831</v>
      </c>
    </row>
    <row r="991" spans="1:1" x14ac:dyDescent="0.2">
      <c r="A991" s="30" t="s">
        <v>2832</v>
      </c>
    </row>
    <row r="992" spans="1:1" x14ac:dyDescent="0.2">
      <c r="A992" s="30" t="s">
        <v>2833</v>
      </c>
    </row>
    <row r="993" spans="1:1" x14ac:dyDescent="0.2">
      <c r="A993" s="30" t="s">
        <v>2834</v>
      </c>
    </row>
    <row r="994" spans="1:1" x14ac:dyDescent="0.2">
      <c r="A994" s="30" t="s">
        <v>2835</v>
      </c>
    </row>
    <row r="995" spans="1:1" x14ac:dyDescent="0.2">
      <c r="A995" s="30" t="s">
        <v>2836</v>
      </c>
    </row>
    <row r="996" spans="1:1" x14ac:dyDescent="0.2">
      <c r="A996" s="30" t="s">
        <v>2837</v>
      </c>
    </row>
    <row r="997" spans="1:1" x14ac:dyDescent="0.2">
      <c r="A997" s="30" t="s">
        <v>2838</v>
      </c>
    </row>
    <row r="998" spans="1:1" x14ac:dyDescent="0.2">
      <c r="A998" s="30" t="s">
        <v>2839</v>
      </c>
    </row>
    <row r="999" spans="1:1" x14ac:dyDescent="0.2">
      <c r="A999" s="30" t="s">
        <v>2840</v>
      </c>
    </row>
    <row r="1000" spans="1:1" x14ac:dyDescent="0.2">
      <c r="A1000" s="30" t="s">
        <v>2841</v>
      </c>
    </row>
    <row r="1001" spans="1:1" x14ac:dyDescent="0.2">
      <c r="A1001" s="30" t="s">
        <v>2842</v>
      </c>
    </row>
    <row r="1002" spans="1:1" x14ac:dyDescent="0.2">
      <c r="A1002" s="30" t="s">
        <v>2843</v>
      </c>
    </row>
    <row r="1003" spans="1:1" x14ac:dyDescent="0.2">
      <c r="A1003" s="30" t="s">
        <v>2844</v>
      </c>
    </row>
    <row r="1004" spans="1:1" x14ac:dyDescent="0.2">
      <c r="A1004" s="30" t="s">
        <v>2845</v>
      </c>
    </row>
    <row r="1005" spans="1:1" x14ac:dyDescent="0.2">
      <c r="A1005" s="30" t="s">
        <v>2846</v>
      </c>
    </row>
    <row r="1006" spans="1:1" x14ac:dyDescent="0.2">
      <c r="A1006" s="30" t="s">
        <v>2847</v>
      </c>
    </row>
    <row r="1007" spans="1:1" x14ac:dyDescent="0.2">
      <c r="A1007" s="30" t="s">
        <v>2848</v>
      </c>
    </row>
    <row r="1008" spans="1:1" x14ac:dyDescent="0.2">
      <c r="A1008" s="30" t="s">
        <v>2849</v>
      </c>
    </row>
    <row r="1009" spans="1:1" x14ac:dyDescent="0.2">
      <c r="A1009" s="30" t="s">
        <v>2850</v>
      </c>
    </row>
    <row r="1010" spans="1:1" x14ac:dyDescent="0.2">
      <c r="A1010" s="30" t="s">
        <v>2851</v>
      </c>
    </row>
    <row r="1011" spans="1:1" x14ac:dyDescent="0.2">
      <c r="A1011" s="30" t="s">
        <v>2852</v>
      </c>
    </row>
    <row r="1012" spans="1:1" x14ac:dyDescent="0.2">
      <c r="A1012" s="30" t="s">
        <v>2853</v>
      </c>
    </row>
    <row r="1013" spans="1:1" x14ac:dyDescent="0.2">
      <c r="A1013" s="30" t="s">
        <v>2854</v>
      </c>
    </row>
    <row r="1014" spans="1:1" x14ac:dyDescent="0.2">
      <c r="A1014" s="30" t="s">
        <v>2855</v>
      </c>
    </row>
    <row r="1015" spans="1:1" x14ac:dyDescent="0.2">
      <c r="A1015" s="30" t="s">
        <v>2856</v>
      </c>
    </row>
    <row r="1016" spans="1:1" x14ac:dyDescent="0.2">
      <c r="A1016" s="30" t="s">
        <v>2857</v>
      </c>
    </row>
    <row r="1017" spans="1:1" x14ac:dyDescent="0.2">
      <c r="A1017" s="30" t="s">
        <v>2858</v>
      </c>
    </row>
    <row r="1018" spans="1:1" x14ac:dyDescent="0.2">
      <c r="A1018" s="30" t="s">
        <v>2859</v>
      </c>
    </row>
    <row r="1019" spans="1:1" x14ac:dyDescent="0.2">
      <c r="A1019" s="30" t="s">
        <v>2860</v>
      </c>
    </row>
    <row r="1020" spans="1:1" x14ac:dyDescent="0.2">
      <c r="A1020" s="30" t="s">
        <v>2861</v>
      </c>
    </row>
    <row r="1021" spans="1:1" x14ac:dyDescent="0.2">
      <c r="A1021" s="30" t="s">
        <v>2862</v>
      </c>
    </row>
    <row r="1022" spans="1:1" x14ac:dyDescent="0.2">
      <c r="A1022" s="30" t="s">
        <v>2863</v>
      </c>
    </row>
    <row r="1023" spans="1:1" x14ac:dyDescent="0.2">
      <c r="A1023" s="30" t="s">
        <v>2864</v>
      </c>
    </row>
    <row r="1024" spans="1:1" x14ac:dyDescent="0.2">
      <c r="A1024" s="30" t="s">
        <v>2865</v>
      </c>
    </row>
    <row r="1025" spans="1:1" x14ac:dyDescent="0.2">
      <c r="A1025" s="30" t="s">
        <v>2866</v>
      </c>
    </row>
    <row r="1026" spans="1:1" x14ac:dyDescent="0.2">
      <c r="A1026" s="30" t="s">
        <v>2867</v>
      </c>
    </row>
    <row r="1027" spans="1:1" x14ac:dyDescent="0.2">
      <c r="A1027" s="30" t="s">
        <v>2868</v>
      </c>
    </row>
    <row r="1028" spans="1:1" x14ac:dyDescent="0.2">
      <c r="A1028" s="30" t="s">
        <v>2869</v>
      </c>
    </row>
    <row r="1029" spans="1:1" x14ac:dyDescent="0.2">
      <c r="A1029" s="30" t="s">
        <v>2870</v>
      </c>
    </row>
    <row r="1030" spans="1:1" x14ac:dyDescent="0.2">
      <c r="A1030" s="30" t="s">
        <v>2871</v>
      </c>
    </row>
    <row r="1031" spans="1:1" x14ac:dyDescent="0.2">
      <c r="A1031" s="30" t="s">
        <v>2872</v>
      </c>
    </row>
    <row r="1032" spans="1:1" x14ac:dyDescent="0.2">
      <c r="A1032" s="30" t="s">
        <v>2873</v>
      </c>
    </row>
    <row r="1033" spans="1:1" x14ac:dyDescent="0.2">
      <c r="A1033" s="30" t="s">
        <v>2874</v>
      </c>
    </row>
    <row r="1034" spans="1:1" x14ac:dyDescent="0.2">
      <c r="A1034" s="30" t="s">
        <v>2875</v>
      </c>
    </row>
    <row r="1035" spans="1:1" x14ac:dyDescent="0.2">
      <c r="A1035" s="30" t="s">
        <v>2876</v>
      </c>
    </row>
    <row r="1036" spans="1:1" x14ac:dyDescent="0.2">
      <c r="A1036" s="30" t="s">
        <v>2877</v>
      </c>
    </row>
    <row r="1037" spans="1:1" x14ac:dyDescent="0.2">
      <c r="A1037" s="30" t="s">
        <v>2878</v>
      </c>
    </row>
    <row r="1038" spans="1:1" x14ac:dyDescent="0.2">
      <c r="A1038" s="30" t="s">
        <v>2879</v>
      </c>
    </row>
    <row r="1039" spans="1:1" x14ac:dyDescent="0.2">
      <c r="A1039" s="30" t="s">
        <v>2880</v>
      </c>
    </row>
    <row r="1040" spans="1:1" x14ac:dyDescent="0.2">
      <c r="A1040" s="30" t="s">
        <v>2881</v>
      </c>
    </row>
    <row r="1041" spans="1:1" x14ac:dyDescent="0.2">
      <c r="A1041" s="30" t="s">
        <v>2882</v>
      </c>
    </row>
    <row r="1042" spans="1:1" x14ac:dyDescent="0.2">
      <c r="A1042" s="30" t="s">
        <v>2883</v>
      </c>
    </row>
    <row r="1043" spans="1:1" x14ac:dyDescent="0.2">
      <c r="A1043" s="30" t="s">
        <v>2884</v>
      </c>
    </row>
    <row r="1044" spans="1:1" x14ac:dyDescent="0.2">
      <c r="A1044" s="30" t="s">
        <v>2885</v>
      </c>
    </row>
    <row r="1045" spans="1:1" x14ac:dyDescent="0.2">
      <c r="A1045" s="30" t="s">
        <v>2886</v>
      </c>
    </row>
    <row r="1046" spans="1:1" x14ac:dyDescent="0.2">
      <c r="A1046" s="30" t="s">
        <v>2887</v>
      </c>
    </row>
    <row r="1047" spans="1:1" x14ac:dyDescent="0.2">
      <c r="A1047" s="30" t="s">
        <v>2888</v>
      </c>
    </row>
    <row r="1048" spans="1:1" x14ac:dyDescent="0.2">
      <c r="A1048" s="30" t="s">
        <v>2889</v>
      </c>
    </row>
    <row r="1049" spans="1:1" x14ac:dyDescent="0.2">
      <c r="A1049" s="30" t="s">
        <v>2890</v>
      </c>
    </row>
    <row r="1050" spans="1:1" x14ac:dyDescent="0.2">
      <c r="A1050" s="30" t="s">
        <v>2891</v>
      </c>
    </row>
    <row r="1051" spans="1:1" x14ac:dyDescent="0.2">
      <c r="A1051" s="30" t="s">
        <v>2892</v>
      </c>
    </row>
    <row r="1052" spans="1:1" x14ac:dyDescent="0.2">
      <c r="A1052" s="30" t="s">
        <v>2893</v>
      </c>
    </row>
    <row r="1053" spans="1:1" x14ac:dyDescent="0.2">
      <c r="A1053" s="30" t="s">
        <v>2894</v>
      </c>
    </row>
    <row r="1054" spans="1:1" x14ac:dyDescent="0.2">
      <c r="A1054" s="30" t="s">
        <v>2895</v>
      </c>
    </row>
    <row r="1055" spans="1:1" x14ac:dyDescent="0.2">
      <c r="A1055" s="30" t="s">
        <v>2896</v>
      </c>
    </row>
    <row r="1056" spans="1:1" x14ac:dyDescent="0.2">
      <c r="A1056" s="30" t="s">
        <v>2897</v>
      </c>
    </row>
    <row r="1057" spans="1:1" x14ac:dyDescent="0.2">
      <c r="A1057" s="30" t="s">
        <v>2898</v>
      </c>
    </row>
    <row r="1058" spans="1:1" x14ac:dyDescent="0.2">
      <c r="A1058" s="30" t="s">
        <v>2899</v>
      </c>
    </row>
    <row r="1059" spans="1:1" x14ac:dyDescent="0.2">
      <c r="A1059" s="30" t="s">
        <v>2900</v>
      </c>
    </row>
    <row r="1060" spans="1:1" x14ac:dyDescent="0.2">
      <c r="A1060" s="30" t="s">
        <v>2901</v>
      </c>
    </row>
    <row r="1061" spans="1:1" x14ac:dyDescent="0.2">
      <c r="A1061" s="30" t="s">
        <v>2902</v>
      </c>
    </row>
    <row r="1062" spans="1:1" x14ac:dyDescent="0.2">
      <c r="A1062" s="30" t="s">
        <v>2903</v>
      </c>
    </row>
    <row r="1063" spans="1:1" x14ac:dyDescent="0.2">
      <c r="A1063" s="30" t="s">
        <v>2904</v>
      </c>
    </row>
    <row r="1064" spans="1:1" x14ac:dyDescent="0.2">
      <c r="A1064" s="30" t="s">
        <v>2905</v>
      </c>
    </row>
    <row r="1065" spans="1:1" x14ac:dyDescent="0.2">
      <c r="A1065" s="30" t="s">
        <v>2906</v>
      </c>
    </row>
    <row r="1066" spans="1:1" x14ac:dyDescent="0.2">
      <c r="A1066" s="30" t="s">
        <v>2907</v>
      </c>
    </row>
    <row r="1067" spans="1:1" x14ac:dyDescent="0.2">
      <c r="A1067" s="30" t="s">
        <v>2908</v>
      </c>
    </row>
    <row r="1068" spans="1:1" x14ac:dyDescent="0.2">
      <c r="A1068" s="30" t="s">
        <v>2909</v>
      </c>
    </row>
    <row r="1069" spans="1:1" x14ac:dyDescent="0.2">
      <c r="A1069" s="30" t="s">
        <v>2910</v>
      </c>
    </row>
    <row r="1070" spans="1:1" x14ac:dyDescent="0.2">
      <c r="A1070" s="30" t="s">
        <v>2911</v>
      </c>
    </row>
    <row r="1071" spans="1:1" x14ac:dyDescent="0.2">
      <c r="A1071" s="30" t="s">
        <v>2912</v>
      </c>
    </row>
    <row r="1072" spans="1:1" x14ac:dyDescent="0.2">
      <c r="A1072" s="30" t="s">
        <v>2913</v>
      </c>
    </row>
    <row r="1073" spans="1:1" x14ac:dyDescent="0.2">
      <c r="A1073" s="30" t="s">
        <v>2914</v>
      </c>
    </row>
    <row r="1074" spans="1:1" x14ac:dyDescent="0.2">
      <c r="A1074" s="30" t="s">
        <v>2915</v>
      </c>
    </row>
    <row r="1075" spans="1:1" x14ac:dyDescent="0.2">
      <c r="A1075" s="30" t="s">
        <v>2916</v>
      </c>
    </row>
    <row r="1076" spans="1:1" x14ac:dyDescent="0.2">
      <c r="A1076" s="30" t="s">
        <v>2917</v>
      </c>
    </row>
    <row r="1077" spans="1:1" x14ac:dyDescent="0.2">
      <c r="A1077" s="30" t="s">
        <v>2918</v>
      </c>
    </row>
    <row r="1078" spans="1:1" x14ac:dyDescent="0.2">
      <c r="A1078" s="30" t="s">
        <v>2919</v>
      </c>
    </row>
    <row r="1079" spans="1:1" x14ac:dyDescent="0.2">
      <c r="A1079" s="30" t="s">
        <v>2920</v>
      </c>
    </row>
    <row r="1080" spans="1:1" x14ac:dyDescent="0.2">
      <c r="A1080" s="30" t="s">
        <v>2921</v>
      </c>
    </row>
    <row r="1081" spans="1:1" x14ac:dyDescent="0.2">
      <c r="A1081" s="30" t="s">
        <v>2922</v>
      </c>
    </row>
    <row r="1082" spans="1:1" x14ac:dyDescent="0.2">
      <c r="A1082" s="30" t="s">
        <v>2923</v>
      </c>
    </row>
    <row r="1083" spans="1:1" x14ac:dyDescent="0.2">
      <c r="A1083" s="30" t="s">
        <v>2924</v>
      </c>
    </row>
    <row r="1084" spans="1:1" x14ac:dyDescent="0.2">
      <c r="A1084" s="30" t="s">
        <v>2925</v>
      </c>
    </row>
    <row r="1085" spans="1:1" x14ac:dyDescent="0.2">
      <c r="A1085" s="30" t="s">
        <v>3445</v>
      </c>
    </row>
    <row r="1086" spans="1:1" x14ac:dyDescent="0.2">
      <c r="A1086" s="30" t="s">
        <v>3446</v>
      </c>
    </row>
    <row r="1087" spans="1:1" x14ac:dyDescent="0.2">
      <c r="A1087" s="30" t="s">
        <v>3447</v>
      </c>
    </row>
    <row r="1088" spans="1:1" x14ac:dyDescent="0.2">
      <c r="A1088" s="30" t="s">
        <v>3448</v>
      </c>
    </row>
    <row r="1089" spans="1:1" x14ac:dyDescent="0.2">
      <c r="A1089" s="30" t="s">
        <v>3449</v>
      </c>
    </row>
    <row r="1090" spans="1:1" x14ac:dyDescent="0.2">
      <c r="A1090" s="30" t="s">
        <v>3450</v>
      </c>
    </row>
    <row r="1091" spans="1:1" x14ac:dyDescent="0.2">
      <c r="A1091" s="30" t="s">
        <v>3451</v>
      </c>
    </row>
    <row r="1092" spans="1:1" x14ac:dyDescent="0.2">
      <c r="A1092" s="30" t="s">
        <v>3452</v>
      </c>
    </row>
    <row r="1093" spans="1:1" x14ac:dyDescent="0.2">
      <c r="A1093" s="30" t="s">
        <v>3453</v>
      </c>
    </row>
    <row r="1094" spans="1:1" x14ac:dyDescent="0.2">
      <c r="A1094" s="30" t="s">
        <v>3454</v>
      </c>
    </row>
    <row r="1095" spans="1:1" x14ac:dyDescent="0.2">
      <c r="A1095" s="30" t="s">
        <v>3455</v>
      </c>
    </row>
    <row r="1096" spans="1:1" x14ac:dyDescent="0.2">
      <c r="A1096" s="30" t="s">
        <v>3456</v>
      </c>
    </row>
    <row r="1097" spans="1:1" x14ac:dyDescent="0.2">
      <c r="A1097" s="30" t="s">
        <v>3457</v>
      </c>
    </row>
    <row r="1098" spans="1:1" x14ac:dyDescent="0.2">
      <c r="A1098" s="30" t="s">
        <v>3458</v>
      </c>
    </row>
    <row r="1099" spans="1:1" x14ac:dyDescent="0.2">
      <c r="A1099" s="30" t="s">
        <v>3459</v>
      </c>
    </row>
    <row r="1100" spans="1:1" x14ac:dyDescent="0.2">
      <c r="A1100" s="30" t="s">
        <v>3460</v>
      </c>
    </row>
    <row r="1101" spans="1:1" x14ac:dyDescent="0.2">
      <c r="A1101" s="30" t="s">
        <v>3461</v>
      </c>
    </row>
    <row r="1102" spans="1:1" x14ac:dyDescent="0.2">
      <c r="A1102" s="30" t="s">
        <v>3462</v>
      </c>
    </row>
    <row r="1103" spans="1:1" x14ac:dyDescent="0.2">
      <c r="A1103" s="30" t="s">
        <v>3463</v>
      </c>
    </row>
    <row r="1104" spans="1:1" x14ac:dyDescent="0.2">
      <c r="A1104" s="30" t="s">
        <v>3464</v>
      </c>
    </row>
    <row r="1105" spans="1:1" x14ac:dyDescent="0.2">
      <c r="A1105" s="30" t="s">
        <v>3465</v>
      </c>
    </row>
    <row r="1106" spans="1:1" x14ac:dyDescent="0.2">
      <c r="A1106" s="30" t="s">
        <v>3466</v>
      </c>
    </row>
    <row r="1107" spans="1:1" x14ac:dyDescent="0.2">
      <c r="A1107" s="30" t="s">
        <v>3467</v>
      </c>
    </row>
    <row r="1108" spans="1:1" x14ac:dyDescent="0.2">
      <c r="A1108" s="30" t="s">
        <v>3468</v>
      </c>
    </row>
    <row r="1109" spans="1:1" x14ac:dyDescent="0.2">
      <c r="A1109" s="30" t="s">
        <v>3469</v>
      </c>
    </row>
    <row r="1110" spans="1:1" x14ac:dyDescent="0.2">
      <c r="A1110" s="30" t="s">
        <v>3470</v>
      </c>
    </row>
    <row r="1111" spans="1:1" x14ac:dyDescent="0.2">
      <c r="A1111" s="30" t="s">
        <v>3471</v>
      </c>
    </row>
    <row r="1112" spans="1:1" x14ac:dyDescent="0.2">
      <c r="A1112" s="30" t="s">
        <v>3472</v>
      </c>
    </row>
    <row r="1113" spans="1:1" x14ac:dyDescent="0.2">
      <c r="A1113" s="30" t="s">
        <v>3473</v>
      </c>
    </row>
    <row r="1114" spans="1:1" x14ac:dyDescent="0.2">
      <c r="A1114" s="30" t="s">
        <v>3474</v>
      </c>
    </row>
    <row r="1115" spans="1:1" x14ac:dyDescent="0.2">
      <c r="A1115" s="30" t="s">
        <v>3475</v>
      </c>
    </row>
    <row r="1116" spans="1:1" x14ac:dyDescent="0.2">
      <c r="A1116" s="30" t="s">
        <v>3476</v>
      </c>
    </row>
    <row r="1117" spans="1:1" x14ac:dyDescent="0.2">
      <c r="A1117" s="30" t="s">
        <v>3477</v>
      </c>
    </row>
    <row r="1118" spans="1:1" x14ac:dyDescent="0.2">
      <c r="A1118" s="30" t="s">
        <v>3478</v>
      </c>
    </row>
    <row r="1119" spans="1:1" x14ac:dyDescent="0.2">
      <c r="A1119" s="30" t="s">
        <v>3479</v>
      </c>
    </row>
    <row r="1120" spans="1:1" x14ac:dyDescent="0.2">
      <c r="A1120" s="30" t="s">
        <v>3480</v>
      </c>
    </row>
    <row r="1121" spans="1:1" x14ac:dyDescent="0.2">
      <c r="A1121" s="30" t="s">
        <v>3481</v>
      </c>
    </row>
    <row r="1122" spans="1:1" x14ac:dyDescent="0.2">
      <c r="A1122" s="30" t="s">
        <v>3482</v>
      </c>
    </row>
    <row r="1123" spans="1:1" x14ac:dyDescent="0.2">
      <c r="A1123" s="30" t="s">
        <v>3483</v>
      </c>
    </row>
    <row r="1124" spans="1:1" x14ac:dyDescent="0.2">
      <c r="A1124" s="30" t="s">
        <v>3484</v>
      </c>
    </row>
    <row r="1125" spans="1:1" x14ac:dyDescent="0.2">
      <c r="A1125" s="30" t="s">
        <v>3485</v>
      </c>
    </row>
    <row r="1126" spans="1:1" x14ac:dyDescent="0.2">
      <c r="A1126" s="30" t="s">
        <v>3486</v>
      </c>
    </row>
    <row r="1127" spans="1:1" x14ac:dyDescent="0.2">
      <c r="A1127" s="30" t="s">
        <v>3487</v>
      </c>
    </row>
    <row r="1128" spans="1:1" x14ac:dyDescent="0.2">
      <c r="A1128" s="30" t="s">
        <v>3488</v>
      </c>
    </row>
    <row r="1129" spans="1:1" x14ac:dyDescent="0.2">
      <c r="A1129" s="30" t="s">
        <v>3489</v>
      </c>
    </row>
    <row r="1130" spans="1:1" x14ac:dyDescent="0.2">
      <c r="A1130" s="30" t="s">
        <v>3490</v>
      </c>
    </row>
    <row r="1131" spans="1:1" x14ac:dyDescent="0.2">
      <c r="A1131" s="30" t="s">
        <v>3491</v>
      </c>
    </row>
    <row r="1132" spans="1:1" x14ac:dyDescent="0.2">
      <c r="A1132" s="30" t="s">
        <v>3492</v>
      </c>
    </row>
    <row r="1133" spans="1:1" x14ac:dyDescent="0.2">
      <c r="A1133" s="30" t="s">
        <v>3493</v>
      </c>
    </row>
    <row r="1134" spans="1:1" x14ac:dyDescent="0.2">
      <c r="A1134" s="30" t="s">
        <v>3494</v>
      </c>
    </row>
    <row r="1135" spans="1:1" x14ac:dyDescent="0.2">
      <c r="A1135" s="30" t="s">
        <v>3495</v>
      </c>
    </row>
    <row r="1136" spans="1:1" x14ac:dyDescent="0.2">
      <c r="A1136" s="30" t="s">
        <v>3496</v>
      </c>
    </row>
    <row r="1137" spans="1:1" x14ac:dyDescent="0.2">
      <c r="A1137" s="30" t="s">
        <v>3497</v>
      </c>
    </row>
    <row r="1138" spans="1:1" x14ac:dyDescent="0.2">
      <c r="A1138" s="30" t="s">
        <v>3498</v>
      </c>
    </row>
    <row r="1139" spans="1:1" x14ac:dyDescent="0.2">
      <c r="A1139" s="30" t="s">
        <v>3499</v>
      </c>
    </row>
    <row r="1140" spans="1:1" x14ac:dyDescent="0.2">
      <c r="A1140" s="30" t="s">
        <v>3500</v>
      </c>
    </row>
    <row r="1141" spans="1:1" x14ac:dyDescent="0.2">
      <c r="A1141" s="30" t="s">
        <v>3501</v>
      </c>
    </row>
    <row r="1142" spans="1:1" x14ac:dyDescent="0.2">
      <c r="A1142" s="30" t="s">
        <v>3502</v>
      </c>
    </row>
    <row r="1143" spans="1:1" x14ac:dyDescent="0.2">
      <c r="A1143" s="30" t="s">
        <v>3503</v>
      </c>
    </row>
    <row r="1144" spans="1:1" x14ac:dyDescent="0.2">
      <c r="A1144" s="30" t="s">
        <v>3504</v>
      </c>
    </row>
    <row r="1145" spans="1:1" x14ac:dyDescent="0.2">
      <c r="A1145" s="30" t="s">
        <v>3505</v>
      </c>
    </row>
    <row r="1146" spans="1:1" x14ac:dyDescent="0.2">
      <c r="A1146" s="30" t="s">
        <v>3506</v>
      </c>
    </row>
    <row r="1147" spans="1:1" x14ac:dyDescent="0.2">
      <c r="A1147" s="30" t="s">
        <v>3507</v>
      </c>
    </row>
    <row r="1148" spans="1:1" x14ac:dyDescent="0.2">
      <c r="A1148" s="30" t="s">
        <v>3508</v>
      </c>
    </row>
    <row r="1149" spans="1:1" x14ac:dyDescent="0.2">
      <c r="A1149" s="30" t="s">
        <v>3509</v>
      </c>
    </row>
    <row r="1150" spans="1:1" x14ac:dyDescent="0.2">
      <c r="A1150" s="30" t="s">
        <v>3510</v>
      </c>
    </row>
    <row r="1151" spans="1:1" x14ac:dyDescent="0.2">
      <c r="A1151" s="30" t="s">
        <v>3511</v>
      </c>
    </row>
    <row r="1152" spans="1:1" x14ac:dyDescent="0.2">
      <c r="A1152" s="30" t="s">
        <v>3512</v>
      </c>
    </row>
    <row r="1153" spans="1:1" x14ac:dyDescent="0.2">
      <c r="A1153" s="30" t="s">
        <v>3513</v>
      </c>
    </row>
    <row r="1154" spans="1:1" x14ac:dyDescent="0.2">
      <c r="A1154" s="30" t="s">
        <v>3514</v>
      </c>
    </row>
    <row r="1155" spans="1:1" x14ac:dyDescent="0.2">
      <c r="A1155" s="30" t="s">
        <v>3515</v>
      </c>
    </row>
    <row r="1156" spans="1:1" x14ac:dyDescent="0.2">
      <c r="A1156" s="30" t="s">
        <v>3516</v>
      </c>
    </row>
    <row r="1157" spans="1:1" x14ac:dyDescent="0.2">
      <c r="A1157" s="30" t="s">
        <v>3517</v>
      </c>
    </row>
    <row r="1158" spans="1:1" x14ac:dyDescent="0.2">
      <c r="A1158" s="30" t="s">
        <v>3518</v>
      </c>
    </row>
    <row r="1159" spans="1:1" x14ac:dyDescent="0.2">
      <c r="A1159" s="30" t="s">
        <v>3519</v>
      </c>
    </row>
    <row r="1160" spans="1:1" x14ac:dyDescent="0.2">
      <c r="A1160" s="30" t="s">
        <v>3520</v>
      </c>
    </row>
    <row r="1161" spans="1:1" x14ac:dyDescent="0.2">
      <c r="A1161" s="30" t="s">
        <v>3521</v>
      </c>
    </row>
    <row r="1162" spans="1:1" x14ac:dyDescent="0.2">
      <c r="A1162" s="30" t="s">
        <v>3522</v>
      </c>
    </row>
    <row r="1163" spans="1:1" x14ac:dyDescent="0.2">
      <c r="A1163" s="30" t="s">
        <v>3523</v>
      </c>
    </row>
    <row r="1164" spans="1:1" x14ac:dyDescent="0.2">
      <c r="A1164" s="30" t="s">
        <v>3524</v>
      </c>
    </row>
    <row r="1165" spans="1:1" x14ac:dyDescent="0.2">
      <c r="A1165" s="30" t="s">
        <v>3525</v>
      </c>
    </row>
    <row r="1166" spans="1:1" x14ac:dyDescent="0.2">
      <c r="A1166" s="30" t="s">
        <v>3526</v>
      </c>
    </row>
    <row r="1167" spans="1:1" x14ac:dyDescent="0.2">
      <c r="A1167" s="30" t="s">
        <v>3527</v>
      </c>
    </row>
    <row r="1168" spans="1:1" x14ac:dyDescent="0.2">
      <c r="A1168" s="30" t="s">
        <v>3528</v>
      </c>
    </row>
    <row r="1169" spans="1:1" x14ac:dyDescent="0.2">
      <c r="A1169" s="30" t="s">
        <v>3529</v>
      </c>
    </row>
    <row r="1170" spans="1:1" x14ac:dyDescent="0.2">
      <c r="A1170" s="30" t="s">
        <v>3530</v>
      </c>
    </row>
    <row r="1171" spans="1:1" x14ac:dyDescent="0.2">
      <c r="A1171" s="30" t="s">
        <v>3531</v>
      </c>
    </row>
    <row r="1172" spans="1:1" x14ac:dyDescent="0.2">
      <c r="A1172" s="30" t="s">
        <v>3532</v>
      </c>
    </row>
    <row r="1173" spans="1:1" x14ac:dyDescent="0.2">
      <c r="A1173" s="30" t="s">
        <v>3533</v>
      </c>
    </row>
    <row r="1174" spans="1:1" x14ac:dyDescent="0.2">
      <c r="A1174" s="30" t="s">
        <v>3534</v>
      </c>
    </row>
    <row r="1175" spans="1:1" x14ac:dyDescent="0.2">
      <c r="A1175" s="30" t="s">
        <v>3535</v>
      </c>
    </row>
    <row r="1176" spans="1:1" x14ac:dyDescent="0.2">
      <c r="A1176" s="30" t="s">
        <v>3536</v>
      </c>
    </row>
    <row r="1177" spans="1:1" x14ac:dyDescent="0.2">
      <c r="A1177" s="30" t="s">
        <v>3537</v>
      </c>
    </row>
    <row r="1178" spans="1:1" x14ac:dyDescent="0.2">
      <c r="A1178" s="30" t="s">
        <v>3538</v>
      </c>
    </row>
    <row r="1179" spans="1:1" x14ac:dyDescent="0.2">
      <c r="A1179" s="30" t="s">
        <v>3539</v>
      </c>
    </row>
    <row r="1180" spans="1:1" x14ac:dyDescent="0.2">
      <c r="A1180" s="30" t="s">
        <v>3540</v>
      </c>
    </row>
    <row r="1181" spans="1:1" x14ac:dyDescent="0.2">
      <c r="A1181" s="30" t="s">
        <v>3541</v>
      </c>
    </row>
    <row r="1182" spans="1:1" x14ac:dyDescent="0.2">
      <c r="A1182" s="30" t="s">
        <v>3542</v>
      </c>
    </row>
    <row r="1183" spans="1:1" x14ac:dyDescent="0.2">
      <c r="A1183" s="30" t="s">
        <v>3543</v>
      </c>
    </row>
    <row r="1184" spans="1:1" x14ac:dyDescent="0.2">
      <c r="A1184" s="30" t="s">
        <v>3544</v>
      </c>
    </row>
    <row r="1185" spans="1:1" x14ac:dyDescent="0.2">
      <c r="A1185" s="30" t="s">
        <v>3545</v>
      </c>
    </row>
    <row r="1186" spans="1:1" x14ac:dyDescent="0.2">
      <c r="A1186" s="30" t="s">
        <v>3546</v>
      </c>
    </row>
    <row r="1187" spans="1:1" x14ac:dyDescent="0.2">
      <c r="A1187" s="30" t="s">
        <v>3547</v>
      </c>
    </row>
    <row r="1188" spans="1:1" x14ac:dyDescent="0.2">
      <c r="A1188" s="30" t="s">
        <v>3548</v>
      </c>
    </row>
    <row r="1189" spans="1:1" x14ac:dyDescent="0.2">
      <c r="A1189" s="30" t="s">
        <v>3549</v>
      </c>
    </row>
    <row r="1190" spans="1:1" x14ac:dyDescent="0.2">
      <c r="A1190" s="30" t="s">
        <v>3550</v>
      </c>
    </row>
    <row r="1191" spans="1:1" x14ac:dyDescent="0.2">
      <c r="A1191" s="30" t="s">
        <v>3551</v>
      </c>
    </row>
    <row r="1192" spans="1:1" x14ac:dyDescent="0.2">
      <c r="A1192" s="30" t="s">
        <v>3552</v>
      </c>
    </row>
    <row r="1193" spans="1:1" x14ac:dyDescent="0.2">
      <c r="A1193" s="30" t="s">
        <v>3553</v>
      </c>
    </row>
    <row r="1194" spans="1:1" x14ac:dyDescent="0.2">
      <c r="A1194" s="30" t="s">
        <v>3554</v>
      </c>
    </row>
    <row r="1195" spans="1:1" x14ac:dyDescent="0.2">
      <c r="A1195" s="30" t="s">
        <v>3555</v>
      </c>
    </row>
    <row r="1196" spans="1:1" x14ac:dyDescent="0.2">
      <c r="A1196" s="30" t="s">
        <v>3556</v>
      </c>
    </row>
    <row r="1197" spans="1:1" x14ac:dyDescent="0.2">
      <c r="A1197" s="30" t="s">
        <v>3557</v>
      </c>
    </row>
    <row r="1198" spans="1:1" x14ac:dyDescent="0.2">
      <c r="A1198" s="30" t="s">
        <v>3558</v>
      </c>
    </row>
    <row r="1199" spans="1:1" x14ac:dyDescent="0.2">
      <c r="A1199" s="30" t="s">
        <v>3559</v>
      </c>
    </row>
    <row r="1200" spans="1:1" x14ac:dyDescent="0.2">
      <c r="A1200" s="30" t="s">
        <v>3560</v>
      </c>
    </row>
    <row r="1201" spans="1:1" x14ac:dyDescent="0.2">
      <c r="A1201" s="30" t="s">
        <v>3561</v>
      </c>
    </row>
    <row r="1202" spans="1:1" x14ac:dyDescent="0.2">
      <c r="A1202" s="30" t="s">
        <v>3562</v>
      </c>
    </row>
    <row r="1203" spans="1:1" x14ac:dyDescent="0.2">
      <c r="A1203" s="30" t="s">
        <v>3563</v>
      </c>
    </row>
    <row r="1204" spans="1:1" x14ac:dyDescent="0.2">
      <c r="A1204" s="30" t="s">
        <v>3564</v>
      </c>
    </row>
    <row r="1205" spans="1:1" x14ac:dyDescent="0.2">
      <c r="A1205" s="30" t="s">
        <v>3565</v>
      </c>
    </row>
    <row r="1206" spans="1:1" x14ac:dyDescent="0.2">
      <c r="A1206" s="30" t="s">
        <v>3566</v>
      </c>
    </row>
    <row r="1207" spans="1:1" x14ac:dyDescent="0.2">
      <c r="A1207" s="30" t="s">
        <v>3567</v>
      </c>
    </row>
    <row r="1208" spans="1:1" x14ac:dyDescent="0.2">
      <c r="A1208" s="30" t="s">
        <v>3568</v>
      </c>
    </row>
    <row r="1209" spans="1:1" x14ac:dyDescent="0.2">
      <c r="A1209" s="30" t="s">
        <v>3569</v>
      </c>
    </row>
    <row r="1210" spans="1:1" x14ac:dyDescent="0.2">
      <c r="A1210" s="30" t="s">
        <v>3570</v>
      </c>
    </row>
    <row r="1211" spans="1:1" x14ac:dyDescent="0.2">
      <c r="A1211" s="30" t="s">
        <v>3571</v>
      </c>
    </row>
    <row r="1212" spans="1:1" x14ac:dyDescent="0.2">
      <c r="A1212" s="30" t="s">
        <v>3572</v>
      </c>
    </row>
    <row r="1213" spans="1:1" x14ac:dyDescent="0.2">
      <c r="A1213" s="30" t="s">
        <v>3573</v>
      </c>
    </row>
    <row r="1214" spans="1:1" x14ac:dyDescent="0.2">
      <c r="A1214" s="30" t="s">
        <v>3574</v>
      </c>
    </row>
    <row r="1215" spans="1:1" x14ac:dyDescent="0.2">
      <c r="A1215" s="30" t="s">
        <v>3575</v>
      </c>
    </row>
    <row r="1216" spans="1:1" x14ac:dyDescent="0.2">
      <c r="A1216" s="30" t="s">
        <v>3576</v>
      </c>
    </row>
    <row r="1217" spans="1:1" x14ac:dyDescent="0.2">
      <c r="A1217" s="30" t="s">
        <v>3577</v>
      </c>
    </row>
    <row r="1218" spans="1:1" x14ac:dyDescent="0.2">
      <c r="A1218" s="30" t="s">
        <v>3578</v>
      </c>
    </row>
    <row r="1219" spans="1:1" x14ac:dyDescent="0.2">
      <c r="A1219" s="30" t="s">
        <v>3579</v>
      </c>
    </row>
    <row r="1220" spans="1:1" x14ac:dyDescent="0.2">
      <c r="A1220" s="30" t="s">
        <v>3580</v>
      </c>
    </row>
    <row r="1221" spans="1:1" x14ac:dyDescent="0.2">
      <c r="A1221" s="30" t="s">
        <v>3581</v>
      </c>
    </row>
    <row r="1222" spans="1:1" x14ac:dyDescent="0.2">
      <c r="A1222" s="30" t="s">
        <v>3582</v>
      </c>
    </row>
    <row r="1223" spans="1:1" x14ac:dyDescent="0.2">
      <c r="A1223" s="30" t="s">
        <v>3583</v>
      </c>
    </row>
    <row r="1224" spans="1:1" x14ac:dyDescent="0.2">
      <c r="A1224" s="30" t="s">
        <v>3584</v>
      </c>
    </row>
    <row r="1225" spans="1:1" x14ac:dyDescent="0.2">
      <c r="A1225" s="30" t="s">
        <v>3585</v>
      </c>
    </row>
    <row r="1226" spans="1:1" x14ac:dyDescent="0.2">
      <c r="A1226" s="30" t="s">
        <v>3586</v>
      </c>
    </row>
    <row r="1227" spans="1:1" x14ac:dyDescent="0.2">
      <c r="A1227" s="30" t="s">
        <v>3587</v>
      </c>
    </row>
    <row r="1228" spans="1:1" x14ac:dyDescent="0.2">
      <c r="A1228" s="30" t="s">
        <v>3588</v>
      </c>
    </row>
    <row r="1229" spans="1:1" x14ac:dyDescent="0.2">
      <c r="A1229" s="30" t="s">
        <v>3589</v>
      </c>
    </row>
    <row r="1230" spans="1:1" x14ac:dyDescent="0.2">
      <c r="A1230" s="30" t="s">
        <v>3590</v>
      </c>
    </row>
    <row r="1231" spans="1:1" x14ac:dyDescent="0.2">
      <c r="A1231" s="30" t="s">
        <v>3591</v>
      </c>
    </row>
    <row r="1232" spans="1:1" x14ac:dyDescent="0.2">
      <c r="A1232" s="30" t="s">
        <v>3592</v>
      </c>
    </row>
    <row r="1233" spans="1:1" x14ac:dyDescent="0.2">
      <c r="A1233" s="30" t="s">
        <v>3593</v>
      </c>
    </row>
    <row r="1234" spans="1:1" x14ac:dyDescent="0.2">
      <c r="A1234" s="30" t="s">
        <v>3594</v>
      </c>
    </row>
    <row r="1235" spans="1:1" x14ac:dyDescent="0.2">
      <c r="A1235" s="30" t="s">
        <v>3595</v>
      </c>
    </row>
    <row r="1236" spans="1:1" x14ac:dyDescent="0.2">
      <c r="A1236" s="30" t="s">
        <v>3596</v>
      </c>
    </row>
    <row r="1237" spans="1:1" x14ac:dyDescent="0.2">
      <c r="A1237" s="30" t="s">
        <v>3597</v>
      </c>
    </row>
    <row r="1238" spans="1:1" x14ac:dyDescent="0.2">
      <c r="A1238" s="30" t="s">
        <v>3598</v>
      </c>
    </row>
    <row r="1239" spans="1:1" x14ac:dyDescent="0.2">
      <c r="A1239" s="30" t="s">
        <v>3599</v>
      </c>
    </row>
    <row r="1240" spans="1:1" x14ac:dyDescent="0.2">
      <c r="A1240" s="30" t="s">
        <v>3600</v>
      </c>
    </row>
    <row r="1241" spans="1:1" x14ac:dyDescent="0.2">
      <c r="A1241" s="30" t="s">
        <v>3601</v>
      </c>
    </row>
    <row r="1242" spans="1:1" x14ac:dyDescent="0.2">
      <c r="A1242" s="30" t="s">
        <v>3602</v>
      </c>
    </row>
    <row r="1243" spans="1:1" x14ac:dyDescent="0.2">
      <c r="A1243" s="30" t="s">
        <v>3603</v>
      </c>
    </row>
    <row r="1244" spans="1:1" x14ac:dyDescent="0.2">
      <c r="A1244" s="30" t="s">
        <v>3604</v>
      </c>
    </row>
    <row r="1245" spans="1:1" x14ac:dyDescent="0.2">
      <c r="A1245" s="30" t="s">
        <v>3605</v>
      </c>
    </row>
    <row r="1246" spans="1:1" x14ac:dyDescent="0.2">
      <c r="A1246" s="30" t="s">
        <v>3606</v>
      </c>
    </row>
    <row r="1247" spans="1:1" x14ac:dyDescent="0.2">
      <c r="A1247" s="30" t="s">
        <v>3607</v>
      </c>
    </row>
    <row r="1248" spans="1:1" x14ac:dyDescent="0.2">
      <c r="A1248" s="30" t="s">
        <v>3608</v>
      </c>
    </row>
    <row r="1249" spans="1:1" x14ac:dyDescent="0.2">
      <c r="A1249" s="30" t="s">
        <v>3609</v>
      </c>
    </row>
    <row r="1250" spans="1:1" x14ac:dyDescent="0.2">
      <c r="A1250" s="30" t="s">
        <v>3610</v>
      </c>
    </row>
    <row r="1251" spans="1:1" x14ac:dyDescent="0.2">
      <c r="A1251" s="30" t="s">
        <v>3611</v>
      </c>
    </row>
    <row r="1252" spans="1:1" x14ac:dyDescent="0.2">
      <c r="A1252" s="30" t="s">
        <v>3612</v>
      </c>
    </row>
    <row r="1253" spans="1:1" x14ac:dyDescent="0.2">
      <c r="A1253" s="30" t="s">
        <v>3613</v>
      </c>
    </row>
    <row r="1254" spans="1:1" x14ac:dyDescent="0.2">
      <c r="A1254" s="30" t="s">
        <v>3614</v>
      </c>
    </row>
    <row r="1255" spans="1:1" x14ac:dyDescent="0.2">
      <c r="A1255" s="30" t="s">
        <v>3615</v>
      </c>
    </row>
    <row r="1256" spans="1:1" x14ac:dyDescent="0.2">
      <c r="A1256" s="30" t="s">
        <v>3616</v>
      </c>
    </row>
    <row r="1257" spans="1:1" x14ac:dyDescent="0.2">
      <c r="A1257" s="30" t="s">
        <v>3617</v>
      </c>
    </row>
    <row r="1258" spans="1:1" x14ac:dyDescent="0.2">
      <c r="A1258" s="30" t="s">
        <v>3618</v>
      </c>
    </row>
    <row r="1259" spans="1:1" x14ac:dyDescent="0.2">
      <c r="A1259" s="30" t="s">
        <v>3619</v>
      </c>
    </row>
    <row r="1260" spans="1:1" x14ac:dyDescent="0.2">
      <c r="A1260" s="30" t="s">
        <v>3620</v>
      </c>
    </row>
    <row r="1261" spans="1:1" x14ac:dyDescent="0.2">
      <c r="A1261" s="30" t="s">
        <v>3621</v>
      </c>
    </row>
    <row r="1262" spans="1:1" x14ac:dyDescent="0.2">
      <c r="A1262" s="30" t="s">
        <v>3622</v>
      </c>
    </row>
    <row r="1263" spans="1:1" x14ac:dyDescent="0.2">
      <c r="A1263" s="30" t="s">
        <v>3623</v>
      </c>
    </row>
    <row r="1264" spans="1:1" x14ac:dyDescent="0.2">
      <c r="A1264" s="30" t="s">
        <v>3624</v>
      </c>
    </row>
    <row r="1265" spans="1:1" x14ac:dyDescent="0.2">
      <c r="A1265" s="30" t="s">
        <v>3625</v>
      </c>
    </row>
    <row r="1266" spans="1:1" x14ac:dyDescent="0.2">
      <c r="A1266" s="30" t="s">
        <v>3626</v>
      </c>
    </row>
    <row r="1267" spans="1:1" x14ac:dyDescent="0.2">
      <c r="A1267" s="30" t="s">
        <v>3627</v>
      </c>
    </row>
    <row r="1268" spans="1:1" x14ac:dyDescent="0.2">
      <c r="A1268" s="30" t="s">
        <v>3628</v>
      </c>
    </row>
    <row r="1269" spans="1:1" x14ac:dyDescent="0.2">
      <c r="A1269" s="30" t="s">
        <v>3629</v>
      </c>
    </row>
    <row r="1270" spans="1:1" x14ac:dyDescent="0.2">
      <c r="A1270" s="30" t="s">
        <v>3630</v>
      </c>
    </row>
    <row r="1271" spans="1:1" x14ac:dyDescent="0.2">
      <c r="A1271" s="30" t="s">
        <v>3631</v>
      </c>
    </row>
    <row r="1272" spans="1:1" x14ac:dyDescent="0.2">
      <c r="A1272" s="30" t="s">
        <v>3632</v>
      </c>
    </row>
    <row r="1273" spans="1:1" x14ac:dyDescent="0.2">
      <c r="A1273" s="30" t="s">
        <v>3633</v>
      </c>
    </row>
    <row r="1274" spans="1:1" x14ac:dyDescent="0.2">
      <c r="A1274" s="30" t="s">
        <v>3634</v>
      </c>
    </row>
    <row r="1275" spans="1:1" x14ac:dyDescent="0.2">
      <c r="A1275" s="30" t="s">
        <v>3635</v>
      </c>
    </row>
    <row r="1276" spans="1:1" x14ac:dyDescent="0.2">
      <c r="A1276" s="30" t="s">
        <v>3636</v>
      </c>
    </row>
    <row r="1277" spans="1:1" x14ac:dyDescent="0.2">
      <c r="A1277" s="30" t="s">
        <v>3637</v>
      </c>
    </row>
    <row r="1278" spans="1:1" x14ac:dyDescent="0.2">
      <c r="A1278" s="30" t="s">
        <v>3638</v>
      </c>
    </row>
    <row r="1279" spans="1:1" x14ac:dyDescent="0.2">
      <c r="A1279" s="30" t="s">
        <v>3639</v>
      </c>
    </row>
    <row r="1280" spans="1:1" x14ac:dyDescent="0.2">
      <c r="A1280" s="30" t="s">
        <v>3640</v>
      </c>
    </row>
    <row r="1281" spans="1:1" x14ac:dyDescent="0.2">
      <c r="A1281" s="30" t="s">
        <v>3641</v>
      </c>
    </row>
    <row r="1282" spans="1:1" x14ac:dyDescent="0.2">
      <c r="A1282" s="30" t="s">
        <v>3642</v>
      </c>
    </row>
    <row r="1283" spans="1:1" x14ac:dyDescent="0.2">
      <c r="A1283" s="30" t="s">
        <v>3643</v>
      </c>
    </row>
    <row r="1284" spans="1:1" x14ac:dyDescent="0.2">
      <c r="A1284" s="30" t="s">
        <v>3644</v>
      </c>
    </row>
    <row r="1285" spans="1:1" x14ac:dyDescent="0.2">
      <c r="A1285" s="30" t="s">
        <v>3645</v>
      </c>
    </row>
    <row r="1286" spans="1:1" x14ac:dyDescent="0.2">
      <c r="A1286" s="30" t="s">
        <v>3646</v>
      </c>
    </row>
    <row r="1287" spans="1:1" x14ac:dyDescent="0.2">
      <c r="A1287" s="30" t="s">
        <v>3647</v>
      </c>
    </row>
    <row r="1288" spans="1:1" x14ac:dyDescent="0.2">
      <c r="A1288" s="30" t="s">
        <v>3648</v>
      </c>
    </row>
    <row r="1289" spans="1:1" x14ac:dyDescent="0.2">
      <c r="A1289" s="30" t="s">
        <v>3649</v>
      </c>
    </row>
    <row r="1290" spans="1:1" x14ac:dyDescent="0.2">
      <c r="A1290" s="30" t="s">
        <v>1914</v>
      </c>
    </row>
    <row r="1291" spans="1:1" x14ac:dyDescent="0.2">
      <c r="A1291" s="30" t="s">
        <v>1915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README</vt:lpstr>
      <vt:lpstr>Nodes</vt:lpstr>
      <vt:lpstr>Edges</vt:lpstr>
      <vt:lpstr>Vocabulary</vt:lpstr>
      <vt:lpstr>Summary</vt:lpstr>
      <vt:lpstr>Assumptions</vt:lpstr>
      <vt:lpstr>JSON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Thompson</dc:creator>
  <cp:lastModifiedBy>Simon Thompson</cp:lastModifiedBy>
  <dcterms:created xsi:type="dcterms:W3CDTF">2026-07-28T09:24:14Z</dcterms:created>
  <dcterms:modified xsi:type="dcterms:W3CDTF">2026-07-29T09:26:31Z</dcterms:modified>
</cp:coreProperties>
</file>